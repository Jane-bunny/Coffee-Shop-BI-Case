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8fefcad540f89e8/Desktop/Coffee_Shop_BI_Case/Data/"/>
    </mc:Choice>
  </mc:AlternateContent>
  <xr:revisionPtr revIDLastSave="560" documentId="8_{79B0BDBA-5C0B-431C-87EA-3454EE269BC9}" xr6:coauthVersionLast="47" xr6:coauthVersionMax="47" xr10:uidLastSave="{34669D3C-2C25-4CA7-909E-216337D223E3}"/>
  <bookViews>
    <workbookView xWindow="-4845" yWindow="1080" windowWidth="42000" windowHeight="19980" activeTab="2" xr2:uid="{00000000-000D-0000-FFFF-FFFF00000000}"/>
  </bookViews>
  <sheets>
    <sheet name="Data" sheetId="1" r:id="rId1"/>
    <sheet name="Pivot Table" sheetId="9" r:id="rId2"/>
    <sheet name="Rolling Average" sheetId="2" r:id="rId3"/>
    <sheet name="Employee Performance" sheetId="10" r:id="rId4"/>
  </sheets>
  <definedNames>
    <definedName name="_xlnm._FilterDatabase" localSheetId="0" hidden="1">Data!$A$1:$Q$1097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4" i="1"/>
  <c r="Q15" i="1"/>
  <c r="R35" i="1" s="1"/>
  <c r="Q16" i="1"/>
  <c r="Q17" i="1"/>
  <c r="Q18" i="1"/>
  <c r="Q19" i="1"/>
  <c r="R39" i="1" s="1"/>
  <c r="Q20" i="1"/>
  <c r="Q21" i="1"/>
  <c r="Q22" i="1"/>
  <c r="Q23" i="1"/>
  <c r="R43" i="1" s="1"/>
  <c r="Q24" i="1"/>
  <c r="R44" i="1" s="1"/>
  <c r="Q25" i="1"/>
  <c r="Q26" i="1"/>
  <c r="Q27" i="1"/>
  <c r="Q28" i="1"/>
  <c r="R48" i="1" s="1"/>
  <c r="Q29" i="1"/>
  <c r="Q30" i="1"/>
  <c r="Q31" i="1"/>
  <c r="Q32" i="1"/>
  <c r="R52" i="1" s="1"/>
  <c r="Q33" i="1"/>
  <c r="Q34" i="1"/>
  <c r="Q35" i="1"/>
  <c r="Q36" i="1"/>
  <c r="R56" i="1" s="1"/>
  <c r="Q37" i="1"/>
  <c r="Q38" i="1"/>
  <c r="Q39" i="1"/>
  <c r="Q40" i="1"/>
  <c r="R60" i="1" s="1"/>
  <c r="Q41" i="1"/>
  <c r="Q42" i="1"/>
  <c r="Q43" i="1"/>
  <c r="Q44" i="1"/>
  <c r="R64" i="1" s="1"/>
  <c r="Q45" i="1"/>
  <c r="R65" i="1" s="1"/>
  <c r="Q46" i="1"/>
  <c r="Q47" i="1"/>
  <c r="Q48" i="1"/>
  <c r="Q49" i="1"/>
  <c r="R69" i="1" s="1"/>
  <c r="Q50" i="1"/>
  <c r="Q51" i="1"/>
  <c r="Q52" i="1"/>
  <c r="Q53" i="1"/>
  <c r="R73" i="1" s="1"/>
  <c r="Q54" i="1"/>
  <c r="Q55" i="1"/>
  <c r="Q56" i="1"/>
  <c r="Q57" i="1"/>
  <c r="R77" i="1" s="1"/>
  <c r="Q58" i="1"/>
  <c r="Q59" i="1"/>
  <c r="Q60" i="1"/>
  <c r="Q61" i="1"/>
  <c r="R81" i="1" s="1"/>
  <c r="Q62" i="1"/>
  <c r="Q63" i="1"/>
  <c r="Q64" i="1"/>
  <c r="Q65" i="1"/>
  <c r="R85" i="1" s="1"/>
  <c r="Q66" i="1"/>
  <c r="R86" i="1" s="1"/>
  <c r="Q67" i="1"/>
  <c r="Q68" i="1"/>
  <c r="Q69" i="1"/>
  <c r="Q70" i="1"/>
  <c r="R90" i="1" s="1"/>
  <c r="Q71" i="1"/>
  <c r="Q72" i="1"/>
  <c r="Q73" i="1"/>
  <c r="Q74" i="1"/>
  <c r="R94" i="1" s="1"/>
  <c r="Q75" i="1"/>
  <c r="Q76" i="1"/>
  <c r="Q77" i="1"/>
  <c r="Q78" i="1"/>
  <c r="R98" i="1" s="1"/>
  <c r="Q79" i="1"/>
  <c r="Q80" i="1"/>
  <c r="Q81" i="1"/>
  <c r="Q82" i="1"/>
  <c r="R102" i="1" s="1"/>
  <c r="Q83" i="1"/>
  <c r="Q84" i="1"/>
  <c r="Q85" i="1"/>
  <c r="Q86" i="1"/>
  <c r="R106" i="1" s="1"/>
  <c r="Q87" i="1"/>
  <c r="R107" i="1" s="1"/>
  <c r="Q88" i="1"/>
  <c r="Q89" i="1"/>
  <c r="Q90" i="1"/>
  <c r="Q91" i="1"/>
  <c r="R111" i="1" s="1"/>
  <c r="Q92" i="1"/>
  <c r="Q93" i="1"/>
  <c r="Q94" i="1"/>
  <c r="Q95" i="1"/>
  <c r="R115" i="1" s="1"/>
  <c r="Q96" i="1"/>
  <c r="Q97" i="1"/>
  <c r="Q98" i="1"/>
  <c r="Q99" i="1"/>
  <c r="R119" i="1" s="1"/>
  <c r="Q100" i="1"/>
  <c r="Q101" i="1"/>
  <c r="Q102" i="1"/>
  <c r="Q103" i="1"/>
  <c r="R123" i="1" s="1"/>
  <c r="Q104" i="1"/>
  <c r="Q105" i="1"/>
  <c r="Q106" i="1"/>
  <c r="Q107" i="1"/>
  <c r="R127" i="1" s="1"/>
  <c r="Q108" i="1"/>
  <c r="R128" i="1" s="1"/>
  <c r="Q109" i="1"/>
  <c r="Q110" i="1"/>
  <c r="Q111" i="1"/>
  <c r="Q112" i="1"/>
  <c r="R132" i="1" s="1"/>
  <c r="Q113" i="1"/>
  <c r="Q114" i="1"/>
  <c r="Q115" i="1"/>
  <c r="Q116" i="1"/>
  <c r="R136" i="1" s="1"/>
  <c r="Q117" i="1"/>
  <c r="Q118" i="1"/>
  <c r="Q119" i="1"/>
  <c r="Q120" i="1"/>
  <c r="R140" i="1" s="1"/>
  <c r="Q121" i="1"/>
  <c r="Q122" i="1"/>
  <c r="Q123" i="1"/>
  <c r="Q124" i="1"/>
  <c r="R144" i="1" s="1"/>
  <c r="Q125" i="1"/>
  <c r="Q126" i="1"/>
  <c r="Q127" i="1"/>
  <c r="Q128" i="1"/>
  <c r="R148" i="1" s="1"/>
  <c r="Q129" i="1"/>
  <c r="R149" i="1" s="1"/>
  <c r="Q130" i="1"/>
  <c r="Q131" i="1"/>
  <c r="Q132" i="1"/>
  <c r="Q133" i="1"/>
  <c r="R153" i="1" s="1"/>
  <c r="Q134" i="1"/>
  <c r="Q135" i="1"/>
  <c r="Q136" i="1"/>
  <c r="Q137" i="1"/>
  <c r="R157" i="1" s="1"/>
  <c r="Q138" i="1"/>
  <c r="Q139" i="1"/>
  <c r="Q140" i="1"/>
  <c r="Q141" i="1"/>
  <c r="R161" i="1" s="1"/>
  <c r="Q142" i="1"/>
  <c r="Q143" i="1"/>
  <c r="Q144" i="1"/>
  <c r="Q145" i="1"/>
  <c r="R165" i="1" s="1"/>
  <c r="Q146" i="1"/>
  <c r="Q147" i="1"/>
  <c r="Q148" i="1"/>
  <c r="Q149" i="1"/>
  <c r="R169" i="1" s="1"/>
  <c r="Q150" i="1"/>
  <c r="R170" i="1" s="1"/>
  <c r="Q151" i="1"/>
  <c r="Q152" i="1"/>
  <c r="Q153" i="1"/>
  <c r="Q154" i="1"/>
  <c r="R174" i="1" s="1"/>
  <c r="Q155" i="1"/>
  <c r="Q156" i="1"/>
  <c r="Q157" i="1"/>
  <c r="Q158" i="1"/>
  <c r="R178" i="1" s="1"/>
  <c r="Q159" i="1"/>
  <c r="Q160" i="1"/>
  <c r="Q161" i="1"/>
  <c r="Q162" i="1"/>
  <c r="R182" i="1" s="1"/>
  <c r="Q163" i="1"/>
  <c r="Q164" i="1"/>
  <c r="Q165" i="1"/>
  <c r="Q166" i="1"/>
  <c r="R186" i="1" s="1"/>
  <c r="Q167" i="1"/>
  <c r="Q168" i="1"/>
  <c r="Q169" i="1"/>
  <c r="Q170" i="1"/>
  <c r="R190" i="1" s="1"/>
  <c r="Q171" i="1"/>
  <c r="R191" i="1" s="1"/>
  <c r="Q172" i="1"/>
  <c r="Q173" i="1"/>
  <c r="Q174" i="1"/>
  <c r="Q175" i="1"/>
  <c r="R195" i="1" s="1"/>
  <c r="Q176" i="1"/>
  <c r="Q177" i="1"/>
  <c r="Q178" i="1"/>
  <c r="Q179" i="1"/>
  <c r="R199" i="1" s="1"/>
  <c r="Q180" i="1"/>
  <c r="Q181" i="1"/>
  <c r="Q182" i="1"/>
  <c r="Q183" i="1"/>
  <c r="R203" i="1" s="1"/>
  <c r="Q184" i="1"/>
  <c r="Q185" i="1"/>
  <c r="Q186" i="1"/>
  <c r="Q187" i="1"/>
  <c r="R207" i="1" s="1"/>
  <c r="Q188" i="1"/>
  <c r="Q189" i="1"/>
  <c r="Q190" i="1"/>
  <c r="Q191" i="1"/>
  <c r="R211" i="1" s="1"/>
  <c r="Q192" i="1"/>
  <c r="R212" i="1" s="1"/>
  <c r="Q193" i="1"/>
  <c r="Q194" i="1"/>
  <c r="Q195" i="1"/>
  <c r="Q196" i="1"/>
  <c r="R216" i="1" s="1"/>
  <c r="Q197" i="1"/>
  <c r="Q198" i="1"/>
  <c r="Q199" i="1"/>
  <c r="Q200" i="1"/>
  <c r="R220" i="1" s="1"/>
  <c r="Q201" i="1"/>
  <c r="Q202" i="1"/>
  <c r="Q203" i="1"/>
  <c r="Q204" i="1"/>
  <c r="R224" i="1" s="1"/>
  <c r="Q205" i="1"/>
  <c r="Q206" i="1"/>
  <c r="Q207" i="1"/>
  <c r="Q208" i="1"/>
  <c r="R228" i="1" s="1"/>
  <c r="Q209" i="1"/>
  <c r="Q210" i="1"/>
  <c r="Q211" i="1"/>
  <c r="Q212" i="1"/>
  <c r="R232" i="1" s="1"/>
  <c r="Q213" i="1"/>
  <c r="R233" i="1" s="1"/>
  <c r="Q214" i="1"/>
  <c r="Q215" i="1"/>
  <c r="Q216" i="1"/>
  <c r="Q217" i="1"/>
  <c r="R237" i="1" s="1"/>
  <c r="Q218" i="1"/>
  <c r="Q219" i="1"/>
  <c r="Q220" i="1"/>
  <c r="Q221" i="1"/>
  <c r="R241" i="1" s="1"/>
  <c r="Q222" i="1"/>
  <c r="Q223" i="1"/>
  <c r="Q224" i="1"/>
  <c r="Q225" i="1"/>
  <c r="R245" i="1" s="1"/>
  <c r="Q226" i="1"/>
  <c r="Q227" i="1"/>
  <c r="Q228" i="1"/>
  <c r="Q229" i="1"/>
  <c r="R249" i="1" s="1"/>
  <c r="Q230" i="1"/>
  <c r="Q231" i="1"/>
  <c r="Q232" i="1"/>
  <c r="Q233" i="1"/>
  <c r="R253" i="1" s="1"/>
  <c r="Q234" i="1"/>
  <c r="R254" i="1" s="1"/>
  <c r="Q235" i="1"/>
  <c r="Q236" i="1"/>
  <c r="Q237" i="1"/>
  <c r="Q238" i="1"/>
  <c r="R258" i="1" s="1"/>
  <c r="Q239" i="1"/>
  <c r="Q240" i="1"/>
  <c r="Q241" i="1"/>
  <c r="Q242" i="1"/>
  <c r="R262" i="1" s="1"/>
  <c r="Q243" i="1"/>
  <c r="Q244" i="1"/>
  <c r="Q245" i="1"/>
  <c r="Q246" i="1"/>
  <c r="R266" i="1" s="1"/>
  <c r="Q247" i="1"/>
  <c r="Q248" i="1"/>
  <c r="Q249" i="1"/>
  <c r="Q250" i="1"/>
  <c r="R270" i="1" s="1"/>
  <c r="Q251" i="1"/>
  <c r="Q252" i="1"/>
  <c r="Q253" i="1"/>
  <c r="Q254" i="1"/>
  <c r="R274" i="1" s="1"/>
  <c r="Q255" i="1"/>
  <c r="R275" i="1" s="1"/>
  <c r="Q256" i="1"/>
  <c r="Q257" i="1"/>
  <c r="Q258" i="1"/>
  <c r="Q259" i="1"/>
  <c r="R279" i="1" s="1"/>
  <c r="Q260" i="1"/>
  <c r="Q261" i="1"/>
  <c r="Q262" i="1"/>
  <c r="Q263" i="1"/>
  <c r="R283" i="1" s="1"/>
  <c r="Q264" i="1"/>
  <c r="Q265" i="1"/>
  <c r="Q266" i="1"/>
  <c r="Q267" i="1"/>
  <c r="R287" i="1" s="1"/>
  <c r="Q268" i="1"/>
  <c r="Q269" i="1"/>
  <c r="Q270" i="1"/>
  <c r="Q271" i="1"/>
  <c r="R291" i="1" s="1"/>
  <c r="Q272" i="1"/>
  <c r="Q273" i="1"/>
  <c r="Q274" i="1"/>
  <c r="Q275" i="1"/>
  <c r="R295" i="1" s="1"/>
  <c r="Q276" i="1"/>
  <c r="R296" i="1" s="1"/>
  <c r="Q277" i="1"/>
  <c r="Q278" i="1"/>
  <c r="Q279" i="1"/>
  <c r="Q280" i="1"/>
  <c r="R300" i="1" s="1"/>
  <c r="Q281" i="1"/>
  <c r="Q282" i="1"/>
  <c r="Q283" i="1"/>
  <c r="Q284" i="1"/>
  <c r="R304" i="1" s="1"/>
  <c r="Q285" i="1"/>
  <c r="Q286" i="1"/>
  <c r="Q287" i="1"/>
  <c r="Q288" i="1"/>
  <c r="R308" i="1" s="1"/>
  <c r="Q289" i="1"/>
  <c r="Q290" i="1"/>
  <c r="Q291" i="1"/>
  <c r="Q292" i="1"/>
  <c r="R312" i="1" s="1"/>
  <c r="Q293" i="1"/>
  <c r="Q294" i="1"/>
  <c r="Q295" i="1"/>
  <c r="Q296" i="1"/>
  <c r="R316" i="1" s="1"/>
  <c r="Q297" i="1"/>
  <c r="R317" i="1" s="1"/>
  <c r="Q298" i="1"/>
  <c r="Q299" i="1"/>
  <c r="Q300" i="1"/>
  <c r="Q301" i="1"/>
  <c r="R321" i="1" s="1"/>
  <c r="Q302" i="1"/>
  <c r="Q303" i="1"/>
  <c r="Q304" i="1"/>
  <c r="Q305" i="1"/>
  <c r="R325" i="1" s="1"/>
  <c r="Q306" i="1"/>
  <c r="Q307" i="1"/>
  <c r="Q308" i="1"/>
  <c r="Q309" i="1"/>
  <c r="R329" i="1" s="1"/>
  <c r="Q310" i="1"/>
  <c r="Q311" i="1"/>
  <c r="Q312" i="1"/>
  <c r="Q313" i="1"/>
  <c r="R333" i="1" s="1"/>
  <c r="Q314" i="1"/>
  <c r="Q315" i="1"/>
  <c r="Q316" i="1"/>
  <c r="Q317" i="1"/>
  <c r="R337" i="1" s="1"/>
  <c r="Q318" i="1"/>
  <c r="R338" i="1" s="1"/>
  <c r="Q319" i="1"/>
  <c r="Q320" i="1"/>
  <c r="Q321" i="1"/>
  <c r="Q322" i="1"/>
  <c r="R342" i="1" s="1"/>
  <c r="Q323" i="1"/>
  <c r="Q324" i="1"/>
  <c r="Q325" i="1"/>
  <c r="Q326" i="1"/>
  <c r="R346" i="1" s="1"/>
  <c r="Q327" i="1"/>
  <c r="Q328" i="1"/>
  <c r="Q329" i="1"/>
  <c r="Q330" i="1"/>
  <c r="R350" i="1" s="1"/>
  <c r="Q331" i="1"/>
  <c r="Q332" i="1"/>
  <c r="Q333" i="1"/>
  <c r="Q334" i="1"/>
  <c r="R354" i="1" s="1"/>
  <c r="Q335" i="1"/>
  <c r="Q336" i="1"/>
  <c r="Q337" i="1"/>
  <c r="Q338" i="1"/>
  <c r="R358" i="1" s="1"/>
  <c r="Q339" i="1"/>
  <c r="R359" i="1" s="1"/>
  <c r="Q340" i="1"/>
  <c r="Q341" i="1"/>
  <c r="Q342" i="1"/>
  <c r="Q343" i="1"/>
  <c r="R363" i="1" s="1"/>
  <c r="Q344" i="1"/>
  <c r="Q345" i="1"/>
  <c r="Q346" i="1"/>
  <c r="Q347" i="1"/>
  <c r="R367" i="1" s="1"/>
  <c r="Q348" i="1"/>
  <c r="Q349" i="1"/>
  <c r="Q350" i="1"/>
  <c r="Q351" i="1"/>
  <c r="R371" i="1" s="1"/>
  <c r="Q352" i="1"/>
  <c r="Q353" i="1"/>
  <c r="Q354" i="1"/>
  <c r="Q355" i="1"/>
  <c r="R375" i="1" s="1"/>
  <c r="Q356" i="1"/>
  <c r="Q357" i="1"/>
  <c r="Q358" i="1"/>
  <c r="Q359" i="1"/>
  <c r="R379" i="1" s="1"/>
  <c r="Q360" i="1"/>
  <c r="R380" i="1" s="1"/>
  <c r="Q361" i="1"/>
  <c r="Q362" i="1"/>
  <c r="Q363" i="1"/>
  <c r="Q364" i="1"/>
  <c r="R384" i="1" s="1"/>
  <c r="Q365" i="1"/>
  <c r="Q366" i="1"/>
  <c r="Q367" i="1"/>
  <c r="Q368" i="1"/>
  <c r="R388" i="1" s="1"/>
  <c r="Q369" i="1"/>
  <c r="Q370" i="1"/>
  <c r="Q371" i="1"/>
  <c r="Q372" i="1"/>
  <c r="R392" i="1" s="1"/>
  <c r="Q373" i="1"/>
  <c r="Q374" i="1"/>
  <c r="Q375" i="1"/>
  <c r="Q376" i="1"/>
  <c r="R396" i="1" s="1"/>
  <c r="Q377" i="1"/>
  <c r="Q378" i="1"/>
  <c r="Q379" i="1"/>
  <c r="Q380" i="1"/>
  <c r="R400" i="1" s="1"/>
  <c r="Q381" i="1"/>
  <c r="R401" i="1" s="1"/>
  <c r="Q382" i="1"/>
  <c r="Q383" i="1"/>
  <c r="Q384" i="1"/>
  <c r="Q385" i="1"/>
  <c r="R405" i="1" s="1"/>
  <c r="Q386" i="1"/>
  <c r="Q387" i="1"/>
  <c r="Q388" i="1"/>
  <c r="Q389" i="1"/>
  <c r="R409" i="1" s="1"/>
  <c r="Q390" i="1"/>
  <c r="Q391" i="1"/>
  <c r="Q392" i="1"/>
  <c r="Q393" i="1"/>
  <c r="R413" i="1" s="1"/>
  <c r="Q394" i="1"/>
  <c r="Q395" i="1"/>
  <c r="Q396" i="1"/>
  <c r="Q397" i="1"/>
  <c r="R417" i="1" s="1"/>
  <c r="Q398" i="1"/>
  <c r="Q399" i="1"/>
  <c r="Q400" i="1"/>
  <c r="Q401" i="1"/>
  <c r="R421" i="1" s="1"/>
  <c r="Q402" i="1"/>
  <c r="R422" i="1" s="1"/>
  <c r="Q403" i="1"/>
  <c r="Q404" i="1"/>
  <c r="Q405" i="1"/>
  <c r="Q406" i="1"/>
  <c r="R426" i="1" s="1"/>
  <c r="Q407" i="1"/>
  <c r="Q408" i="1"/>
  <c r="Q409" i="1"/>
  <c r="Q410" i="1"/>
  <c r="R430" i="1" s="1"/>
  <c r="Q411" i="1"/>
  <c r="Q412" i="1"/>
  <c r="Q413" i="1"/>
  <c r="Q414" i="1"/>
  <c r="R434" i="1" s="1"/>
  <c r="Q415" i="1"/>
  <c r="Q416" i="1"/>
  <c r="Q417" i="1"/>
  <c r="Q418" i="1"/>
  <c r="R438" i="1" s="1"/>
  <c r="Q419" i="1"/>
  <c r="Q420" i="1"/>
  <c r="Q421" i="1"/>
  <c r="Q422" i="1"/>
  <c r="R442" i="1" s="1"/>
  <c r="Q423" i="1"/>
  <c r="R443" i="1" s="1"/>
  <c r="Q424" i="1"/>
  <c r="Q425" i="1"/>
  <c r="Q426" i="1"/>
  <c r="Q427" i="1"/>
  <c r="R447" i="1" s="1"/>
  <c r="Q428" i="1"/>
  <c r="Q429" i="1"/>
  <c r="Q430" i="1"/>
  <c r="Q431" i="1"/>
  <c r="R451" i="1" s="1"/>
  <c r="Q432" i="1"/>
  <c r="Q433" i="1"/>
  <c r="Q434" i="1"/>
  <c r="Q435" i="1"/>
  <c r="R455" i="1" s="1"/>
  <c r="Q436" i="1"/>
  <c r="Q437" i="1"/>
  <c r="Q438" i="1"/>
  <c r="Q439" i="1"/>
  <c r="R459" i="1" s="1"/>
  <c r="Q440" i="1"/>
  <c r="Q441" i="1"/>
  <c r="Q442" i="1"/>
  <c r="Q443" i="1"/>
  <c r="R463" i="1" s="1"/>
  <c r="Q444" i="1"/>
  <c r="R464" i="1" s="1"/>
  <c r="Q445" i="1"/>
  <c r="Q446" i="1"/>
  <c r="Q447" i="1"/>
  <c r="Q448" i="1"/>
  <c r="R468" i="1" s="1"/>
  <c r="Q449" i="1"/>
  <c r="Q450" i="1"/>
  <c r="Q451" i="1"/>
  <c r="Q452" i="1"/>
  <c r="R472" i="1" s="1"/>
  <c r="Q453" i="1"/>
  <c r="Q454" i="1"/>
  <c r="Q455" i="1"/>
  <c r="Q456" i="1"/>
  <c r="R476" i="1" s="1"/>
  <c r="Q457" i="1"/>
  <c r="Q458" i="1"/>
  <c r="Q459" i="1"/>
  <c r="Q460" i="1"/>
  <c r="R480" i="1" s="1"/>
  <c r="Q461" i="1"/>
  <c r="Q462" i="1"/>
  <c r="Q463" i="1"/>
  <c r="Q464" i="1"/>
  <c r="R484" i="1" s="1"/>
  <c r="Q465" i="1"/>
  <c r="R485" i="1" s="1"/>
  <c r="Q466" i="1"/>
  <c r="Q467" i="1"/>
  <c r="Q468" i="1"/>
  <c r="Q469" i="1"/>
  <c r="R489" i="1" s="1"/>
  <c r="Q470" i="1"/>
  <c r="Q471" i="1"/>
  <c r="Q472" i="1"/>
  <c r="Q473" i="1"/>
  <c r="R493" i="1" s="1"/>
  <c r="Q474" i="1"/>
  <c r="Q475" i="1"/>
  <c r="Q476" i="1"/>
  <c r="Q477" i="1"/>
  <c r="R497" i="1" s="1"/>
  <c r="Q478" i="1"/>
  <c r="Q479" i="1"/>
  <c r="Q480" i="1"/>
  <c r="Q481" i="1"/>
  <c r="R501" i="1" s="1"/>
  <c r="Q482" i="1"/>
  <c r="Q483" i="1"/>
  <c r="Q484" i="1"/>
  <c r="Q485" i="1"/>
  <c r="R505" i="1" s="1"/>
  <c r="Q486" i="1"/>
  <c r="R506" i="1" s="1"/>
  <c r="Q487" i="1"/>
  <c r="Q488" i="1"/>
  <c r="Q489" i="1"/>
  <c r="Q490" i="1"/>
  <c r="R510" i="1" s="1"/>
  <c r="Q491" i="1"/>
  <c r="Q492" i="1"/>
  <c r="Q493" i="1"/>
  <c r="Q494" i="1"/>
  <c r="R514" i="1" s="1"/>
  <c r="Q495" i="1"/>
  <c r="Q496" i="1"/>
  <c r="Q497" i="1"/>
  <c r="Q498" i="1"/>
  <c r="R518" i="1" s="1"/>
  <c r="Q499" i="1"/>
  <c r="Q500" i="1"/>
  <c r="Q501" i="1"/>
  <c r="Q502" i="1"/>
  <c r="R522" i="1" s="1"/>
  <c r="Q503" i="1"/>
  <c r="Q504" i="1"/>
  <c r="Q505" i="1"/>
  <c r="Q506" i="1"/>
  <c r="R526" i="1" s="1"/>
  <c r="Q507" i="1"/>
  <c r="R527" i="1" s="1"/>
  <c r="Q508" i="1"/>
  <c r="Q509" i="1"/>
  <c r="Q510" i="1"/>
  <c r="Q511" i="1"/>
  <c r="R531" i="1" s="1"/>
  <c r="Q512" i="1"/>
  <c r="Q513" i="1"/>
  <c r="Q514" i="1"/>
  <c r="Q515" i="1"/>
  <c r="R535" i="1" s="1"/>
  <c r="Q516" i="1"/>
  <c r="Q517" i="1"/>
  <c r="Q518" i="1"/>
  <c r="Q519" i="1"/>
  <c r="R539" i="1" s="1"/>
  <c r="Q520" i="1"/>
  <c r="Q521" i="1"/>
  <c r="Q522" i="1"/>
  <c r="Q523" i="1"/>
  <c r="R543" i="1" s="1"/>
  <c r="Q524" i="1"/>
  <c r="Q525" i="1"/>
  <c r="Q526" i="1"/>
  <c r="Q527" i="1"/>
  <c r="R547" i="1" s="1"/>
  <c r="Q528" i="1"/>
  <c r="R548" i="1" s="1"/>
  <c r="Q529" i="1"/>
  <c r="Q530" i="1"/>
  <c r="Q531" i="1"/>
  <c r="Q532" i="1"/>
  <c r="R552" i="1" s="1"/>
  <c r="Q533" i="1"/>
  <c r="Q534" i="1"/>
  <c r="Q535" i="1"/>
  <c r="Q536" i="1"/>
  <c r="R556" i="1" s="1"/>
  <c r="Q537" i="1"/>
  <c r="Q538" i="1"/>
  <c r="Q539" i="1"/>
  <c r="Q540" i="1"/>
  <c r="R560" i="1" s="1"/>
  <c r="Q541" i="1"/>
  <c r="Q542" i="1"/>
  <c r="Q543" i="1"/>
  <c r="Q544" i="1"/>
  <c r="R564" i="1" s="1"/>
  <c r="Q545" i="1"/>
  <c r="Q546" i="1"/>
  <c r="Q547" i="1"/>
  <c r="Q548" i="1"/>
  <c r="R568" i="1" s="1"/>
  <c r="Q549" i="1"/>
  <c r="R569" i="1" s="1"/>
  <c r="Q550" i="1"/>
  <c r="Q551" i="1"/>
  <c r="Q552" i="1"/>
  <c r="Q553" i="1"/>
  <c r="R573" i="1" s="1"/>
  <c r="Q554" i="1"/>
  <c r="Q555" i="1"/>
  <c r="Q556" i="1"/>
  <c r="Q557" i="1"/>
  <c r="R577" i="1" s="1"/>
  <c r="Q558" i="1"/>
  <c r="Q559" i="1"/>
  <c r="Q560" i="1"/>
  <c r="Q561" i="1"/>
  <c r="R581" i="1" s="1"/>
  <c r="Q562" i="1"/>
  <c r="Q563" i="1"/>
  <c r="Q564" i="1"/>
  <c r="Q565" i="1"/>
  <c r="R585" i="1" s="1"/>
  <c r="Q566" i="1"/>
  <c r="Q567" i="1"/>
  <c r="Q568" i="1"/>
  <c r="Q569" i="1"/>
  <c r="R589" i="1" s="1"/>
  <c r="Q570" i="1"/>
  <c r="R590" i="1" s="1"/>
  <c r="Q571" i="1"/>
  <c r="Q572" i="1"/>
  <c r="Q573" i="1"/>
  <c r="Q574" i="1"/>
  <c r="R594" i="1" s="1"/>
  <c r="Q575" i="1"/>
  <c r="Q576" i="1"/>
  <c r="Q577" i="1"/>
  <c r="Q578" i="1"/>
  <c r="R598" i="1" s="1"/>
  <c r="Q579" i="1"/>
  <c r="Q580" i="1"/>
  <c r="Q581" i="1"/>
  <c r="Q582" i="1"/>
  <c r="R602" i="1" s="1"/>
  <c r="Q583" i="1"/>
  <c r="Q584" i="1"/>
  <c r="Q585" i="1"/>
  <c r="Q586" i="1"/>
  <c r="R606" i="1" s="1"/>
  <c r="Q587" i="1"/>
  <c r="Q588" i="1"/>
  <c r="Q589" i="1"/>
  <c r="Q590" i="1"/>
  <c r="R610" i="1" s="1"/>
  <c r="Q591" i="1"/>
  <c r="R611" i="1" s="1"/>
  <c r="Q592" i="1"/>
  <c r="Q593" i="1"/>
  <c r="Q594" i="1"/>
  <c r="Q595" i="1"/>
  <c r="R615" i="1" s="1"/>
  <c r="Q596" i="1"/>
  <c r="Q597" i="1"/>
  <c r="Q598" i="1"/>
  <c r="Q599" i="1"/>
  <c r="R619" i="1" s="1"/>
  <c r="Q600" i="1"/>
  <c r="Q601" i="1"/>
  <c r="Q602" i="1"/>
  <c r="Q603" i="1"/>
  <c r="R623" i="1" s="1"/>
  <c r="Q604" i="1"/>
  <c r="Q605" i="1"/>
  <c r="Q606" i="1"/>
  <c r="Q607" i="1"/>
  <c r="R627" i="1" s="1"/>
  <c r="Q608" i="1"/>
  <c r="Q609" i="1"/>
  <c r="Q610" i="1"/>
  <c r="Q611" i="1"/>
  <c r="R631" i="1" s="1"/>
  <c r="Q612" i="1"/>
  <c r="R632" i="1" s="1"/>
  <c r="Q613" i="1"/>
  <c r="Q614" i="1"/>
  <c r="Q615" i="1"/>
  <c r="Q616" i="1"/>
  <c r="R636" i="1" s="1"/>
  <c r="Q617" i="1"/>
  <c r="Q618" i="1"/>
  <c r="Q619" i="1"/>
  <c r="Q620" i="1"/>
  <c r="R640" i="1" s="1"/>
  <c r="Q621" i="1"/>
  <c r="Q622" i="1"/>
  <c r="Q623" i="1"/>
  <c r="Q624" i="1"/>
  <c r="R644" i="1" s="1"/>
  <c r="Q625" i="1"/>
  <c r="Q626" i="1"/>
  <c r="Q627" i="1"/>
  <c r="Q628" i="1"/>
  <c r="R648" i="1" s="1"/>
  <c r="Q629" i="1"/>
  <c r="Q630" i="1"/>
  <c r="Q631" i="1"/>
  <c r="Q632" i="1"/>
  <c r="R652" i="1" s="1"/>
  <c r="Q633" i="1"/>
  <c r="R653" i="1" s="1"/>
  <c r="Q634" i="1"/>
  <c r="Q635" i="1"/>
  <c r="Q636" i="1"/>
  <c r="Q637" i="1"/>
  <c r="R657" i="1" s="1"/>
  <c r="Q638" i="1"/>
  <c r="Q639" i="1"/>
  <c r="Q640" i="1"/>
  <c r="Q641" i="1"/>
  <c r="R661" i="1" s="1"/>
  <c r="Q642" i="1"/>
  <c r="Q643" i="1"/>
  <c r="Q644" i="1"/>
  <c r="Q645" i="1"/>
  <c r="R665" i="1" s="1"/>
  <c r="Q646" i="1"/>
  <c r="Q647" i="1"/>
  <c r="Q648" i="1"/>
  <c r="Q649" i="1"/>
  <c r="R669" i="1" s="1"/>
  <c r="Q650" i="1"/>
  <c r="Q651" i="1"/>
  <c r="Q652" i="1"/>
  <c r="Q653" i="1"/>
  <c r="R673" i="1" s="1"/>
  <c r="Q654" i="1"/>
  <c r="R674" i="1" s="1"/>
  <c r="Q655" i="1"/>
  <c r="Q656" i="1"/>
  <c r="Q657" i="1"/>
  <c r="Q658" i="1"/>
  <c r="R678" i="1" s="1"/>
  <c r="Q659" i="1"/>
  <c r="Q660" i="1"/>
  <c r="Q661" i="1"/>
  <c r="Q662" i="1"/>
  <c r="R682" i="1" s="1"/>
  <c r="Q663" i="1"/>
  <c r="Q664" i="1"/>
  <c r="Q665" i="1"/>
  <c r="Q666" i="1"/>
  <c r="R686" i="1" s="1"/>
  <c r="Q667" i="1"/>
  <c r="Q668" i="1"/>
  <c r="Q669" i="1"/>
  <c r="Q670" i="1"/>
  <c r="R690" i="1" s="1"/>
  <c r="Q671" i="1"/>
  <c r="Q672" i="1"/>
  <c r="Q673" i="1"/>
  <c r="Q674" i="1"/>
  <c r="R694" i="1" s="1"/>
  <c r="Q675" i="1"/>
  <c r="R695" i="1" s="1"/>
  <c r="Q676" i="1"/>
  <c r="Q677" i="1"/>
  <c r="Q678" i="1"/>
  <c r="Q679" i="1"/>
  <c r="R699" i="1" s="1"/>
  <c r="Q680" i="1"/>
  <c r="Q681" i="1"/>
  <c r="Q682" i="1"/>
  <c r="Q683" i="1"/>
  <c r="R703" i="1" s="1"/>
  <c r="Q684" i="1"/>
  <c r="Q685" i="1"/>
  <c r="Q686" i="1"/>
  <c r="Q687" i="1"/>
  <c r="R707" i="1" s="1"/>
  <c r="Q688" i="1"/>
  <c r="Q689" i="1"/>
  <c r="Q690" i="1"/>
  <c r="Q691" i="1"/>
  <c r="R711" i="1" s="1"/>
  <c r="Q692" i="1"/>
  <c r="Q693" i="1"/>
  <c r="Q694" i="1"/>
  <c r="Q695" i="1"/>
  <c r="R715" i="1" s="1"/>
  <c r="Q696" i="1"/>
  <c r="R716" i="1" s="1"/>
  <c r="Q697" i="1"/>
  <c r="Q698" i="1"/>
  <c r="Q699" i="1"/>
  <c r="Q700" i="1"/>
  <c r="R720" i="1" s="1"/>
  <c r="Q701" i="1"/>
  <c r="Q702" i="1"/>
  <c r="Q703" i="1"/>
  <c r="Q704" i="1"/>
  <c r="R724" i="1" s="1"/>
  <c r="Q705" i="1"/>
  <c r="Q706" i="1"/>
  <c r="Q707" i="1"/>
  <c r="Q708" i="1"/>
  <c r="R728" i="1" s="1"/>
  <c r="Q709" i="1"/>
  <c r="Q710" i="1"/>
  <c r="Q711" i="1"/>
  <c r="Q712" i="1"/>
  <c r="R732" i="1" s="1"/>
  <c r="Q713" i="1"/>
  <c r="Q714" i="1"/>
  <c r="Q715" i="1"/>
  <c r="Q716" i="1"/>
  <c r="R736" i="1" s="1"/>
  <c r="Q717" i="1"/>
  <c r="R737" i="1" s="1"/>
  <c r="Q718" i="1"/>
  <c r="Q719" i="1"/>
  <c r="Q720" i="1"/>
  <c r="Q721" i="1"/>
  <c r="R741" i="1" s="1"/>
  <c r="Q722" i="1"/>
  <c r="Q723" i="1"/>
  <c r="Q724" i="1"/>
  <c r="Q725" i="1"/>
  <c r="R745" i="1" s="1"/>
  <c r="Q726" i="1"/>
  <c r="Q727" i="1"/>
  <c r="Q728" i="1"/>
  <c r="Q729" i="1"/>
  <c r="R749" i="1" s="1"/>
  <c r="Q730" i="1"/>
  <c r="Q731" i="1"/>
  <c r="Q732" i="1"/>
  <c r="Q733" i="1"/>
  <c r="R753" i="1" s="1"/>
  <c r="Q734" i="1"/>
  <c r="Q735" i="1"/>
  <c r="Q736" i="1"/>
  <c r="Q737" i="1"/>
  <c r="R757" i="1" s="1"/>
  <c r="Q738" i="1"/>
  <c r="R758" i="1" s="1"/>
  <c r="Q739" i="1"/>
  <c r="Q740" i="1"/>
  <c r="Q741" i="1"/>
  <c r="Q742" i="1"/>
  <c r="R762" i="1" s="1"/>
  <c r="Q743" i="1"/>
  <c r="Q744" i="1"/>
  <c r="Q745" i="1"/>
  <c r="Q746" i="1"/>
  <c r="R766" i="1" s="1"/>
  <c r="Q747" i="1"/>
  <c r="Q748" i="1"/>
  <c r="Q749" i="1"/>
  <c r="Q750" i="1"/>
  <c r="R770" i="1" s="1"/>
  <c r="Q751" i="1"/>
  <c r="Q752" i="1"/>
  <c r="Q753" i="1"/>
  <c r="Q754" i="1"/>
  <c r="R774" i="1" s="1"/>
  <c r="Q755" i="1"/>
  <c r="Q756" i="1"/>
  <c r="Q757" i="1"/>
  <c r="Q758" i="1"/>
  <c r="R778" i="1" s="1"/>
  <c r="Q759" i="1"/>
  <c r="R779" i="1" s="1"/>
  <c r="Q760" i="1"/>
  <c r="Q761" i="1"/>
  <c r="Q762" i="1"/>
  <c r="Q763" i="1"/>
  <c r="R783" i="1" s="1"/>
  <c r="Q764" i="1"/>
  <c r="Q765" i="1"/>
  <c r="Q766" i="1"/>
  <c r="Q767" i="1"/>
  <c r="R787" i="1" s="1"/>
  <c r="Q768" i="1"/>
  <c r="Q769" i="1"/>
  <c r="Q770" i="1"/>
  <c r="Q771" i="1"/>
  <c r="R791" i="1" s="1"/>
  <c r="Q772" i="1"/>
  <c r="Q773" i="1"/>
  <c r="Q774" i="1"/>
  <c r="Q775" i="1"/>
  <c r="R795" i="1" s="1"/>
  <c r="Q776" i="1"/>
  <c r="Q777" i="1"/>
  <c r="Q778" i="1"/>
  <c r="Q779" i="1"/>
  <c r="R799" i="1" s="1"/>
  <c r="Q780" i="1"/>
  <c r="R800" i="1" s="1"/>
  <c r="Q781" i="1"/>
  <c r="Q782" i="1"/>
  <c r="Q783" i="1"/>
  <c r="Q784" i="1"/>
  <c r="R804" i="1" s="1"/>
  <c r="Q785" i="1"/>
  <c r="Q786" i="1"/>
  <c r="Q787" i="1"/>
  <c r="Q788" i="1"/>
  <c r="R808" i="1" s="1"/>
  <c r="Q789" i="1"/>
  <c r="Q790" i="1"/>
  <c r="Q791" i="1"/>
  <c r="Q792" i="1"/>
  <c r="R812" i="1" s="1"/>
  <c r="Q793" i="1"/>
  <c r="Q794" i="1"/>
  <c r="Q795" i="1"/>
  <c r="Q796" i="1"/>
  <c r="R816" i="1" s="1"/>
  <c r="Q797" i="1"/>
  <c r="Q798" i="1"/>
  <c r="Q799" i="1"/>
  <c r="Q800" i="1"/>
  <c r="R820" i="1" s="1"/>
  <c r="Q801" i="1"/>
  <c r="R821" i="1" s="1"/>
  <c r="Q802" i="1"/>
  <c r="Q803" i="1"/>
  <c r="Q804" i="1"/>
  <c r="Q805" i="1"/>
  <c r="R825" i="1" s="1"/>
  <c r="Q806" i="1"/>
  <c r="Q807" i="1"/>
  <c r="Q808" i="1"/>
  <c r="Q809" i="1"/>
  <c r="R829" i="1" s="1"/>
  <c r="Q810" i="1"/>
  <c r="Q811" i="1"/>
  <c r="Q812" i="1"/>
  <c r="Q813" i="1"/>
  <c r="R833" i="1" s="1"/>
  <c r="Q814" i="1"/>
  <c r="Q815" i="1"/>
  <c r="Q816" i="1"/>
  <c r="Q817" i="1"/>
  <c r="R837" i="1" s="1"/>
  <c r="Q818" i="1"/>
  <c r="Q819" i="1"/>
  <c r="Q820" i="1"/>
  <c r="Q821" i="1"/>
  <c r="R841" i="1" s="1"/>
  <c r="Q822" i="1"/>
  <c r="R842" i="1" s="1"/>
  <c r="Q823" i="1"/>
  <c r="Q824" i="1"/>
  <c r="Q825" i="1"/>
  <c r="Q826" i="1"/>
  <c r="R846" i="1" s="1"/>
  <c r="Q827" i="1"/>
  <c r="Q828" i="1"/>
  <c r="Q829" i="1"/>
  <c r="Q830" i="1"/>
  <c r="R850" i="1" s="1"/>
  <c r="Q831" i="1"/>
  <c r="Q832" i="1"/>
  <c r="Q833" i="1"/>
  <c r="Q834" i="1"/>
  <c r="R854" i="1" s="1"/>
  <c r="Q835" i="1"/>
  <c r="Q836" i="1"/>
  <c r="Q837" i="1"/>
  <c r="Q838" i="1"/>
  <c r="R858" i="1" s="1"/>
  <c r="Q839" i="1"/>
  <c r="Q840" i="1"/>
  <c r="Q841" i="1"/>
  <c r="Q842" i="1"/>
  <c r="R862" i="1" s="1"/>
  <c r="Q843" i="1"/>
  <c r="R863" i="1" s="1"/>
  <c r="Q844" i="1"/>
  <c r="Q845" i="1"/>
  <c r="Q846" i="1"/>
  <c r="Q847" i="1"/>
  <c r="R867" i="1" s="1"/>
  <c r="Q848" i="1"/>
  <c r="Q849" i="1"/>
  <c r="Q850" i="1"/>
  <c r="Q851" i="1"/>
  <c r="R871" i="1" s="1"/>
  <c r="Q852" i="1"/>
  <c r="Q853" i="1"/>
  <c r="Q854" i="1"/>
  <c r="Q855" i="1"/>
  <c r="R875" i="1" s="1"/>
  <c r="Q856" i="1"/>
  <c r="Q857" i="1"/>
  <c r="Q858" i="1"/>
  <c r="Q859" i="1"/>
  <c r="R879" i="1" s="1"/>
  <c r="Q860" i="1"/>
  <c r="Q861" i="1"/>
  <c r="Q862" i="1"/>
  <c r="Q863" i="1"/>
  <c r="R883" i="1" s="1"/>
  <c r="Q864" i="1"/>
  <c r="R884" i="1" s="1"/>
  <c r="Q865" i="1"/>
  <c r="Q866" i="1"/>
  <c r="Q867" i="1"/>
  <c r="Q868" i="1"/>
  <c r="R888" i="1" s="1"/>
  <c r="Q869" i="1"/>
  <c r="Q870" i="1"/>
  <c r="Q871" i="1"/>
  <c r="Q872" i="1"/>
  <c r="R892" i="1" s="1"/>
  <c r="Q873" i="1"/>
  <c r="Q874" i="1"/>
  <c r="Q875" i="1"/>
  <c r="Q876" i="1"/>
  <c r="R896" i="1" s="1"/>
  <c r="Q877" i="1"/>
  <c r="Q878" i="1"/>
  <c r="Q879" i="1"/>
  <c r="Q880" i="1"/>
  <c r="R900" i="1" s="1"/>
  <c r="Q881" i="1"/>
  <c r="Q882" i="1"/>
  <c r="Q883" i="1"/>
  <c r="Q884" i="1"/>
  <c r="R904" i="1" s="1"/>
  <c r="Q885" i="1"/>
  <c r="R905" i="1" s="1"/>
  <c r="Q886" i="1"/>
  <c r="Q887" i="1"/>
  <c r="Q888" i="1"/>
  <c r="Q889" i="1"/>
  <c r="R909" i="1" s="1"/>
  <c r="Q890" i="1"/>
  <c r="Q891" i="1"/>
  <c r="Q892" i="1"/>
  <c r="Q893" i="1"/>
  <c r="R913" i="1" s="1"/>
  <c r="Q894" i="1"/>
  <c r="Q895" i="1"/>
  <c r="Q896" i="1"/>
  <c r="Q897" i="1"/>
  <c r="R917" i="1" s="1"/>
  <c r="Q898" i="1"/>
  <c r="Q899" i="1"/>
  <c r="Q900" i="1"/>
  <c r="Q901" i="1"/>
  <c r="R921" i="1" s="1"/>
  <c r="Q902" i="1"/>
  <c r="Q903" i="1"/>
  <c r="Q904" i="1"/>
  <c r="Q905" i="1"/>
  <c r="R925" i="1" s="1"/>
  <c r="Q906" i="1"/>
  <c r="R926" i="1" s="1"/>
  <c r="Q907" i="1"/>
  <c r="Q908" i="1"/>
  <c r="Q909" i="1"/>
  <c r="Q910" i="1"/>
  <c r="R930" i="1" s="1"/>
  <c r="Q911" i="1"/>
  <c r="Q912" i="1"/>
  <c r="Q913" i="1"/>
  <c r="Q914" i="1"/>
  <c r="R934" i="1" s="1"/>
  <c r="Q915" i="1"/>
  <c r="Q916" i="1"/>
  <c r="Q917" i="1"/>
  <c r="Q918" i="1"/>
  <c r="R938" i="1" s="1"/>
  <c r="Q919" i="1"/>
  <c r="Q920" i="1"/>
  <c r="Q921" i="1"/>
  <c r="Q922" i="1"/>
  <c r="R942" i="1" s="1"/>
  <c r="Q923" i="1"/>
  <c r="Q924" i="1"/>
  <c r="Q925" i="1"/>
  <c r="Q926" i="1"/>
  <c r="R946" i="1" s="1"/>
  <c r="Q927" i="1"/>
  <c r="R947" i="1" s="1"/>
  <c r="Q928" i="1"/>
  <c r="Q929" i="1"/>
  <c r="Q930" i="1"/>
  <c r="Q931" i="1"/>
  <c r="R951" i="1" s="1"/>
  <c r="Q932" i="1"/>
  <c r="Q933" i="1"/>
  <c r="Q934" i="1"/>
  <c r="Q935" i="1"/>
  <c r="R955" i="1" s="1"/>
  <c r="Q936" i="1"/>
  <c r="Q937" i="1"/>
  <c r="Q938" i="1"/>
  <c r="Q939" i="1"/>
  <c r="R959" i="1" s="1"/>
  <c r="Q940" i="1"/>
  <c r="Q941" i="1"/>
  <c r="Q942" i="1"/>
  <c r="Q943" i="1"/>
  <c r="R963" i="1" s="1"/>
  <c r="Q944" i="1"/>
  <c r="Q945" i="1"/>
  <c r="Q946" i="1"/>
  <c r="Q947" i="1"/>
  <c r="R967" i="1" s="1"/>
  <c r="Q948" i="1"/>
  <c r="R968" i="1" s="1"/>
  <c r="Q949" i="1"/>
  <c r="Q950" i="1"/>
  <c r="Q951" i="1"/>
  <c r="Q952" i="1"/>
  <c r="R972" i="1" s="1"/>
  <c r="Q953" i="1"/>
  <c r="Q954" i="1"/>
  <c r="Q955" i="1"/>
  <c r="Q956" i="1"/>
  <c r="R976" i="1" s="1"/>
  <c r="Q957" i="1"/>
  <c r="Q958" i="1"/>
  <c r="Q959" i="1"/>
  <c r="Q960" i="1"/>
  <c r="R980" i="1" s="1"/>
  <c r="Q961" i="1"/>
  <c r="Q962" i="1"/>
  <c r="Q963" i="1"/>
  <c r="Q964" i="1"/>
  <c r="R984" i="1" s="1"/>
  <c r="Q965" i="1"/>
  <c r="Q966" i="1"/>
  <c r="Q967" i="1"/>
  <c r="Q968" i="1"/>
  <c r="R988" i="1" s="1"/>
  <c r="Q969" i="1"/>
  <c r="R989" i="1" s="1"/>
  <c r="Q970" i="1"/>
  <c r="Q971" i="1"/>
  <c r="Q972" i="1"/>
  <c r="Q973" i="1"/>
  <c r="R993" i="1" s="1"/>
  <c r="Q974" i="1"/>
  <c r="Q975" i="1"/>
  <c r="Q976" i="1"/>
  <c r="Q977" i="1"/>
  <c r="R997" i="1" s="1"/>
  <c r="Q978" i="1"/>
  <c r="Q979" i="1"/>
  <c r="Q980" i="1"/>
  <c r="Q981" i="1"/>
  <c r="R1001" i="1" s="1"/>
  <c r="Q982" i="1"/>
  <c r="Q983" i="1"/>
  <c r="Q984" i="1"/>
  <c r="Q985" i="1"/>
  <c r="R1005" i="1" s="1"/>
  <c r="Q986" i="1"/>
  <c r="Q987" i="1"/>
  <c r="Q988" i="1"/>
  <c r="Q989" i="1"/>
  <c r="R1009" i="1" s="1"/>
  <c r="Q990" i="1"/>
  <c r="R1010" i="1" s="1"/>
  <c r="Q991" i="1"/>
  <c r="Q992" i="1"/>
  <c r="Q993" i="1"/>
  <c r="Q994" i="1"/>
  <c r="R1014" i="1" s="1"/>
  <c r="Q995" i="1"/>
  <c r="Q996" i="1"/>
  <c r="Q997" i="1"/>
  <c r="Q998" i="1"/>
  <c r="R1018" i="1" s="1"/>
  <c r="Q999" i="1"/>
  <c r="Q1000" i="1"/>
  <c r="Q1001" i="1"/>
  <c r="Q1002" i="1"/>
  <c r="R1022" i="1" s="1"/>
  <c r="Q1003" i="1"/>
  <c r="Q1004" i="1"/>
  <c r="Q1005" i="1"/>
  <c r="Q1006" i="1"/>
  <c r="R1026" i="1" s="1"/>
  <c r="Q1007" i="1"/>
  <c r="Q1008" i="1"/>
  <c r="Q1009" i="1"/>
  <c r="Q1010" i="1"/>
  <c r="R1030" i="1" s="1"/>
  <c r="Q1011" i="1"/>
  <c r="R1031" i="1" s="1"/>
  <c r="Q1012" i="1"/>
  <c r="Q1013" i="1"/>
  <c r="Q1014" i="1"/>
  <c r="Q1015" i="1"/>
  <c r="R1035" i="1" s="1"/>
  <c r="Q1016" i="1"/>
  <c r="Q1017" i="1"/>
  <c r="Q1018" i="1"/>
  <c r="Q1019" i="1"/>
  <c r="R1039" i="1" s="1"/>
  <c r="Q1020" i="1"/>
  <c r="Q1021" i="1"/>
  <c r="Q1022" i="1"/>
  <c r="Q1023" i="1"/>
  <c r="R1043" i="1" s="1"/>
  <c r="Q1024" i="1"/>
  <c r="Q1025" i="1"/>
  <c r="Q1026" i="1"/>
  <c r="Q1027" i="1"/>
  <c r="R1047" i="1" s="1"/>
  <c r="Q1028" i="1"/>
  <c r="Q1029" i="1"/>
  <c r="Q1030" i="1"/>
  <c r="Q1031" i="1"/>
  <c r="R1051" i="1" s="1"/>
  <c r="Q1032" i="1"/>
  <c r="R1052" i="1" s="1"/>
  <c r="Q1033" i="1"/>
  <c r="Q1034" i="1"/>
  <c r="Q1035" i="1"/>
  <c r="Q1036" i="1"/>
  <c r="R1056" i="1" s="1"/>
  <c r="Q1037" i="1"/>
  <c r="Q1038" i="1"/>
  <c r="Q1039" i="1"/>
  <c r="Q1040" i="1"/>
  <c r="R1060" i="1" s="1"/>
  <c r="Q1041" i="1"/>
  <c r="Q1042" i="1"/>
  <c r="Q1043" i="1"/>
  <c r="Q1044" i="1"/>
  <c r="R1064" i="1" s="1"/>
  <c r="Q1045" i="1"/>
  <c r="Q1046" i="1"/>
  <c r="Q1047" i="1"/>
  <c r="Q1048" i="1"/>
  <c r="R1068" i="1" s="1"/>
  <c r="Q1049" i="1"/>
  <c r="Q1050" i="1"/>
  <c r="Q1051" i="1"/>
  <c r="Q1052" i="1"/>
  <c r="R1072" i="1" s="1"/>
  <c r="Q1053" i="1"/>
  <c r="R1073" i="1" s="1"/>
  <c r="Q1054" i="1"/>
  <c r="Q1055" i="1"/>
  <c r="Q1056" i="1"/>
  <c r="Q1057" i="1"/>
  <c r="R1077" i="1" s="1"/>
  <c r="Q1058" i="1"/>
  <c r="Q1059" i="1"/>
  <c r="Q1060" i="1"/>
  <c r="Q1061" i="1"/>
  <c r="R1081" i="1" s="1"/>
  <c r="Q1062" i="1"/>
  <c r="Q1063" i="1"/>
  <c r="Q1064" i="1"/>
  <c r="Q1065" i="1"/>
  <c r="R1085" i="1" s="1"/>
  <c r="Q1066" i="1"/>
  <c r="Q1067" i="1"/>
  <c r="Q1068" i="1"/>
  <c r="Q1069" i="1"/>
  <c r="R1089" i="1" s="1"/>
  <c r="Q1070" i="1"/>
  <c r="Q1071" i="1"/>
  <c r="Q1072" i="1"/>
  <c r="Q1073" i="1"/>
  <c r="R1093" i="1" s="1"/>
  <c r="Q1074" i="1"/>
  <c r="R1094" i="1" s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3" i="1"/>
  <c r="R23" i="1" s="1"/>
  <c r="Q4" i="1"/>
  <c r="Q5" i="1"/>
  <c r="Q6" i="1"/>
  <c r="Q7" i="1"/>
  <c r="R27" i="1" s="1"/>
  <c r="Q8" i="1"/>
  <c r="Q9" i="1"/>
  <c r="Q10" i="1"/>
  <c r="Q11" i="1"/>
  <c r="R31" i="1" s="1"/>
  <c r="Q2" i="1"/>
  <c r="R22" i="1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2" i="1"/>
  <c r="O3" i="1"/>
  <c r="O4" i="1"/>
  <c r="O5" i="1"/>
  <c r="O556" i="1"/>
  <c r="O557" i="1"/>
  <c r="O558" i="1"/>
  <c r="O559" i="1"/>
  <c r="O947" i="1"/>
  <c r="O948" i="1"/>
  <c r="O949" i="1"/>
  <c r="O950" i="1"/>
  <c r="O980" i="1"/>
  <c r="O981" i="1"/>
  <c r="O982" i="1"/>
  <c r="O983" i="1"/>
  <c r="O1073" i="1"/>
  <c r="O1074" i="1"/>
  <c r="O1075" i="1"/>
  <c r="O1076" i="1"/>
  <c r="O1077" i="1"/>
  <c r="O1078" i="1"/>
  <c r="O1079" i="1"/>
  <c r="O1080" i="1"/>
  <c r="O1094" i="1"/>
  <c r="O1095" i="1"/>
  <c r="O1096" i="1"/>
  <c r="O1097" i="1"/>
  <c r="O2" i="1"/>
  <c r="N3" i="1"/>
  <c r="N4" i="1"/>
  <c r="N5" i="1"/>
  <c r="N6" i="1"/>
  <c r="O6" i="1" s="1"/>
  <c r="N7" i="1"/>
  <c r="O7" i="1" s="1"/>
  <c r="N556" i="1"/>
  <c r="N557" i="1"/>
  <c r="N558" i="1"/>
  <c r="N559" i="1"/>
  <c r="N947" i="1"/>
  <c r="N948" i="1"/>
  <c r="N949" i="1"/>
  <c r="N950" i="1"/>
  <c r="N980" i="1"/>
  <c r="N981" i="1"/>
  <c r="N982" i="1"/>
  <c r="N983" i="1"/>
  <c r="N1073" i="1"/>
  <c r="N1074" i="1"/>
  <c r="N1075" i="1"/>
  <c r="N1076" i="1"/>
  <c r="N1077" i="1"/>
  <c r="N1078" i="1"/>
  <c r="N1079" i="1"/>
  <c r="N1080" i="1"/>
  <c r="N1094" i="1"/>
  <c r="N1095" i="1"/>
  <c r="N1096" i="1"/>
  <c r="N1097" i="1"/>
  <c r="N2" i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9" i="1"/>
  <c r="N29" i="1" s="1"/>
  <c r="O29" i="1" s="1"/>
  <c r="M30" i="1"/>
  <c r="N30" i="1" s="1"/>
  <c r="O30" i="1" s="1"/>
  <c r="M31" i="1"/>
  <c r="N31" i="1" s="1"/>
  <c r="O31" i="1" s="1"/>
  <c r="M32" i="1"/>
  <c r="N32" i="1" s="1"/>
  <c r="O32" i="1" s="1"/>
  <c r="M33" i="1"/>
  <c r="N33" i="1" s="1"/>
  <c r="O33" i="1" s="1"/>
  <c r="M34" i="1"/>
  <c r="N34" i="1" s="1"/>
  <c r="O34" i="1" s="1"/>
  <c r="M35" i="1"/>
  <c r="N35" i="1" s="1"/>
  <c r="O35" i="1" s="1"/>
  <c r="M36" i="1"/>
  <c r="N36" i="1" s="1"/>
  <c r="O36" i="1" s="1"/>
  <c r="M37" i="1"/>
  <c r="N37" i="1" s="1"/>
  <c r="O37" i="1" s="1"/>
  <c r="M38" i="1"/>
  <c r="N38" i="1" s="1"/>
  <c r="O38" i="1" s="1"/>
  <c r="M39" i="1"/>
  <c r="N39" i="1" s="1"/>
  <c r="O39" i="1" s="1"/>
  <c r="M40" i="1"/>
  <c r="N40" i="1" s="1"/>
  <c r="O40" i="1" s="1"/>
  <c r="M41" i="1"/>
  <c r="N41" i="1" s="1"/>
  <c r="O41" i="1" s="1"/>
  <c r="M42" i="1"/>
  <c r="N42" i="1" s="1"/>
  <c r="O42" i="1" s="1"/>
  <c r="M43" i="1"/>
  <c r="N43" i="1" s="1"/>
  <c r="O43" i="1" s="1"/>
  <c r="M44" i="1"/>
  <c r="N44" i="1" s="1"/>
  <c r="O44" i="1" s="1"/>
  <c r="M45" i="1"/>
  <c r="N45" i="1" s="1"/>
  <c r="O45" i="1" s="1"/>
  <c r="M46" i="1"/>
  <c r="N46" i="1" s="1"/>
  <c r="O46" i="1" s="1"/>
  <c r="M47" i="1"/>
  <c r="N47" i="1" s="1"/>
  <c r="O47" i="1" s="1"/>
  <c r="M48" i="1"/>
  <c r="N48" i="1" s="1"/>
  <c r="O48" i="1" s="1"/>
  <c r="M49" i="1"/>
  <c r="N49" i="1" s="1"/>
  <c r="O49" i="1" s="1"/>
  <c r="M50" i="1"/>
  <c r="N50" i="1" s="1"/>
  <c r="O50" i="1" s="1"/>
  <c r="M51" i="1"/>
  <c r="N51" i="1" s="1"/>
  <c r="O51" i="1" s="1"/>
  <c r="M52" i="1"/>
  <c r="N52" i="1" s="1"/>
  <c r="O52" i="1" s="1"/>
  <c r="M53" i="1"/>
  <c r="N53" i="1" s="1"/>
  <c r="O53" i="1" s="1"/>
  <c r="M54" i="1"/>
  <c r="N54" i="1" s="1"/>
  <c r="O54" i="1" s="1"/>
  <c r="M55" i="1"/>
  <c r="N55" i="1" s="1"/>
  <c r="O55" i="1" s="1"/>
  <c r="M56" i="1"/>
  <c r="N56" i="1" s="1"/>
  <c r="O56" i="1" s="1"/>
  <c r="M57" i="1"/>
  <c r="N57" i="1" s="1"/>
  <c r="O57" i="1" s="1"/>
  <c r="M58" i="1"/>
  <c r="N58" i="1" s="1"/>
  <c r="O58" i="1" s="1"/>
  <c r="M59" i="1"/>
  <c r="N59" i="1" s="1"/>
  <c r="O59" i="1" s="1"/>
  <c r="M60" i="1"/>
  <c r="N60" i="1" s="1"/>
  <c r="O60" i="1" s="1"/>
  <c r="M61" i="1"/>
  <c r="N61" i="1" s="1"/>
  <c r="O61" i="1" s="1"/>
  <c r="M62" i="1"/>
  <c r="N62" i="1" s="1"/>
  <c r="O62" i="1" s="1"/>
  <c r="M63" i="1"/>
  <c r="N63" i="1" s="1"/>
  <c r="O63" i="1" s="1"/>
  <c r="M64" i="1"/>
  <c r="N64" i="1" s="1"/>
  <c r="O64" i="1" s="1"/>
  <c r="M65" i="1"/>
  <c r="N65" i="1" s="1"/>
  <c r="O65" i="1" s="1"/>
  <c r="M66" i="1"/>
  <c r="N66" i="1" s="1"/>
  <c r="O66" i="1" s="1"/>
  <c r="M67" i="1"/>
  <c r="N67" i="1" s="1"/>
  <c r="O67" i="1" s="1"/>
  <c r="M68" i="1"/>
  <c r="N68" i="1" s="1"/>
  <c r="O68" i="1" s="1"/>
  <c r="M69" i="1"/>
  <c r="N69" i="1" s="1"/>
  <c r="O69" i="1" s="1"/>
  <c r="M70" i="1"/>
  <c r="N70" i="1" s="1"/>
  <c r="O70" i="1" s="1"/>
  <c r="M71" i="1"/>
  <c r="N71" i="1" s="1"/>
  <c r="O71" i="1" s="1"/>
  <c r="M72" i="1"/>
  <c r="N72" i="1" s="1"/>
  <c r="O72" i="1" s="1"/>
  <c r="M73" i="1"/>
  <c r="N73" i="1" s="1"/>
  <c r="O73" i="1" s="1"/>
  <c r="M74" i="1"/>
  <c r="N74" i="1" s="1"/>
  <c r="O74" i="1" s="1"/>
  <c r="M75" i="1"/>
  <c r="N75" i="1" s="1"/>
  <c r="O75" i="1" s="1"/>
  <c r="M76" i="1"/>
  <c r="N76" i="1" s="1"/>
  <c r="O76" i="1" s="1"/>
  <c r="M77" i="1"/>
  <c r="N77" i="1" s="1"/>
  <c r="O77" i="1" s="1"/>
  <c r="M78" i="1"/>
  <c r="N78" i="1" s="1"/>
  <c r="O78" i="1" s="1"/>
  <c r="M79" i="1"/>
  <c r="N79" i="1" s="1"/>
  <c r="O79" i="1" s="1"/>
  <c r="M80" i="1"/>
  <c r="N80" i="1" s="1"/>
  <c r="O80" i="1" s="1"/>
  <c r="M81" i="1"/>
  <c r="N81" i="1" s="1"/>
  <c r="O81" i="1" s="1"/>
  <c r="M82" i="1"/>
  <c r="N82" i="1" s="1"/>
  <c r="O82" i="1" s="1"/>
  <c r="M83" i="1"/>
  <c r="N83" i="1" s="1"/>
  <c r="O83" i="1" s="1"/>
  <c r="M84" i="1"/>
  <c r="N84" i="1" s="1"/>
  <c r="O84" i="1" s="1"/>
  <c r="M85" i="1"/>
  <c r="N85" i="1" s="1"/>
  <c r="O85" i="1" s="1"/>
  <c r="M86" i="1"/>
  <c r="N86" i="1" s="1"/>
  <c r="O86" i="1" s="1"/>
  <c r="M87" i="1"/>
  <c r="N87" i="1" s="1"/>
  <c r="O87" i="1" s="1"/>
  <c r="M88" i="1"/>
  <c r="N88" i="1" s="1"/>
  <c r="O88" i="1" s="1"/>
  <c r="M89" i="1"/>
  <c r="N89" i="1" s="1"/>
  <c r="O89" i="1" s="1"/>
  <c r="M90" i="1"/>
  <c r="N90" i="1" s="1"/>
  <c r="O90" i="1" s="1"/>
  <c r="M91" i="1"/>
  <c r="N91" i="1" s="1"/>
  <c r="O91" i="1" s="1"/>
  <c r="M92" i="1"/>
  <c r="N92" i="1" s="1"/>
  <c r="O92" i="1" s="1"/>
  <c r="M93" i="1"/>
  <c r="N93" i="1" s="1"/>
  <c r="O93" i="1" s="1"/>
  <c r="M94" i="1"/>
  <c r="N94" i="1" s="1"/>
  <c r="O94" i="1" s="1"/>
  <c r="M95" i="1"/>
  <c r="N95" i="1" s="1"/>
  <c r="O95" i="1" s="1"/>
  <c r="M96" i="1"/>
  <c r="N96" i="1" s="1"/>
  <c r="O96" i="1" s="1"/>
  <c r="M97" i="1"/>
  <c r="N97" i="1" s="1"/>
  <c r="O97" i="1" s="1"/>
  <c r="M98" i="1"/>
  <c r="N98" i="1" s="1"/>
  <c r="O98" i="1" s="1"/>
  <c r="M99" i="1"/>
  <c r="N99" i="1" s="1"/>
  <c r="O99" i="1" s="1"/>
  <c r="M100" i="1"/>
  <c r="N100" i="1" s="1"/>
  <c r="O100" i="1" s="1"/>
  <c r="M101" i="1"/>
  <c r="N101" i="1" s="1"/>
  <c r="O101" i="1" s="1"/>
  <c r="M102" i="1"/>
  <c r="N102" i="1" s="1"/>
  <c r="O102" i="1" s="1"/>
  <c r="M103" i="1"/>
  <c r="N103" i="1" s="1"/>
  <c r="O103" i="1" s="1"/>
  <c r="M104" i="1"/>
  <c r="N104" i="1" s="1"/>
  <c r="O104" i="1" s="1"/>
  <c r="M105" i="1"/>
  <c r="N105" i="1" s="1"/>
  <c r="O105" i="1" s="1"/>
  <c r="M106" i="1"/>
  <c r="N106" i="1" s="1"/>
  <c r="O106" i="1" s="1"/>
  <c r="M107" i="1"/>
  <c r="N107" i="1" s="1"/>
  <c r="O107" i="1" s="1"/>
  <c r="M108" i="1"/>
  <c r="N108" i="1" s="1"/>
  <c r="O108" i="1" s="1"/>
  <c r="M109" i="1"/>
  <c r="N109" i="1" s="1"/>
  <c r="O109" i="1" s="1"/>
  <c r="M110" i="1"/>
  <c r="N110" i="1" s="1"/>
  <c r="O110" i="1" s="1"/>
  <c r="M111" i="1"/>
  <c r="N111" i="1" s="1"/>
  <c r="O111" i="1" s="1"/>
  <c r="M112" i="1"/>
  <c r="N112" i="1" s="1"/>
  <c r="O112" i="1" s="1"/>
  <c r="M113" i="1"/>
  <c r="N113" i="1" s="1"/>
  <c r="O113" i="1" s="1"/>
  <c r="M114" i="1"/>
  <c r="N114" i="1" s="1"/>
  <c r="O114" i="1" s="1"/>
  <c r="M115" i="1"/>
  <c r="N115" i="1" s="1"/>
  <c r="O115" i="1" s="1"/>
  <c r="M116" i="1"/>
  <c r="N116" i="1" s="1"/>
  <c r="O116" i="1" s="1"/>
  <c r="M117" i="1"/>
  <c r="N117" i="1" s="1"/>
  <c r="O117" i="1" s="1"/>
  <c r="M118" i="1"/>
  <c r="N118" i="1" s="1"/>
  <c r="O118" i="1" s="1"/>
  <c r="M119" i="1"/>
  <c r="N119" i="1" s="1"/>
  <c r="O119" i="1" s="1"/>
  <c r="M120" i="1"/>
  <c r="N120" i="1" s="1"/>
  <c r="O120" i="1" s="1"/>
  <c r="M121" i="1"/>
  <c r="N121" i="1" s="1"/>
  <c r="O121" i="1" s="1"/>
  <c r="M122" i="1"/>
  <c r="N122" i="1" s="1"/>
  <c r="O122" i="1" s="1"/>
  <c r="M123" i="1"/>
  <c r="N123" i="1" s="1"/>
  <c r="O123" i="1" s="1"/>
  <c r="M124" i="1"/>
  <c r="N124" i="1" s="1"/>
  <c r="O124" i="1" s="1"/>
  <c r="M125" i="1"/>
  <c r="N125" i="1" s="1"/>
  <c r="O125" i="1" s="1"/>
  <c r="M126" i="1"/>
  <c r="N126" i="1" s="1"/>
  <c r="O126" i="1" s="1"/>
  <c r="M127" i="1"/>
  <c r="N127" i="1" s="1"/>
  <c r="O127" i="1" s="1"/>
  <c r="M128" i="1"/>
  <c r="N128" i="1" s="1"/>
  <c r="O128" i="1" s="1"/>
  <c r="M129" i="1"/>
  <c r="N129" i="1" s="1"/>
  <c r="O129" i="1" s="1"/>
  <c r="M130" i="1"/>
  <c r="N130" i="1" s="1"/>
  <c r="O130" i="1" s="1"/>
  <c r="M131" i="1"/>
  <c r="N131" i="1" s="1"/>
  <c r="O131" i="1" s="1"/>
  <c r="M132" i="1"/>
  <c r="N132" i="1" s="1"/>
  <c r="O132" i="1" s="1"/>
  <c r="M133" i="1"/>
  <c r="N133" i="1" s="1"/>
  <c r="O133" i="1" s="1"/>
  <c r="M134" i="1"/>
  <c r="N134" i="1" s="1"/>
  <c r="O134" i="1" s="1"/>
  <c r="M135" i="1"/>
  <c r="N135" i="1" s="1"/>
  <c r="O135" i="1" s="1"/>
  <c r="M136" i="1"/>
  <c r="N136" i="1" s="1"/>
  <c r="O136" i="1" s="1"/>
  <c r="M137" i="1"/>
  <c r="N137" i="1" s="1"/>
  <c r="O137" i="1" s="1"/>
  <c r="M138" i="1"/>
  <c r="N138" i="1" s="1"/>
  <c r="O138" i="1" s="1"/>
  <c r="M139" i="1"/>
  <c r="N139" i="1" s="1"/>
  <c r="O139" i="1" s="1"/>
  <c r="M140" i="1"/>
  <c r="N140" i="1" s="1"/>
  <c r="O140" i="1" s="1"/>
  <c r="M141" i="1"/>
  <c r="N141" i="1" s="1"/>
  <c r="O141" i="1" s="1"/>
  <c r="M142" i="1"/>
  <c r="N142" i="1" s="1"/>
  <c r="O142" i="1" s="1"/>
  <c r="M143" i="1"/>
  <c r="N143" i="1" s="1"/>
  <c r="O143" i="1" s="1"/>
  <c r="M144" i="1"/>
  <c r="N144" i="1" s="1"/>
  <c r="O144" i="1" s="1"/>
  <c r="M145" i="1"/>
  <c r="N145" i="1" s="1"/>
  <c r="O145" i="1" s="1"/>
  <c r="M146" i="1"/>
  <c r="N146" i="1" s="1"/>
  <c r="O146" i="1" s="1"/>
  <c r="M147" i="1"/>
  <c r="N147" i="1" s="1"/>
  <c r="O147" i="1" s="1"/>
  <c r="M148" i="1"/>
  <c r="N148" i="1" s="1"/>
  <c r="O148" i="1" s="1"/>
  <c r="M149" i="1"/>
  <c r="N149" i="1" s="1"/>
  <c r="O149" i="1" s="1"/>
  <c r="M150" i="1"/>
  <c r="N150" i="1" s="1"/>
  <c r="O150" i="1" s="1"/>
  <c r="M151" i="1"/>
  <c r="N151" i="1" s="1"/>
  <c r="O151" i="1" s="1"/>
  <c r="M152" i="1"/>
  <c r="N152" i="1" s="1"/>
  <c r="O152" i="1" s="1"/>
  <c r="M153" i="1"/>
  <c r="N153" i="1" s="1"/>
  <c r="O153" i="1" s="1"/>
  <c r="M154" i="1"/>
  <c r="N154" i="1" s="1"/>
  <c r="O154" i="1" s="1"/>
  <c r="M155" i="1"/>
  <c r="N155" i="1" s="1"/>
  <c r="O155" i="1" s="1"/>
  <c r="M156" i="1"/>
  <c r="N156" i="1" s="1"/>
  <c r="O156" i="1" s="1"/>
  <c r="M157" i="1"/>
  <c r="N157" i="1" s="1"/>
  <c r="O157" i="1" s="1"/>
  <c r="M158" i="1"/>
  <c r="N158" i="1" s="1"/>
  <c r="O158" i="1" s="1"/>
  <c r="M159" i="1"/>
  <c r="N159" i="1" s="1"/>
  <c r="O159" i="1" s="1"/>
  <c r="M160" i="1"/>
  <c r="N160" i="1" s="1"/>
  <c r="O160" i="1" s="1"/>
  <c r="M161" i="1"/>
  <c r="N161" i="1" s="1"/>
  <c r="O161" i="1" s="1"/>
  <c r="M162" i="1"/>
  <c r="N162" i="1" s="1"/>
  <c r="O162" i="1" s="1"/>
  <c r="M163" i="1"/>
  <c r="N163" i="1" s="1"/>
  <c r="O163" i="1" s="1"/>
  <c r="M164" i="1"/>
  <c r="N164" i="1" s="1"/>
  <c r="O164" i="1" s="1"/>
  <c r="M165" i="1"/>
  <c r="N165" i="1" s="1"/>
  <c r="O165" i="1" s="1"/>
  <c r="M166" i="1"/>
  <c r="N166" i="1" s="1"/>
  <c r="O166" i="1" s="1"/>
  <c r="M167" i="1"/>
  <c r="N167" i="1" s="1"/>
  <c r="O167" i="1" s="1"/>
  <c r="M168" i="1"/>
  <c r="N168" i="1" s="1"/>
  <c r="O168" i="1" s="1"/>
  <c r="M169" i="1"/>
  <c r="N169" i="1" s="1"/>
  <c r="O169" i="1" s="1"/>
  <c r="M170" i="1"/>
  <c r="N170" i="1" s="1"/>
  <c r="O170" i="1" s="1"/>
  <c r="M171" i="1"/>
  <c r="N171" i="1" s="1"/>
  <c r="O171" i="1" s="1"/>
  <c r="M172" i="1"/>
  <c r="N172" i="1" s="1"/>
  <c r="O172" i="1" s="1"/>
  <c r="M173" i="1"/>
  <c r="N173" i="1" s="1"/>
  <c r="O173" i="1" s="1"/>
  <c r="M174" i="1"/>
  <c r="N174" i="1" s="1"/>
  <c r="O174" i="1" s="1"/>
  <c r="M175" i="1"/>
  <c r="N175" i="1" s="1"/>
  <c r="O175" i="1" s="1"/>
  <c r="M176" i="1"/>
  <c r="N176" i="1" s="1"/>
  <c r="O176" i="1" s="1"/>
  <c r="M177" i="1"/>
  <c r="N177" i="1" s="1"/>
  <c r="O177" i="1" s="1"/>
  <c r="M178" i="1"/>
  <c r="N178" i="1" s="1"/>
  <c r="O178" i="1" s="1"/>
  <c r="M179" i="1"/>
  <c r="N179" i="1" s="1"/>
  <c r="O179" i="1" s="1"/>
  <c r="M180" i="1"/>
  <c r="N180" i="1" s="1"/>
  <c r="O180" i="1" s="1"/>
  <c r="M181" i="1"/>
  <c r="N181" i="1" s="1"/>
  <c r="O181" i="1" s="1"/>
  <c r="M182" i="1"/>
  <c r="N182" i="1" s="1"/>
  <c r="O182" i="1" s="1"/>
  <c r="M183" i="1"/>
  <c r="N183" i="1" s="1"/>
  <c r="O183" i="1" s="1"/>
  <c r="M184" i="1"/>
  <c r="N184" i="1" s="1"/>
  <c r="O184" i="1" s="1"/>
  <c r="M185" i="1"/>
  <c r="N185" i="1" s="1"/>
  <c r="O185" i="1" s="1"/>
  <c r="M186" i="1"/>
  <c r="N186" i="1" s="1"/>
  <c r="O186" i="1" s="1"/>
  <c r="M187" i="1"/>
  <c r="N187" i="1" s="1"/>
  <c r="O187" i="1" s="1"/>
  <c r="M188" i="1"/>
  <c r="N188" i="1" s="1"/>
  <c r="O188" i="1" s="1"/>
  <c r="M189" i="1"/>
  <c r="N189" i="1" s="1"/>
  <c r="O189" i="1" s="1"/>
  <c r="M190" i="1"/>
  <c r="N190" i="1" s="1"/>
  <c r="O190" i="1" s="1"/>
  <c r="M191" i="1"/>
  <c r="N191" i="1" s="1"/>
  <c r="O191" i="1" s="1"/>
  <c r="M192" i="1"/>
  <c r="N192" i="1" s="1"/>
  <c r="O192" i="1" s="1"/>
  <c r="M193" i="1"/>
  <c r="N193" i="1" s="1"/>
  <c r="O193" i="1" s="1"/>
  <c r="M194" i="1"/>
  <c r="N194" i="1" s="1"/>
  <c r="O194" i="1" s="1"/>
  <c r="M195" i="1"/>
  <c r="N195" i="1" s="1"/>
  <c r="O195" i="1" s="1"/>
  <c r="M196" i="1"/>
  <c r="N196" i="1" s="1"/>
  <c r="O196" i="1" s="1"/>
  <c r="M197" i="1"/>
  <c r="N197" i="1" s="1"/>
  <c r="O197" i="1" s="1"/>
  <c r="M198" i="1"/>
  <c r="N198" i="1" s="1"/>
  <c r="O198" i="1" s="1"/>
  <c r="M199" i="1"/>
  <c r="N199" i="1" s="1"/>
  <c r="O199" i="1" s="1"/>
  <c r="M200" i="1"/>
  <c r="N200" i="1" s="1"/>
  <c r="O200" i="1" s="1"/>
  <c r="M201" i="1"/>
  <c r="N201" i="1" s="1"/>
  <c r="O201" i="1" s="1"/>
  <c r="M202" i="1"/>
  <c r="N202" i="1" s="1"/>
  <c r="O202" i="1" s="1"/>
  <c r="M203" i="1"/>
  <c r="N203" i="1" s="1"/>
  <c r="O203" i="1" s="1"/>
  <c r="M204" i="1"/>
  <c r="N204" i="1" s="1"/>
  <c r="O204" i="1" s="1"/>
  <c r="M205" i="1"/>
  <c r="N205" i="1" s="1"/>
  <c r="O205" i="1" s="1"/>
  <c r="M206" i="1"/>
  <c r="N206" i="1" s="1"/>
  <c r="O206" i="1" s="1"/>
  <c r="M207" i="1"/>
  <c r="N207" i="1" s="1"/>
  <c r="O207" i="1" s="1"/>
  <c r="M208" i="1"/>
  <c r="N208" i="1" s="1"/>
  <c r="O208" i="1" s="1"/>
  <c r="M209" i="1"/>
  <c r="N209" i="1" s="1"/>
  <c r="O209" i="1" s="1"/>
  <c r="M210" i="1"/>
  <c r="N210" i="1" s="1"/>
  <c r="O210" i="1" s="1"/>
  <c r="M211" i="1"/>
  <c r="N211" i="1" s="1"/>
  <c r="O211" i="1" s="1"/>
  <c r="M212" i="1"/>
  <c r="N212" i="1" s="1"/>
  <c r="O212" i="1" s="1"/>
  <c r="M213" i="1"/>
  <c r="N213" i="1" s="1"/>
  <c r="O213" i="1" s="1"/>
  <c r="M214" i="1"/>
  <c r="N214" i="1" s="1"/>
  <c r="O214" i="1" s="1"/>
  <c r="M215" i="1"/>
  <c r="N215" i="1" s="1"/>
  <c r="O215" i="1" s="1"/>
  <c r="M216" i="1"/>
  <c r="N216" i="1" s="1"/>
  <c r="O216" i="1" s="1"/>
  <c r="M217" i="1"/>
  <c r="N217" i="1" s="1"/>
  <c r="O217" i="1" s="1"/>
  <c r="M218" i="1"/>
  <c r="N218" i="1" s="1"/>
  <c r="O218" i="1" s="1"/>
  <c r="M219" i="1"/>
  <c r="N219" i="1" s="1"/>
  <c r="O219" i="1" s="1"/>
  <c r="M220" i="1"/>
  <c r="N220" i="1" s="1"/>
  <c r="O220" i="1" s="1"/>
  <c r="M221" i="1"/>
  <c r="N221" i="1" s="1"/>
  <c r="O221" i="1" s="1"/>
  <c r="M222" i="1"/>
  <c r="N222" i="1" s="1"/>
  <c r="O222" i="1" s="1"/>
  <c r="M223" i="1"/>
  <c r="N223" i="1" s="1"/>
  <c r="O223" i="1" s="1"/>
  <c r="M224" i="1"/>
  <c r="N224" i="1" s="1"/>
  <c r="O224" i="1" s="1"/>
  <c r="M225" i="1"/>
  <c r="N225" i="1" s="1"/>
  <c r="O225" i="1" s="1"/>
  <c r="M226" i="1"/>
  <c r="N226" i="1" s="1"/>
  <c r="O226" i="1" s="1"/>
  <c r="M227" i="1"/>
  <c r="N227" i="1" s="1"/>
  <c r="O227" i="1" s="1"/>
  <c r="M228" i="1"/>
  <c r="N228" i="1" s="1"/>
  <c r="O228" i="1" s="1"/>
  <c r="M229" i="1"/>
  <c r="N229" i="1" s="1"/>
  <c r="O229" i="1" s="1"/>
  <c r="M230" i="1"/>
  <c r="N230" i="1" s="1"/>
  <c r="O230" i="1" s="1"/>
  <c r="M231" i="1"/>
  <c r="N231" i="1" s="1"/>
  <c r="O231" i="1" s="1"/>
  <c r="M232" i="1"/>
  <c r="N232" i="1" s="1"/>
  <c r="O232" i="1" s="1"/>
  <c r="M233" i="1"/>
  <c r="N233" i="1" s="1"/>
  <c r="O233" i="1" s="1"/>
  <c r="M234" i="1"/>
  <c r="N234" i="1" s="1"/>
  <c r="O234" i="1" s="1"/>
  <c r="M235" i="1"/>
  <c r="N235" i="1" s="1"/>
  <c r="O235" i="1" s="1"/>
  <c r="M236" i="1"/>
  <c r="N236" i="1" s="1"/>
  <c r="O236" i="1" s="1"/>
  <c r="M237" i="1"/>
  <c r="N237" i="1" s="1"/>
  <c r="O237" i="1" s="1"/>
  <c r="M238" i="1"/>
  <c r="N238" i="1" s="1"/>
  <c r="O238" i="1" s="1"/>
  <c r="M239" i="1"/>
  <c r="N239" i="1" s="1"/>
  <c r="O239" i="1" s="1"/>
  <c r="M240" i="1"/>
  <c r="N240" i="1" s="1"/>
  <c r="O240" i="1" s="1"/>
  <c r="M241" i="1"/>
  <c r="N241" i="1" s="1"/>
  <c r="O241" i="1" s="1"/>
  <c r="M242" i="1"/>
  <c r="N242" i="1" s="1"/>
  <c r="O242" i="1" s="1"/>
  <c r="M243" i="1"/>
  <c r="N243" i="1" s="1"/>
  <c r="O243" i="1" s="1"/>
  <c r="M244" i="1"/>
  <c r="N244" i="1" s="1"/>
  <c r="O244" i="1" s="1"/>
  <c r="M245" i="1"/>
  <c r="N245" i="1" s="1"/>
  <c r="O245" i="1" s="1"/>
  <c r="M246" i="1"/>
  <c r="N246" i="1" s="1"/>
  <c r="O246" i="1" s="1"/>
  <c r="M247" i="1"/>
  <c r="N247" i="1" s="1"/>
  <c r="O247" i="1" s="1"/>
  <c r="M248" i="1"/>
  <c r="N248" i="1" s="1"/>
  <c r="O248" i="1" s="1"/>
  <c r="M249" i="1"/>
  <c r="N249" i="1" s="1"/>
  <c r="O249" i="1" s="1"/>
  <c r="M250" i="1"/>
  <c r="N250" i="1" s="1"/>
  <c r="O250" i="1" s="1"/>
  <c r="M251" i="1"/>
  <c r="N251" i="1" s="1"/>
  <c r="O251" i="1" s="1"/>
  <c r="M252" i="1"/>
  <c r="N252" i="1" s="1"/>
  <c r="O252" i="1" s="1"/>
  <c r="M253" i="1"/>
  <c r="N253" i="1" s="1"/>
  <c r="O253" i="1" s="1"/>
  <c r="M254" i="1"/>
  <c r="N254" i="1" s="1"/>
  <c r="O254" i="1" s="1"/>
  <c r="M255" i="1"/>
  <c r="N255" i="1" s="1"/>
  <c r="O255" i="1" s="1"/>
  <c r="M256" i="1"/>
  <c r="N256" i="1" s="1"/>
  <c r="O256" i="1" s="1"/>
  <c r="M257" i="1"/>
  <c r="N257" i="1" s="1"/>
  <c r="O257" i="1" s="1"/>
  <c r="M258" i="1"/>
  <c r="N258" i="1" s="1"/>
  <c r="O258" i="1" s="1"/>
  <c r="M259" i="1"/>
  <c r="N259" i="1" s="1"/>
  <c r="O259" i="1" s="1"/>
  <c r="M260" i="1"/>
  <c r="N260" i="1" s="1"/>
  <c r="O260" i="1" s="1"/>
  <c r="M261" i="1"/>
  <c r="N261" i="1" s="1"/>
  <c r="O261" i="1" s="1"/>
  <c r="M262" i="1"/>
  <c r="N262" i="1" s="1"/>
  <c r="O262" i="1" s="1"/>
  <c r="M263" i="1"/>
  <c r="N263" i="1" s="1"/>
  <c r="O263" i="1" s="1"/>
  <c r="M264" i="1"/>
  <c r="N264" i="1" s="1"/>
  <c r="O264" i="1" s="1"/>
  <c r="M265" i="1"/>
  <c r="N265" i="1" s="1"/>
  <c r="O265" i="1" s="1"/>
  <c r="M266" i="1"/>
  <c r="N266" i="1" s="1"/>
  <c r="O266" i="1" s="1"/>
  <c r="M267" i="1"/>
  <c r="N267" i="1" s="1"/>
  <c r="O267" i="1" s="1"/>
  <c r="M268" i="1"/>
  <c r="N268" i="1" s="1"/>
  <c r="O268" i="1" s="1"/>
  <c r="M269" i="1"/>
  <c r="N269" i="1" s="1"/>
  <c r="O269" i="1" s="1"/>
  <c r="M270" i="1"/>
  <c r="N270" i="1" s="1"/>
  <c r="O270" i="1" s="1"/>
  <c r="M271" i="1"/>
  <c r="N271" i="1" s="1"/>
  <c r="O271" i="1" s="1"/>
  <c r="M272" i="1"/>
  <c r="N272" i="1" s="1"/>
  <c r="O272" i="1" s="1"/>
  <c r="M273" i="1"/>
  <c r="N273" i="1" s="1"/>
  <c r="O273" i="1" s="1"/>
  <c r="M274" i="1"/>
  <c r="N274" i="1" s="1"/>
  <c r="O274" i="1" s="1"/>
  <c r="M275" i="1"/>
  <c r="N275" i="1" s="1"/>
  <c r="O275" i="1" s="1"/>
  <c r="M276" i="1"/>
  <c r="N276" i="1" s="1"/>
  <c r="O276" i="1" s="1"/>
  <c r="M277" i="1"/>
  <c r="N277" i="1" s="1"/>
  <c r="O277" i="1" s="1"/>
  <c r="M278" i="1"/>
  <c r="N278" i="1" s="1"/>
  <c r="O278" i="1" s="1"/>
  <c r="M279" i="1"/>
  <c r="N279" i="1" s="1"/>
  <c r="O279" i="1" s="1"/>
  <c r="M280" i="1"/>
  <c r="N280" i="1" s="1"/>
  <c r="O280" i="1" s="1"/>
  <c r="M281" i="1"/>
  <c r="N281" i="1" s="1"/>
  <c r="O281" i="1" s="1"/>
  <c r="M282" i="1"/>
  <c r="N282" i="1" s="1"/>
  <c r="O282" i="1" s="1"/>
  <c r="M283" i="1"/>
  <c r="N283" i="1" s="1"/>
  <c r="O283" i="1" s="1"/>
  <c r="M284" i="1"/>
  <c r="N284" i="1" s="1"/>
  <c r="O284" i="1" s="1"/>
  <c r="M285" i="1"/>
  <c r="N285" i="1" s="1"/>
  <c r="O285" i="1" s="1"/>
  <c r="M286" i="1"/>
  <c r="N286" i="1" s="1"/>
  <c r="O286" i="1" s="1"/>
  <c r="M287" i="1"/>
  <c r="N287" i="1" s="1"/>
  <c r="O287" i="1" s="1"/>
  <c r="M288" i="1"/>
  <c r="N288" i="1" s="1"/>
  <c r="O288" i="1" s="1"/>
  <c r="M289" i="1"/>
  <c r="N289" i="1" s="1"/>
  <c r="O289" i="1" s="1"/>
  <c r="M290" i="1"/>
  <c r="N290" i="1" s="1"/>
  <c r="O290" i="1" s="1"/>
  <c r="M291" i="1"/>
  <c r="N291" i="1" s="1"/>
  <c r="O291" i="1" s="1"/>
  <c r="M292" i="1"/>
  <c r="N292" i="1" s="1"/>
  <c r="O292" i="1" s="1"/>
  <c r="M293" i="1"/>
  <c r="N293" i="1" s="1"/>
  <c r="O293" i="1" s="1"/>
  <c r="M294" i="1"/>
  <c r="N294" i="1" s="1"/>
  <c r="O294" i="1" s="1"/>
  <c r="M295" i="1"/>
  <c r="N295" i="1" s="1"/>
  <c r="O295" i="1" s="1"/>
  <c r="M296" i="1"/>
  <c r="N296" i="1" s="1"/>
  <c r="O296" i="1" s="1"/>
  <c r="M297" i="1"/>
  <c r="N297" i="1" s="1"/>
  <c r="O297" i="1" s="1"/>
  <c r="M298" i="1"/>
  <c r="N298" i="1" s="1"/>
  <c r="O298" i="1" s="1"/>
  <c r="M299" i="1"/>
  <c r="N299" i="1" s="1"/>
  <c r="O299" i="1" s="1"/>
  <c r="M300" i="1"/>
  <c r="N300" i="1" s="1"/>
  <c r="O300" i="1" s="1"/>
  <c r="M301" i="1"/>
  <c r="N301" i="1" s="1"/>
  <c r="O301" i="1" s="1"/>
  <c r="M302" i="1"/>
  <c r="N302" i="1" s="1"/>
  <c r="O302" i="1" s="1"/>
  <c r="M303" i="1"/>
  <c r="N303" i="1" s="1"/>
  <c r="O303" i="1" s="1"/>
  <c r="M304" i="1"/>
  <c r="N304" i="1" s="1"/>
  <c r="O304" i="1" s="1"/>
  <c r="M305" i="1"/>
  <c r="N305" i="1" s="1"/>
  <c r="O305" i="1" s="1"/>
  <c r="M306" i="1"/>
  <c r="N306" i="1" s="1"/>
  <c r="O306" i="1" s="1"/>
  <c r="M307" i="1"/>
  <c r="N307" i="1" s="1"/>
  <c r="O307" i="1" s="1"/>
  <c r="M308" i="1"/>
  <c r="N308" i="1" s="1"/>
  <c r="O308" i="1" s="1"/>
  <c r="M309" i="1"/>
  <c r="N309" i="1" s="1"/>
  <c r="O309" i="1" s="1"/>
  <c r="M310" i="1"/>
  <c r="N310" i="1" s="1"/>
  <c r="O310" i="1" s="1"/>
  <c r="M311" i="1"/>
  <c r="N311" i="1" s="1"/>
  <c r="O311" i="1" s="1"/>
  <c r="M312" i="1"/>
  <c r="N312" i="1" s="1"/>
  <c r="O312" i="1" s="1"/>
  <c r="M313" i="1"/>
  <c r="N313" i="1" s="1"/>
  <c r="O313" i="1" s="1"/>
  <c r="M314" i="1"/>
  <c r="N314" i="1" s="1"/>
  <c r="O314" i="1" s="1"/>
  <c r="M315" i="1"/>
  <c r="N315" i="1" s="1"/>
  <c r="O315" i="1" s="1"/>
  <c r="M316" i="1"/>
  <c r="N316" i="1" s="1"/>
  <c r="O316" i="1" s="1"/>
  <c r="M317" i="1"/>
  <c r="N317" i="1" s="1"/>
  <c r="O317" i="1" s="1"/>
  <c r="M318" i="1"/>
  <c r="N318" i="1" s="1"/>
  <c r="O318" i="1" s="1"/>
  <c r="M319" i="1"/>
  <c r="N319" i="1" s="1"/>
  <c r="O319" i="1" s="1"/>
  <c r="M320" i="1"/>
  <c r="N320" i="1" s="1"/>
  <c r="O320" i="1" s="1"/>
  <c r="M321" i="1"/>
  <c r="N321" i="1" s="1"/>
  <c r="O321" i="1" s="1"/>
  <c r="M322" i="1"/>
  <c r="N322" i="1" s="1"/>
  <c r="O322" i="1" s="1"/>
  <c r="M323" i="1"/>
  <c r="N323" i="1" s="1"/>
  <c r="O323" i="1" s="1"/>
  <c r="M324" i="1"/>
  <c r="N324" i="1" s="1"/>
  <c r="O324" i="1" s="1"/>
  <c r="M325" i="1"/>
  <c r="N325" i="1" s="1"/>
  <c r="O325" i="1" s="1"/>
  <c r="M326" i="1"/>
  <c r="N326" i="1" s="1"/>
  <c r="O326" i="1" s="1"/>
  <c r="M327" i="1"/>
  <c r="N327" i="1" s="1"/>
  <c r="O327" i="1" s="1"/>
  <c r="M328" i="1"/>
  <c r="N328" i="1" s="1"/>
  <c r="O328" i="1" s="1"/>
  <c r="M329" i="1"/>
  <c r="N329" i="1" s="1"/>
  <c r="O329" i="1" s="1"/>
  <c r="M330" i="1"/>
  <c r="N330" i="1" s="1"/>
  <c r="O330" i="1" s="1"/>
  <c r="M331" i="1"/>
  <c r="N331" i="1" s="1"/>
  <c r="O331" i="1" s="1"/>
  <c r="M332" i="1"/>
  <c r="N332" i="1" s="1"/>
  <c r="O332" i="1" s="1"/>
  <c r="M333" i="1"/>
  <c r="N333" i="1" s="1"/>
  <c r="O333" i="1" s="1"/>
  <c r="M334" i="1"/>
  <c r="N334" i="1" s="1"/>
  <c r="O334" i="1" s="1"/>
  <c r="M335" i="1"/>
  <c r="N335" i="1" s="1"/>
  <c r="O335" i="1" s="1"/>
  <c r="M336" i="1"/>
  <c r="N336" i="1" s="1"/>
  <c r="O336" i="1" s="1"/>
  <c r="M337" i="1"/>
  <c r="N337" i="1" s="1"/>
  <c r="O337" i="1" s="1"/>
  <c r="M338" i="1"/>
  <c r="N338" i="1" s="1"/>
  <c r="O338" i="1" s="1"/>
  <c r="M339" i="1"/>
  <c r="N339" i="1" s="1"/>
  <c r="O339" i="1" s="1"/>
  <c r="M340" i="1"/>
  <c r="N340" i="1" s="1"/>
  <c r="O340" i="1" s="1"/>
  <c r="M341" i="1"/>
  <c r="N341" i="1" s="1"/>
  <c r="O341" i="1" s="1"/>
  <c r="M342" i="1"/>
  <c r="N342" i="1" s="1"/>
  <c r="O342" i="1" s="1"/>
  <c r="M343" i="1"/>
  <c r="N343" i="1" s="1"/>
  <c r="O343" i="1" s="1"/>
  <c r="M344" i="1"/>
  <c r="N344" i="1" s="1"/>
  <c r="O344" i="1" s="1"/>
  <c r="M345" i="1"/>
  <c r="N345" i="1" s="1"/>
  <c r="O345" i="1" s="1"/>
  <c r="M346" i="1"/>
  <c r="N346" i="1" s="1"/>
  <c r="O346" i="1" s="1"/>
  <c r="M347" i="1"/>
  <c r="N347" i="1" s="1"/>
  <c r="O347" i="1" s="1"/>
  <c r="M348" i="1"/>
  <c r="N348" i="1" s="1"/>
  <c r="O348" i="1" s="1"/>
  <c r="M349" i="1"/>
  <c r="N349" i="1" s="1"/>
  <c r="O349" i="1" s="1"/>
  <c r="M350" i="1"/>
  <c r="N350" i="1" s="1"/>
  <c r="O350" i="1" s="1"/>
  <c r="M351" i="1"/>
  <c r="N351" i="1" s="1"/>
  <c r="O351" i="1" s="1"/>
  <c r="M352" i="1"/>
  <c r="N352" i="1" s="1"/>
  <c r="O352" i="1" s="1"/>
  <c r="M353" i="1"/>
  <c r="N353" i="1" s="1"/>
  <c r="O353" i="1" s="1"/>
  <c r="M354" i="1"/>
  <c r="N354" i="1" s="1"/>
  <c r="O354" i="1" s="1"/>
  <c r="M355" i="1"/>
  <c r="N355" i="1" s="1"/>
  <c r="O355" i="1" s="1"/>
  <c r="M356" i="1"/>
  <c r="N356" i="1" s="1"/>
  <c r="O356" i="1" s="1"/>
  <c r="M357" i="1"/>
  <c r="N357" i="1" s="1"/>
  <c r="O357" i="1" s="1"/>
  <c r="M358" i="1"/>
  <c r="N358" i="1" s="1"/>
  <c r="O358" i="1" s="1"/>
  <c r="M359" i="1"/>
  <c r="N359" i="1" s="1"/>
  <c r="O359" i="1" s="1"/>
  <c r="M360" i="1"/>
  <c r="N360" i="1" s="1"/>
  <c r="O360" i="1" s="1"/>
  <c r="M361" i="1"/>
  <c r="N361" i="1" s="1"/>
  <c r="O361" i="1" s="1"/>
  <c r="M362" i="1"/>
  <c r="N362" i="1" s="1"/>
  <c r="O362" i="1" s="1"/>
  <c r="M363" i="1"/>
  <c r="N363" i="1" s="1"/>
  <c r="O363" i="1" s="1"/>
  <c r="M364" i="1"/>
  <c r="N364" i="1" s="1"/>
  <c r="O364" i="1" s="1"/>
  <c r="M365" i="1"/>
  <c r="N365" i="1" s="1"/>
  <c r="O365" i="1" s="1"/>
  <c r="M366" i="1"/>
  <c r="N366" i="1" s="1"/>
  <c r="O366" i="1" s="1"/>
  <c r="M367" i="1"/>
  <c r="N367" i="1" s="1"/>
  <c r="O367" i="1" s="1"/>
  <c r="M368" i="1"/>
  <c r="N368" i="1" s="1"/>
  <c r="O368" i="1" s="1"/>
  <c r="M369" i="1"/>
  <c r="N369" i="1" s="1"/>
  <c r="O369" i="1" s="1"/>
  <c r="M370" i="1"/>
  <c r="N370" i="1" s="1"/>
  <c r="O370" i="1" s="1"/>
  <c r="M371" i="1"/>
  <c r="N371" i="1" s="1"/>
  <c r="O371" i="1" s="1"/>
  <c r="M372" i="1"/>
  <c r="N372" i="1" s="1"/>
  <c r="O372" i="1" s="1"/>
  <c r="M373" i="1"/>
  <c r="N373" i="1" s="1"/>
  <c r="O373" i="1" s="1"/>
  <c r="M374" i="1"/>
  <c r="N374" i="1" s="1"/>
  <c r="O374" i="1" s="1"/>
  <c r="M375" i="1"/>
  <c r="N375" i="1" s="1"/>
  <c r="O375" i="1" s="1"/>
  <c r="M376" i="1"/>
  <c r="N376" i="1" s="1"/>
  <c r="O376" i="1" s="1"/>
  <c r="M377" i="1"/>
  <c r="N377" i="1" s="1"/>
  <c r="O377" i="1" s="1"/>
  <c r="M378" i="1"/>
  <c r="N378" i="1" s="1"/>
  <c r="O378" i="1" s="1"/>
  <c r="M379" i="1"/>
  <c r="N379" i="1" s="1"/>
  <c r="O379" i="1" s="1"/>
  <c r="M380" i="1"/>
  <c r="N380" i="1" s="1"/>
  <c r="O380" i="1" s="1"/>
  <c r="M381" i="1"/>
  <c r="N381" i="1" s="1"/>
  <c r="O381" i="1" s="1"/>
  <c r="M382" i="1"/>
  <c r="N382" i="1" s="1"/>
  <c r="O382" i="1" s="1"/>
  <c r="M383" i="1"/>
  <c r="N383" i="1" s="1"/>
  <c r="O383" i="1" s="1"/>
  <c r="M384" i="1"/>
  <c r="N384" i="1" s="1"/>
  <c r="O384" i="1" s="1"/>
  <c r="M385" i="1"/>
  <c r="N385" i="1" s="1"/>
  <c r="O385" i="1" s="1"/>
  <c r="M386" i="1"/>
  <c r="N386" i="1" s="1"/>
  <c r="O386" i="1" s="1"/>
  <c r="M387" i="1"/>
  <c r="N387" i="1" s="1"/>
  <c r="O387" i="1" s="1"/>
  <c r="M388" i="1"/>
  <c r="N388" i="1" s="1"/>
  <c r="O388" i="1" s="1"/>
  <c r="M389" i="1"/>
  <c r="N389" i="1" s="1"/>
  <c r="O389" i="1" s="1"/>
  <c r="M390" i="1"/>
  <c r="N390" i="1" s="1"/>
  <c r="O390" i="1" s="1"/>
  <c r="M391" i="1"/>
  <c r="N391" i="1" s="1"/>
  <c r="O391" i="1" s="1"/>
  <c r="M392" i="1"/>
  <c r="N392" i="1" s="1"/>
  <c r="O392" i="1" s="1"/>
  <c r="M393" i="1"/>
  <c r="N393" i="1" s="1"/>
  <c r="O393" i="1" s="1"/>
  <c r="M394" i="1"/>
  <c r="N394" i="1" s="1"/>
  <c r="O394" i="1" s="1"/>
  <c r="M395" i="1"/>
  <c r="N395" i="1" s="1"/>
  <c r="O395" i="1" s="1"/>
  <c r="M396" i="1"/>
  <c r="N396" i="1" s="1"/>
  <c r="O396" i="1" s="1"/>
  <c r="M397" i="1"/>
  <c r="N397" i="1" s="1"/>
  <c r="O397" i="1" s="1"/>
  <c r="M398" i="1"/>
  <c r="N398" i="1" s="1"/>
  <c r="O398" i="1" s="1"/>
  <c r="M399" i="1"/>
  <c r="N399" i="1" s="1"/>
  <c r="O399" i="1" s="1"/>
  <c r="M400" i="1"/>
  <c r="N400" i="1" s="1"/>
  <c r="O400" i="1" s="1"/>
  <c r="M401" i="1"/>
  <c r="N401" i="1" s="1"/>
  <c r="O401" i="1" s="1"/>
  <c r="M402" i="1"/>
  <c r="N402" i="1" s="1"/>
  <c r="O402" i="1" s="1"/>
  <c r="M403" i="1"/>
  <c r="N403" i="1" s="1"/>
  <c r="O403" i="1" s="1"/>
  <c r="M404" i="1"/>
  <c r="N404" i="1" s="1"/>
  <c r="O404" i="1" s="1"/>
  <c r="M405" i="1"/>
  <c r="N405" i="1" s="1"/>
  <c r="O405" i="1" s="1"/>
  <c r="M406" i="1"/>
  <c r="N406" i="1" s="1"/>
  <c r="O406" i="1" s="1"/>
  <c r="M407" i="1"/>
  <c r="N407" i="1" s="1"/>
  <c r="O407" i="1" s="1"/>
  <c r="M408" i="1"/>
  <c r="N408" i="1" s="1"/>
  <c r="O408" i="1" s="1"/>
  <c r="M409" i="1"/>
  <c r="N409" i="1" s="1"/>
  <c r="O409" i="1" s="1"/>
  <c r="M410" i="1"/>
  <c r="N410" i="1" s="1"/>
  <c r="O410" i="1" s="1"/>
  <c r="M411" i="1"/>
  <c r="N411" i="1" s="1"/>
  <c r="O411" i="1" s="1"/>
  <c r="M412" i="1"/>
  <c r="N412" i="1" s="1"/>
  <c r="O412" i="1" s="1"/>
  <c r="M413" i="1"/>
  <c r="N413" i="1" s="1"/>
  <c r="O413" i="1" s="1"/>
  <c r="M414" i="1"/>
  <c r="N414" i="1" s="1"/>
  <c r="O414" i="1" s="1"/>
  <c r="M415" i="1"/>
  <c r="N415" i="1" s="1"/>
  <c r="O415" i="1" s="1"/>
  <c r="M416" i="1"/>
  <c r="N416" i="1" s="1"/>
  <c r="O416" i="1" s="1"/>
  <c r="M417" i="1"/>
  <c r="N417" i="1" s="1"/>
  <c r="O417" i="1" s="1"/>
  <c r="M418" i="1"/>
  <c r="N418" i="1" s="1"/>
  <c r="O418" i="1" s="1"/>
  <c r="M419" i="1"/>
  <c r="N419" i="1" s="1"/>
  <c r="O419" i="1" s="1"/>
  <c r="M420" i="1"/>
  <c r="N420" i="1" s="1"/>
  <c r="O420" i="1" s="1"/>
  <c r="M421" i="1"/>
  <c r="N421" i="1" s="1"/>
  <c r="O421" i="1" s="1"/>
  <c r="M422" i="1"/>
  <c r="N422" i="1" s="1"/>
  <c r="O422" i="1" s="1"/>
  <c r="M423" i="1"/>
  <c r="N423" i="1" s="1"/>
  <c r="O423" i="1" s="1"/>
  <c r="M424" i="1"/>
  <c r="N424" i="1" s="1"/>
  <c r="O424" i="1" s="1"/>
  <c r="M425" i="1"/>
  <c r="N425" i="1" s="1"/>
  <c r="O425" i="1" s="1"/>
  <c r="M426" i="1"/>
  <c r="N426" i="1" s="1"/>
  <c r="O426" i="1" s="1"/>
  <c r="M427" i="1"/>
  <c r="N427" i="1" s="1"/>
  <c r="O427" i="1" s="1"/>
  <c r="M428" i="1"/>
  <c r="N428" i="1" s="1"/>
  <c r="O428" i="1" s="1"/>
  <c r="M429" i="1"/>
  <c r="N429" i="1" s="1"/>
  <c r="O429" i="1" s="1"/>
  <c r="M430" i="1"/>
  <c r="N430" i="1" s="1"/>
  <c r="O430" i="1" s="1"/>
  <c r="M431" i="1"/>
  <c r="N431" i="1" s="1"/>
  <c r="O431" i="1" s="1"/>
  <c r="M432" i="1"/>
  <c r="N432" i="1" s="1"/>
  <c r="O432" i="1" s="1"/>
  <c r="M433" i="1"/>
  <c r="N433" i="1" s="1"/>
  <c r="O433" i="1" s="1"/>
  <c r="M434" i="1"/>
  <c r="N434" i="1" s="1"/>
  <c r="O434" i="1" s="1"/>
  <c r="M435" i="1"/>
  <c r="N435" i="1" s="1"/>
  <c r="O435" i="1" s="1"/>
  <c r="M436" i="1"/>
  <c r="N436" i="1" s="1"/>
  <c r="O436" i="1" s="1"/>
  <c r="M437" i="1"/>
  <c r="N437" i="1" s="1"/>
  <c r="O437" i="1" s="1"/>
  <c r="M438" i="1"/>
  <c r="N438" i="1" s="1"/>
  <c r="O438" i="1" s="1"/>
  <c r="M439" i="1"/>
  <c r="N439" i="1" s="1"/>
  <c r="O439" i="1" s="1"/>
  <c r="M440" i="1"/>
  <c r="N440" i="1" s="1"/>
  <c r="O440" i="1" s="1"/>
  <c r="M441" i="1"/>
  <c r="N441" i="1" s="1"/>
  <c r="O441" i="1" s="1"/>
  <c r="M442" i="1"/>
  <c r="N442" i="1" s="1"/>
  <c r="O442" i="1" s="1"/>
  <c r="M443" i="1"/>
  <c r="N443" i="1" s="1"/>
  <c r="O443" i="1" s="1"/>
  <c r="M444" i="1"/>
  <c r="N444" i="1" s="1"/>
  <c r="O444" i="1" s="1"/>
  <c r="M445" i="1"/>
  <c r="N445" i="1" s="1"/>
  <c r="O445" i="1" s="1"/>
  <c r="M446" i="1"/>
  <c r="N446" i="1" s="1"/>
  <c r="O446" i="1" s="1"/>
  <c r="M447" i="1"/>
  <c r="N447" i="1" s="1"/>
  <c r="O447" i="1" s="1"/>
  <c r="M448" i="1"/>
  <c r="N448" i="1" s="1"/>
  <c r="O448" i="1" s="1"/>
  <c r="M449" i="1"/>
  <c r="N449" i="1" s="1"/>
  <c r="O449" i="1" s="1"/>
  <c r="M450" i="1"/>
  <c r="N450" i="1" s="1"/>
  <c r="O450" i="1" s="1"/>
  <c r="M451" i="1"/>
  <c r="N451" i="1" s="1"/>
  <c r="O451" i="1" s="1"/>
  <c r="M452" i="1"/>
  <c r="N452" i="1" s="1"/>
  <c r="O452" i="1" s="1"/>
  <c r="M453" i="1"/>
  <c r="N453" i="1" s="1"/>
  <c r="O453" i="1" s="1"/>
  <c r="M454" i="1"/>
  <c r="N454" i="1" s="1"/>
  <c r="O454" i="1" s="1"/>
  <c r="M455" i="1"/>
  <c r="N455" i="1" s="1"/>
  <c r="O455" i="1" s="1"/>
  <c r="M456" i="1"/>
  <c r="N456" i="1" s="1"/>
  <c r="O456" i="1" s="1"/>
  <c r="M457" i="1"/>
  <c r="N457" i="1" s="1"/>
  <c r="O457" i="1" s="1"/>
  <c r="M458" i="1"/>
  <c r="N458" i="1" s="1"/>
  <c r="O458" i="1" s="1"/>
  <c r="M459" i="1"/>
  <c r="N459" i="1" s="1"/>
  <c r="O459" i="1" s="1"/>
  <c r="M460" i="1"/>
  <c r="N460" i="1" s="1"/>
  <c r="O460" i="1" s="1"/>
  <c r="M461" i="1"/>
  <c r="N461" i="1" s="1"/>
  <c r="O461" i="1" s="1"/>
  <c r="M462" i="1"/>
  <c r="N462" i="1" s="1"/>
  <c r="O462" i="1" s="1"/>
  <c r="M463" i="1"/>
  <c r="N463" i="1" s="1"/>
  <c r="O463" i="1" s="1"/>
  <c r="M464" i="1"/>
  <c r="N464" i="1" s="1"/>
  <c r="O464" i="1" s="1"/>
  <c r="M465" i="1"/>
  <c r="N465" i="1" s="1"/>
  <c r="O465" i="1" s="1"/>
  <c r="M466" i="1"/>
  <c r="N466" i="1" s="1"/>
  <c r="O466" i="1" s="1"/>
  <c r="M467" i="1"/>
  <c r="N467" i="1" s="1"/>
  <c r="O467" i="1" s="1"/>
  <c r="M468" i="1"/>
  <c r="N468" i="1" s="1"/>
  <c r="O468" i="1" s="1"/>
  <c r="M469" i="1"/>
  <c r="N469" i="1" s="1"/>
  <c r="O469" i="1" s="1"/>
  <c r="M470" i="1"/>
  <c r="N470" i="1" s="1"/>
  <c r="O470" i="1" s="1"/>
  <c r="M471" i="1"/>
  <c r="N471" i="1" s="1"/>
  <c r="O471" i="1" s="1"/>
  <c r="M472" i="1"/>
  <c r="N472" i="1" s="1"/>
  <c r="O472" i="1" s="1"/>
  <c r="M473" i="1"/>
  <c r="N473" i="1" s="1"/>
  <c r="O473" i="1" s="1"/>
  <c r="M474" i="1"/>
  <c r="N474" i="1" s="1"/>
  <c r="O474" i="1" s="1"/>
  <c r="M475" i="1"/>
  <c r="N475" i="1" s="1"/>
  <c r="O475" i="1" s="1"/>
  <c r="M476" i="1"/>
  <c r="N476" i="1" s="1"/>
  <c r="O476" i="1" s="1"/>
  <c r="M477" i="1"/>
  <c r="N477" i="1" s="1"/>
  <c r="O477" i="1" s="1"/>
  <c r="M478" i="1"/>
  <c r="N478" i="1" s="1"/>
  <c r="O478" i="1" s="1"/>
  <c r="M479" i="1"/>
  <c r="N479" i="1" s="1"/>
  <c r="O479" i="1" s="1"/>
  <c r="M480" i="1"/>
  <c r="N480" i="1" s="1"/>
  <c r="O480" i="1" s="1"/>
  <c r="M481" i="1"/>
  <c r="N481" i="1" s="1"/>
  <c r="O481" i="1" s="1"/>
  <c r="M482" i="1"/>
  <c r="N482" i="1" s="1"/>
  <c r="O482" i="1" s="1"/>
  <c r="M483" i="1"/>
  <c r="N483" i="1" s="1"/>
  <c r="O483" i="1" s="1"/>
  <c r="M484" i="1"/>
  <c r="N484" i="1" s="1"/>
  <c r="O484" i="1" s="1"/>
  <c r="M485" i="1"/>
  <c r="N485" i="1" s="1"/>
  <c r="O485" i="1" s="1"/>
  <c r="M486" i="1"/>
  <c r="N486" i="1" s="1"/>
  <c r="O486" i="1" s="1"/>
  <c r="M487" i="1"/>
  <c r="N487" i="1" s="1"/>
  <c r="O487" i="1" s="1"/>
  <c r="M488" i="1"/>
  <c r="N488" i="1" s="1"/>
  <c r="O488" i="1" s="1"/>
  <c r="M489" i="1"/>
  <c r="N489" i="1" s="1"/>
  <c r="O489" i="1" s="1"/>
  <c r="M490" i="1"/>
  <c r="N490" i="1" s="1"/>
  <c r="O490" i="1" s="1"/>
  <c r="M491" i="1"/>
  <c r="N491" i="1" s="1"/>
  <c r="O491" i="1" s="1"/>
  <c r="M492" i="1"/>
  <c r="N492" i="1" s="1"/>
  <c r="O492" i="1" s="1"/>
  <c r="M493" i="1"/>
  <c r="N493" i="1" s="1"/>
  <c r="O493" i="1" s="1"/>
  <c r="M494" i="1"/>
  <c r="N494" i="1" s="1"/>
  <c r="O494" i="1" s="1"/>
  <c r="M495" i="1"/>
  <c r="N495" i="1" s="1"/>
  <c r="O495" i="1" s="1"/>
  <c r="M496" i="1"/>
  <c r="N496" i="1" s="1"/>
  <c r="O496" i="1" s="1"/>
  <c r="M497" i="1"/>
  <c r="N497" i="1" s="1"/>
  <c r="O497" i="1" s="1"/>
  <c r="M498" i="1"/>
  <c r="N498" i="1" s="1"/>
  <c r="O498" i="1" s="1"/>
  <c r="M499" i="1"/>
  <c r="N499" i="1" s="1"/>
  <c r="O499" i="1" s="1"/>
  <c r="M500" i="1"/>
  <c r="N500" i="1" s="1"/>
  <c r="O500" i="1" s="1"/>
  <c r="M501" i="1"/>
  <c r="N501" i="1" s="1"/>
  <c r="O501" i="1" s="1"/>
  <c r="M502" i="1"/>
  <c r="N502" i="1" s="1"/>
  <c r="O502" i="1" s="1"/>
  <c r="M503" i="1"/>
  <c r="N503" i="1" s="1"/>
  <c r="O503" i="1" s="1"/>
  <c r="M504" i="1"/>
  <c r="N504" i="1" s="1"/>
  <c r="O504" i="1" s="1"/>
  <c r="M505" i="1"/>
  <c r="N505" i="1" s="1"/>
  <c r="O505" i="1" s="1"/>
  <c r="M506" i="1"/>
  <c r="N506" i="1" s="1"/>
  <c r="O506" i="1" s="1"/>
  <c r="M507" i="1"/>
  <c r="N507" i="1" s="1"/>
  <c r="O507" i="1" s="1"/>
  <c r="M508" i="1"/>
  <c r="N508" i="1" s="1"/>
  <c r="O508" i="1" s="1"/>
  <c r="M509" i="1"/>
  <c r="N509" i="1" s="1"/>
  <c r="O509" i="1" s="1"/>
  <c r="M510" i="1"/>
  <c r="N510" i="1" s="1"/>
  <c r="O510" i="1" s="1"/>
  <c r="M511" i="1"/>
  <c r="N511" i="1" s="1"/>
  <c r="O511" i="1" s="1"/>
  <c r="M512" i="1"/>
  <c r="N512" i="1" s="1"/>
  <c r="O512" i="1" s="1"/>
  <c r="M513" i="1"/>
  <c r="N513" i="1" s="1"/>
  <c r="O513" i="1" s="1"/>
  <c r="M514" i="1"/>
  <c r="N514" i="1" s="1"/>
  <c r="O514" i="1" s="1"/>
  <c r="M515" i="1"/>
  <c r="N515" i="1" s="1"/>
  <c r="O515" i="1" s="1"/>
  <c r="M516" i="1"/>
  <c r="N516" i="1" s="1"/>
  <c r="O516" i="1" s="1"/>
  <c r="M517" i="1"/>
  <c r="N517" i="1" s="1"/>
  <c r="O517" i="1" s="1"/>
  <c r="M518" i="1"/>
  <c r="N518" i="1" s="1"/>
  <c r="O518" i="1" s="1"/>
  <c r="M519" i="1"/>
  <c r="N519" i="1" s="1"/>
  <c r="O519" i="1" s="1"/>
  <c r="M520" i="1"/>
  <c r="N520" i="1" s="1"/>
  <c r="O520" i="1" s="1"/>
  <c r="M521" i="1"/>
  <c r="N521" i="1" s="1"/>
  <c r="O521" i="1" s="1"/>
  <c r="M522" i="1"/>
  <c r="N522" i="1" s="1"/>
  <c r="O522" i="1" s="1"/>
  <c r="M523" i="1"/>
  <c r="N523" i="1" s="1"/>
  <c r="O523" i="1" s="1"/>
  <c r="M524" i="1"/>
  <c r="N524" i="1" s="1"/>
  <c r="O524" i="1" s="1"/>
  <c r="M525" i="1"/>
  <c r="N525" i="1" s="1"/>
  <c r="O525" i="1" s="1"/>
  <c r="M526" i="1"/>
  <c r="N526" i="1" s="1"/>
  <c r="O526" i="1" s="1"/>
  <c r="M527" i="1"/>
  <c r="N527" i="1" s="1"/>
  <c r="O527" i="1" s="1"/>
  <c r="M528" i="1"/>
  <c r="N528" i="1" s="1"/>
  <c r="O528" i="1" s="1"/>
  <c r="M529" i="1"/>
  <c r="N529" i="1" s="1"/>
  <c r="O529" i="1" s="1"/>
  <c r="M530" i="1"/>
  <c r="N530" i="1" s="1"/>
  <c r="O530" i="1" s="1"/>
  <c r="M531" i="1"/>
  <c r="N531" i="1" s="1"/>
  <c r="O531" i="1" s="1"/>
  <c r="M532" i="1"/>
  <c r="N532" i="1" s="1"/>
  <c r="O532" i="1" s="1"/>
  <c r="M533" i="1"/>
  <c r="N533" i="1" s="1"/>
  <c r="O533" i="1" s="1"/>
  <c r="M534" i="1"/>
  <c r="N534" i="1" s="1"/>
  <c r="O534" i="1" s="1"/>
  <c r="M535" i="1"/>
  <c r="N535" i="1" s="1"/>
  <c r="O535" i="1" s="1"/>
  <c r="M536" i="1"/>
  <c r="N536" i="1" s="1"/>
  <c r="O536" i="1" s="1"/>
  <c r="M537" i="1"/>
  <c r="N537" i="1" s="1"/>
  <c r="O537" i="1" s="1"/>
  <c r="M538" i="1"/>
  <c r="N538" i="1" s="1"/>
  <c r="O538" i="1" s="1"/>
  <c r="M539" i="1"/>
  <c r="N539" i="1" s="1"/>
  <c r="O539" i="1" s="1"/>
  <c r="M540" i="1"/>
  <c r="N540" i="1" s="1"/>
  <c r="O540" i="1" s="1"/>
  <c r="M541" i="1"/>
  <c r="N541" i="1" s="1"/>
  <c r="O541" i="1" s="1"/>
  <c r="M542" i="1"/>
  <c r="N542" i="1" s="1"/>
  <c r="O542" i="1" s="1"/>
  <c r="M543" i="1"/>
  <c r="N543" i="1" s="1"/>
  <c r="O543" i="1" s="1"/>
  <c r="M544" i="1"/>
  <c r="N544" i="1" s="1"/>
  <c r="O544" i="1" s="1"/>
  <c r="M545" i="1"/>
  <c r="N545" i="1" s="1"/>
  <c r="O545" i="1" s="1"/>
  <c r="M546" i="1"/>
  <c r="N546" i="1" s="1"/>
  <c r="O546" i="1" s="1"/>
  <c r="M547" i="1"/>
  <c r="N547" i="1" s="1"/>
  <c r="O547" i="1" s="1"/>
  <c r="M548" i="1"/>
  <c r="N548" i="1" s="1"/>
  <c r="O548" i="1" s="1"/>
  <c r="M549" i="1"/>
  <c r="N549" i="1" s="1"/>
  <c r="O549" i="1" s="1"/>
  <c r="M550" i="1"/>
  <c r="N550" i="1" s="1"/>
  <c r="O550" i="1" s="1"/>
  <c r="M551" i="1"/>
  <c r="N551" i="1" s="1"/>
  <c r="O551" i="1" s="1"/>
  <c r="M552" i="1"/>
  <c r="N552" i="1" s="1"/>
  <c r="O552" i="1" s="1"/>
  <c r="M553" i="1"/>
  <c r="N553" i="1" s="1"/>
  <c r="O553" i="1" s="1"/>
  <c r="M554" i="1"/>
  <c r="N554" i="1" s="1"/>
  <c r="O554" i="1" s="1"/>
  <c r="M555" i="1"/>
  <c r="N555" i="1" s="1"/>
  <c r="O555" i="1" s="1"/>
  <c r="M560" i="1"/>
  <c r="N560" i="1" s="1"/>
  <c r="O560" i="1" s="1"/>
  <c r="M561" i="1"/>
  <c r="N561" i="1" s="1"/>
  <c r="O561" i="1" s="1"/>
  <c r="M562" i="1"/>
  <c r="N562" i="1" s="1"/>
  <c r="O562" i="1" s="1"/>
  <c r="M563" i="1"/>
  <c r="N563" i="1" s="1"/>
  <c r="O563" i="1" s="1"/>
  <c r="M564" i="1"/>
  <c r="N564" i="1" s="1"/>
  <c r="O564" i="1" s="1"/>
  <c r="M565" i="1"/>
  <c r="N565" i="1" s="1"/>
  <c r="O565" i="1" s="1"/>
  <c r="M566" i="1"/>
  <c r="N566" i="1" s="1"/>
  <c r="O566" i="1" s="1"/>
  <c r="M567" i="1"/>
  <c r="N567" i="1" s="1"/>
  <c r="O567" i="1" s="1"/>
  <c r="M568" i="1"/>
  <c r="N568" i="1" s="1"/>
  <c r="O568" i="1" s="1"/>
  <c r="M569" i="1"/>
  <c r="N569" i="1" s="1"/>
  <c r="O569" i="1" s="1"/>
  <c r="M570" i="1"/>
  <c r="N570" i="1" s="1"/>
  <c r="O570" i="1" s="1"/>
  <c r="M571" i="1"/>
  <c r="N571" i="1" s="1"/>
  <c r="O571" i="1" s="1"/>
  <c r="M572" i="1"/>
  <c r="N572" i="1" s="1"/>
  <c r="O572" i="1" s="1"/>
  <c r="M573" i="1"/>
  <c r="N573" i="1" s="1"/>
  <c r="O573" i="1" s="1"/>
  <c r="M574" i="1"/>
  <c r="N574" i="1" s="1"/>
  <c r="O574" i="1" s="1"/>
  <c r="M575" i="1"/>
  <c r="N575" i="1" s="1"/>
  <c r="O575" i="1" s="1"/>
  <c r="M576" i="1"/>
  <c r="N576" i="1" s="1"/>
  <c r="O576" i="1" s="1"/>
  <c r="M577" i="1"/>
  <c r="N577" i="1" s="1"/>
  <c r="O577" i="1" s="1"/>
  <c r="M578" i="1"/>
  <c r="N578" i="1" s="1"/>
  <c r="O578" i="1" s="1"/>
  <c r="M579" i="1"/>
  <c r="N579" i="1" s="1"/>
  <c r="O579" i="1" s="1"/>
  <c r="M580" i="1"/>
  <c r="N580" i="1" s="1"/>
  <c r="O580" i="1" s="1"/>
  <c r="M581" i="1"/>
  <c r="N581" i="1" s="1"/>
  <c r="O581" i="1" s="1"/>
  <c r="M582" i="1"/>
  <c r="N582" i="1" s="1"/>
  <c r="O582" i="1" s="1"/>
  <c r="M583" i="1"/>
  <c r="N583" i="1" s="1"/>
  <c r="O583" i="1" s="1"/>
  <c r="M584" i="1"/>
  <c r="N584" i="1" s="1"/>
  <c r="O584" i="1" s="1"/>
  <c r="M585" i="1"/>
  <c r="N585" i="1" s="1"/>
  <c r="O585" i="1" s="1"/>
  <c r="M586" i="1"/>
  <c r="N586" i="1" s="1"/>
  <c r="O586" i="1" s="1"/>
  <c r="M587" i="1"/>
  <c r="N587" i="1" s="1"/>
  <c r="O587" i="1" s="1"/>
  <c r="M588" i="1"/>
  <c r="N588" i="1" s="1"/>
  <c r="O588" i="1" s="1"/>
  <c r="M589" i="1"/>
  <c r="N589" i="1" s="1"/>
  <c r="O589" i="1" s="1"/>
  <c r="M590" i="1"/>
  <c r="N590" i="1" s="1"/>
  <c r="O590" i="1" s="1"/>
  <c r="M591" i="1"/>
  <c r="N591" i="1" s="1"/>
  <c r="O591" i="1" s="1"/>
  <c r="M592" i="1"/>
  <c r="N592" i="1" s="1"/>
  <c r="O592" i="1" s="1"/>
  <c r="M593" i="1"/>
  <c r="N593" i="1" s="1"/>
  <c r="O593" i="1" s="1"/>
  <c r="M594" i="1"/>
  <c r="N594" i="1" s="1"/>
  <c r="O594" i="1" s="1"/>
  <c r="M595" i="1"/>
  <c r="N595" i="1" s="1"/>
  <c r="O595" i="1" s="1"/>
  <c r="M596" i="1"/>
  <c r="N596" i="1" s="1"/>
  <c r="O596" i="1" s="1"/>
  <c r="M597" i="1"/>
  <c r="N597" i="1" s="1"/>
  <c r="O597" i="1" s="1"/>
  <c r="M598" i="1"/>
  <c r="N598" i="1" s="1"/>
  <c r="O598" i="1" s="1"/>
  <c r="M599" i="1"/>
  <c r="N599" i="1" s="1"/>
  <c r="O599" i="1" s="1"/>
  <c r="M600" i="1"/>
  <c r="N600" i="1" s="1"/>
  <c r="O600" i="1" s="1"/>
  <c r="M601" i="1"/>
  <c r="N601" i="1" s="1"/>
  <c r="O601" i="1" s="1"/>
  <c r="M602" i="1"/>
  <c r="N602" i="1" s="1"/>
  <c r="O602" i="1" s="1"/>
  <c r="M603" i="1"/>
  <c r="N603" i="1" s="1"/>
  <c r="O603" i="1" s="1"/>
  <c r="M604" i="1"/>
  <c r="N604" i="1" s="1"/>
  <c r="O604" i="1" s="1"/>
  <c r="M605" i="1"/>
  <c r="N605" i="1" s="1"/>
  <c r="O605" i="1" s="1"/>
  <c r="M606" i="1"/>
  <c r="N606" i="1" s="1"/>
  <c r="O606" i="1" s="1"/>
  <c r="M607" i="1"/>
  <c r="N607" i="1" s="1"/>
  <c r="O607" i="1" s="1"/>
  <c r="M608" i="1"/>
  <c r="N608" i="1" s="1"/>
  <c r="O608" i="1" s="1"/>
  <c r="M609" i="1"/>
  <c r="N609" i="1" s="1"/>
  <c r="O609" i="1" s="1"/>
  <c r="M610" i="1"/>
  <c r="N610" i="1" s="1"/>
  <c r="O610" i="1" s="1"/>
  <c r="M611" i="1"/>
  <c r="N611" i="1" s="1"/>
  <c r="O611" i="1" s="1"/>
  <c r="M612" i="1"/>
  <c r="N612" i="1" s="1"/>
  <c r="O612" i="1" s="1"/>
  <c r="M613" i="1"/>
  <c r="N613" i="1" s="1"/>
  <c r="O613" i="1" s="1"/>
  <c r="M614" i="1"/>
  <c r="N614" i="1" s="1"/>
  <c r="O614" i="1" s="1"/>
  <c r="M615" i="1"/>
  <c r="N615" i="1" s="1"/>
  <c r="O615" i="1" s="1"/>
  <c r="M616" i="1"/>
  <c r="N616" i="1" s="1"/>
  <c r="O616" i="1" s="1"/>
  <c r="M617" i="1"/>
  <c r="N617" i="1" s="1"/>
  <c r="O617" i="1" s="1"/>
  <c r="M618" i="1"/>
  <c r="N618" i="1" s="1"/>
  <c r="O618" i="1" s="1"/>
  <c r="M619" i="1"/>
  <c r="N619" i="1" s="1"/>
  <c r="O619" i="1" s="1"/>
  <c r="M620" i="1"/>
  <c r="N620" i="1" s="1"/>
  <c r="O620" i="1" s="1"/>
  <c r="M621" i="1"/>
  <c r="N621" i="1" s="1"/>
  <c r="O621" i="1" s="1"/>
  <c r="M622" i="1"/>
  <c r="N622" i="1" s="1"/>
  <c r="O622" i="1" s="1"/>
  <c r="M623" i="1"/>
  <c r="N623" i="1" s="1"/>
  <c r="O623" i="1" s="1"/>
  <c r="M624" i="1"/>
  <c r="N624" i="1" s="1"/>
  <c r="O624" i="1" s="1"/>
  <c r="M625" i="1"/>
  <c r="N625" i="1" s="1"/>
  <c r="O625" i="1" s="1"/>
  <c r="M626" i="1"/>
  <c r="N626" i="1" s="1"/>
  <c r="O626" i="1" s="1"/>
  <c r="M627" i="1"/>
  <c r="N627" i="1" s="1"/>
  <c r="O627" i="1" s="1"/>
  <c r="M628" i="1"/>
  <c r="N628" i="1" s="1"/>
  <c r="O628" i="1" s="1"/>
  <c r="M629" i="1"/>
  <c r="N629" i="1" s="1"/>
  <c r="O629" i="1" s="1"/>
  <c r="M630" i="1"/>
  <c r="N630" i="1" s="1"/>
  <c r="O630" i="1" s="1"/>
  <c r="M631" i="1"/>
  <c r="N631" i="1" s="1"/>
  <c r="O631" i="1" s="1"/>
  <c r="M632" i="1"/>
  <c r="N632" i="1" s="1"/>
  <c r="O632" i="1" s="1"/>
  <c r="M633" i="1"/>
  <c r="N633" i="1" s="1"/>
  <c r="O633" i="1" s="1"/>
  <c r="M634" i="1"/>
  <c r="N634" i="1" s="1"/>
  <c r="O634" i="1" s="1"/>
  <c r="M635" i="1"/>
  <c r="N635" i="1" s="1"/>
  <c r="O635" i="1" s="1"/>
  <c r="M636" i="1"/>
  <c r="N636" i="1" s="1"/>
  <c r="O636" i="1" s="1"/>
  <c r="M637" i="1"/>
  <c r="N637" i="1" s="1"/>
  <c r="O637" i="1" s="1"/>
  <c r="M638" i="1"/>
  <c r="N638" i="1" s="1"/>
  <c r="O638" i="1" s="1"/>
  <c r="M639" i="1"/>
  <c r="N639" i="1" s="1"/>
  <c r="O639" i="1" s="1"/>
  <c r="M640" i="1"/>
  <c r="N640" i="1" s="1"/>
  <c r="O640" i="1" s="1"/>
  <c r="M641" i="1"/>
  <c r="N641" i="1" s="1"/>
  <c r="O641" i="1" s="1"/>
  <c r="M642" i="1"/>
  <c r="N642" i="1" s="1"/>
  <c r="O642" i="1" s="1"/>
  <c r="M643" i="1"/>
  <c r="N643" i="1" s="1"/>
  <c r="O643" i="1" s="1"/>
  <c r="M644" i="1"/>
  <c r="N644" i="1" s="1"/>
  <c r="O644" i="1" s="1"/>
  <c r="M645" i="1"/>
  <c r="N645" i="1" s="1"/>
  <c r="O645" i="1" s="1"/>
  <c r="M646" i="1"/>
  <c r="N646" i="1" s="1"/>
  <c r="O646" i="1" s="1"/>
  <c r="M647" i="1"/>
  <c r="N647" i="1" s="1"/>
  <c r="O647" i="1" s="1"/>
  <c r="M648" i="1"/>
  <c r="N648" i="1" s="1"/>
  <c r="O648" i="1" s="1"/>
  <c r="M649" i="1"/>
  <c r="N649" i="1" s="1"/>
  <c r="O649" i="1" s="1"/>
  <c r="M650" i="1"/>
  <c r="N650" i="1" s="1"/>
  <c r="O650" i="1" s="1"/>
  <c r="M651" i="1"/>
  <c r="N651" i="1" s="1"/>
  <c r="O651" i="1" s="1"/>
  <c r="M652" i="1"/>
  <c r="N652" i="1" s="1"/>
  <c r="O652" i="1" s="1"/>
  <c r="M653" i="1"/>
  <c r="N653" i="1" s="1"/>
  <c r="O653" i="1" s="1"/>
  <c r="M654" i="1"/>
  <c r="N654" i="1" s="1"/>
  <c r="O654" i="1" s="1"/>
  <c r="M655" i="1"/>
  <c r="N655" i="1" s="1"/>
  <c r="O655" i="1" s="1"/>
  <c r="M656" i="1"/>
  <c r="N656" i="1" s="1"/>
  <c r="O656" i="1" s="1"/>
  <c r="M657" i="1"/>
  <c r="N657" i="1" s="1"/>
  <c r="O657" i="1" s="1"/>
  <c r="M658" i="1"/>
  <c r="N658" i="1" s="1"/>
  <c r="O658" i="1" s="1"/>
  <c r="M659" i="1"/>
  <c r="N659" i="1" s="1"/>
  <c r="O659" i="1" s="1"/>
  <c r="M660" i="1"/>
  <c r="N660" i="1" s="1"/>
  <c r="O660" i="1" s="1"/>
  <c r="M661" i="1"/>
  <c r="N661" i="1" s="1"/>
  <c r="O661" i="1" s="1"/>
  <c r="M662" i="1"/>
  <c r="N662" i="1" s="1"/>
  <c r="O662" i="1" s="1"/>
  <c r="M663" i="1"/>
  <c r="N663" i="1" s="1"/>
  <c r="O663" i="1" s="1"/>
  <c r="M664" i="1"/>
  <c r="N664" i="1" s="1"/>
  <c r="O664" i="1" s="1"/>
  <c r="M665" i="1"/>
  <c r="N665" i="1" s="1"/>
  <c r="O665" i="1" s="1"/>
  <c r="M666" i="1"/>
  <c r="N666" i="1" s="1"/>
  <c r="O666" i="1" s="1"/>
  <c r="M667" i="1"/>
  <c r="N667" i="1" s="1"/>
  <c r="O667" i="1" s="1"/>
  <c r="M668" i="1"/>
  <c r="N668" i="1" s="1"/>
  <c r="O668" i="1" s="1"/>
  <c r="M669" i="1"/>
  <c r="N669" i="1" s="1"/>
  <c r="O669" i="1" s="1"/>
  <c r="M670" i="1"/>
  <c r="N670" i="1" s="1"/>
  <c r="O670" i="1" s="1"/>
  <c r="M671" i="1"/>
  <c r="N671" i="1" s="1"/>
  <c r="O671" i="1" s="1"/>
  <c r="M672" i="1"/>
  <c r="N672" i="1" s="1"/>
  <c r="O672" i="1" s="1"/>
  <c r="M673" i="1"/>
  <c r="N673" i="1" s="1"/>
  <c r="O673" i="1" s="1"/>
  <c r="M674" i="1"/>
  <c r="N674" i="1" s="1"/>
  <c r="O674" i="1" s="1"/>
  <c r="M675" i="1"/>
  <c r="N675" i="1" s="1"/>
  <c r="O675" i="1" s="1"/>
  <c r="M676" i="1"/>
  <c r="N676" i="1" s="1"/>
  <c r="O676" i="1" s="1"/>
  <c r="M677" i="1"/>
  <c r="N677" i="1" s="1"/>
  <c r="O677" i="1" s="1"/>
  <c r="M678" i="1"/>
  <c r="N678" i="1" s="1"/>
  <c r="O678" i="1" s="1"/>
  <c r="M679" i="1"/>
  <c r="N679" i="1" s="1"/>
  <c r="O679" i="1" s="1"/>
  <c r="M680" i="1"/>
  <c r="N680" i="1" s="1"/>
  <c r="O680" i="1" s="1"/>
  <c r="M681" i="1"/>
  <c r="N681" i="1" s="1"/>
  <c r="O681" i="1" s="1"/>
  <c r="M682" i="1"/>
  <c r="N682" i="1" s="1"/>
  <c r="O682" i="1" s="1"/>
  <c r="M683" i="1"/>
  <c r="N683" i="1" s="1"/>
  <c r="O683" i="1" s="1"/>
  <c r="M684" i="1"/>
  <c r="N684" i="1" s="1"/>
  <c r="O684" i="1" s="1"/>
  <c r="M685" i="1"/>
  <c r="N685" i="1" s="1"/>
  <c r="O685" i="1" s="1"/>
  <c r="M686" i="1"/>
  <c r="N686" i="1" s="1"/>
  <c r="O686" i="1" s="1"/>
  <c r="M687" i="1"/>
  <c r="N687" i="1" s="1"/>
  <c r="O687" i="1" s="1"/>
  <c r="M688" i="1"/>
  <c r="N688" i="1" s="1"/>
  <c r="O688" i="1" s="1"/>
  <c r="M689" i="1"/>
  <c r="N689" i="1" s="1"/>
  <c r="O689" i="1" s="1"/>
  <c r="M690" i="1"/>
  <c r="N690" i="1" s="1"/>
  <c r="O690" i="1" s="1"/>
  <c r="M691" i="1"/>
  <c r="N691" i="1" s="1"/>
  <c r="O691" i="1" s="1"/>
  <c r="M692" i="1"/>
  <c r="N692" i="1" s="1"/>
  <c r="O692" i="1" s="1"/>
  <c r="M693" i="1"/>
  <c r="N693" i="1" s="1"/>
  <c r="O693" i="1" s="1"/>
  <c r="M694" i="1"/>
  <c r="N694" i="1" s="1"/>
  <c r="O694" i="1" s="1"/>
  <c r="M695" i="1"/>
  <c r="N695" i="1" s="1"/>
  <c r="O695" i="1" s="1"/>
  <c r="M696" i="1"/>
  <c r="N696" i="1" s="1"/>
  <c r="O696" i="1" s="1"/>
  <c r="M697" i="1"/>
  <c r="N697" i="1" s="1"/>
  <c r="O697" i="1" s="1"/>
  <c r="M698" i="1"/>
  <c r="N698" i="1" s="1"/>
  <c r="O698" i="1" s="1"/>
  <c r="M699" i="1"/>
  <c r="N699" i="1" s="1"/>
  <c r="O699" i="1" s="1"/>
  <c r="M700" i="1"/>
  <c r="N700" i="1" s="1"/>
  <c r="O700" i="1" s="1"/>
  <c r="M701" i="1"/>
  <c r="N701" i="1" s="1"/>
  <c r="O701" i="1" s="1"/>
  <c r="M702" i="1"/>
  <c r="N702" i="1" s="1"/>
  <c r="O702" i="1" s="1"/>
  <c r="M703" i="1"/>
  <c r="N703" i="1" s="1"/>
  <c r="O703" i="1" s="1"/>
  <c r="M704" i="1"/>
  <c r="N704" i="1" s="1"/>
  <c r="O704" i="1" s="1"/>
  <c r="M705" i="1"/>
  <c r="N705" i="1" s="1"/>
  <c r="O705" i="1" s="1"/>
  <c r="M706" i="1"/>
  <c r="N706" i="1" s="1"/>
  <c r="O706" i="1" s="1"/>
  <c r="M707" i="1"/>
  <c r="N707" i="1" s="1"/>
  <c r="O707" i="1" s="1"/>
  <c r="M708" i="1"/>
  <c r="N708" i="1" s="1"/>
  <c r="O708" i="1" s="1"/>
  <c r="M709" i="1"/>
  <c r="N709" i="1" s="1"/>
  <c r="O709" i="1" s="1"/>
  <c r="M710" i="1"/>
  <c r="N710" i="1" s="1"/>
  <c r="O710" i="1" s="1"/>
  <c r="M711" i="1"/>
  <c r="N711" i="1" s="1"/>
  <c r="O711" i="1" s="1"/>
  <c r="M712" i="1"/>
  <c r="N712" i="1" s="1"/>
  <c r="O712" i="1" s="1"/>
  <c r="M713" i="1"/>
  <c r="N713" i="1" s="1"/>
  <c r="O713" i="1" s="1"/>
  <c r="M714" i="1"/>
  <c r="N714" i="1" s="1"/>
  <c r="O714" i="1" s="1"/>
  <c r="M715" i="1"/>
  <c r="N715" i="1" s="1"/>
  <c r="O715" i="1" s="1"/>
  <c r="M716" i="1"/>
  <c r="N716" i="1" s="1"/>
  <c r="O716" i="1" s="1"/>
  <c r="M717" i="1"/>
  <c r="N717" i="1" s="1"/>
  <c r="O717" i="1" s="1"/>
  <c r="M718" i="1"/>
  <c r="N718" i="1" s="1"/>
  <c r="O718" i="1" s="1"/>
  <c r="M719" i="1"/>
  <c r="N719" i="1" s="1"/>
  <c r="O719" i="1" s="1"/>
  <c r="M720" i="1"/>
  <c r="N720" i="1" s="1"/>
  <c r="O720" i="1" s="1"/>
  <c r="M721" i="1"/>
  <c r="N721" i="1" s="1"/>
  <c r="O721" i="1" s="1"/>
  <c r="M722" i="1"/>
  <c r="N722" i="1" s="1"/>
  <c r="O722" i="1" s="1"/>
  <c r="M723" i="1"/>
  <c r="N723" i="1" s="1"/>
  <c r="O723" i="1" s="1"/>
  <c r="M724" i="1"/>
  <c r="N724" i="1" s="1"/>
  <c r="O724" i="1" s="1"/>
  <c r="M725" i="1"/>
  <c r="N725" i="1" s="1"/>
  <c r="O725" i="1" s="1"/>
  <c r="M726" i="1"/>
  <c r="N726" i="1" s="1"/>
  <c r="O726" i="1" s="1"/>
  <c r="M727" i="1"/>
  <c r="N727" i="1" s="1"/>
  <c r="O727" i="1" s="1"/>
  <c r="M728" i="1"/>
  <c r="N728" i="1" s="1"/>
  <c r="O728" i="1" s="1"/>
  <c r="M729" i="1"/>
  <c r="N729" i="1" s="1"/>
  <c r="O729" i="1" s="1"/>
  <c r="M730" i="1"/>
  <c r="N730" i="1" s="1"/>
  <c r="O730" i="1" s="1"/>
  <c r="M731" i="1"/>
  <c r="N731" i="1" s="1"/>
  <c r="O731" i="1" s="1"/>
  <c r="M732" i="1"/>
  <c r="N732" i="1" s="1"/>
  <c r="O732" i="1" s="1"/>
  <c r="M733" i="1"/>
  <c r="N733" i="1" s="1"/>
  <c r="O733" i="1" s="1"/>
  <c r="M734" i="1"/>
  <c r="N734" i="1" s="1"/>
  <c r="O734" i="1" s="1"/>
  <c r="M735" i="1"/>
  <c r="N735" i="1" s="1"/>
  <c r="O735" i="1" s="1"/>
  <c r="M736" i="1"/>
  <c r="N736" i="1" s="1"/>
  <c r="O736" i="1" s="1"/>
  <c r="M737" i="1"/>
  <c r="N737" i="1" s="1"/>
  <c r="O737" i="1" s="1"/>
  <c r="M738" i="1"/>
  <c r="N738" i="1" s="1"/>
  <c r="O738" i="1" s="1"/>
  <c r="M739" i="1"/>
  <c r="N739" i="1" s="1"/>
  <c r="O739" i="1" s="1"/>
  <c r="M740" i="1"/>
  <c r="N740" i="1" s="1"/>
  <c r="O740" i="1" s="1"/>
  <c r="M741" i="1"/>
  <c r="N741" i="1" s="1"/>
  <c r="O741" i="1" s="1"/>
  <c r="M742" i="1"/>
  <c r="N742" i="1" s="1"/>
  <c r="O742" i="1" s="1"/>
  <c r="M743" i="1"/>
  <c r="N743" i="1" s="1"/>
  <c r="O743" i="1" s="1"/>
  <c r="M744" i="1"/>
  <c r="N744" i="1" s="1"/>
  <c r="O744" i="1" s="1"/>
  <c r="M745" i="1"/>
  <c r="N745" i="1" s="1"/>
  <c r="O745" i="1" s="1"/>
  <c r="M746" i="1"/>
  <c r="N746" i="1" s="1"/>
  <c r="O746" i="1" s="1"/>
  <c r="M747" i="1"/>
  <c r="N747" i="1" s="1"/>
  <c r="O747" i="1" s="1"/>
  <c r="M748" i="1"/>
  <c r="N748" i="1" s="1"/>
  <c r="O748" i="1" s="1"/>
  <c r="M749" i="1"/>
  <c r="N749" i="1" s="1"/>
  <c r="O749" i="1" s="1"/>
  <c r="M750" i="1"/>
  <c r="N750" i="1" s="1"/>
  <c r="O750" i="1" s="1"/>
  <c r="M751" i="1"/>
  <c r="N751" i="1" s="1"/>
  <c r="O751" i="1" s="1"/>
  <c r="M752" i="1"/>
  <c r="N752" i="1" s="1"/>
  <c r="O752" i="1" s="1"/>
  <c r="M753" i="1"/>
  <c r="N753" i="1" s="1"/>
  <c r="O753" i="1" s="1"/>
  <c r="M754" i="1"/>
  <c r="N754" i="1" s="1"/>
  <c r="O754" i="1" s="1"/>
  <c r="M755" i="1"/>
  <c r="N755" i="1" s="1"/>
  <c r="O755" i="1" s="1"/>
  <c r="M756" i="1"/>
  <c r="N756" i="1" s="1"/>
  <c r="O756" i="1" s="1"/>
  <c r="M757" i="1"/>
  <c r="N757" i="1" s="1"/>
  <c r="O757" i="1" s="1"/>
  <c r="M758" i="1"/>
  <c r="N758" i="1" s="1"/>
  <c r="O758" i="1" s="1"/>
  <c r="M759" i="1"/>
  <c r="N759" i="1" s="1"/>
  <c r="O759" i="1" s="1"/>
  <c r="M760" i="1"/>
  <c r="N760" i="1" s="1"/>
  <c r="O760" i="1" s="1"/>
  <c r="M761" i="1"/>
  <c r="N761" i="1" s="1"/>
  <c r="O761" i="1" s="1"/>
  <c r="M762" i="1"/>
  <c r="N762" i="1" s="1"/>
  <c r="O762" i="1" s="1"/>
  <c r="M763" i="1"/>
  <c r="N763" i="1" s="1"/>
  <c r="O763" i="1" s="1"/>
  <c r="M764" i="1"/>
  <c r="N764" i="1" s="1"/>
  <c r="O764" i="1" s="1"/>
  <c r="M765" i="1"/>
  <c r="N765" i="1" s="1"/>
  <c r="O765" i="1" s="1"/>
  <c r="M766" i="1"/>
  <c r="N766" i="1" s="1"/>
  <c r="O766" i="1" s="1"/>
  <c r="M767" i="1"/>
  <c r="N767" i="1" s="1"/>
  <c r="O767" i="1" s="1"/>
  <c r="M768" i="1"/>
  <c r="N768" i="1" s="1"/>
  <c r="O768" i="1" s="1"/>
  <c r="M769" i="1"/>
  <c r="N769" i="1" s="1"/>
  <c r="O769" i="1" s="1"/>
  <c r="M770" i="1"/>
  <c r="N770" i="1" s="1"/>
  <c r="O770" i="1" s="1"/>
  <c r="M771" i="1"/>
  <c r="N771" i="1" s="1"/>
  <c r="O771" i="1" s="1"/>
  <c r="M772" i="1"/>
  <c r="N772" i="1" s="1"/>
  <c r="O772" i="1" s="1"/>
  <c r="M773" i="1"/>
  <c r="N773" i="1" s="1"/>
  <c r="O773" i="1" s="1"/>
  <c r="M774" i="1"/>
  <c r="N774" i="1" s="1"/>
  <c r="O774" i="1" s="1"/>
  <c r="M775" i="1"/>
  <c r="N775" i="1" s="1"/>
  <c r="O775" i="1" s="1"/>
  <c r="M776" i="1"/>
  <c r="N776" i="1" s="1"/>
  <c r="O776" i="1" s="1"/>
  <c r="M777" i="1"/>
  <c r="N777" i="1" s="1"/>
  <c r="O777" i="1" s="1"/>
  <c r="M778" i="1"/>
  <c r="N778" i="1" s="1"/>
  <c r="O778" i="1" s="1"/>
  <c r="M779" i="1"/>
  <c r="N779" i="1" s="1"/>
  <c r="O779" i="1" s="1"/>
  <c r="M780" i="1"/>
  <c r="N780" i="1" s="1"/>
  <c r="O780" i="1" s="1"/>
  <c r="M781" i="1"/>
  <c r="N781" i="1" s="1"/>
  <c r="O781" i="1" s="1"/>
  <c r="M782" i="1"/>
  <c r="N782" i="1" s="1"/>
  <c r="O782" i="1" s="1"/>
  <c r="M783" i="1"/>
  <c r="N783" i="1" s="1"/>
  <c r="O783" i="1" s="1"/>
  <c r="M784" i="1"/>
  <c r="N784" i="1" s="1"/>
  <c r="O784" i="1" s="1"/>
  <c r="M785" i="1"/>
  <c r="N785" i="1" s="1"/>
  <c r="O785" i="1" s="1"/>
  <c r="M786" i="1"/>
  <c r="N786" i="1" s="1"/>
  <c r="O786" i="1" s="1"/>
  <c r="M787" i="1"/>
  <c r="N787" i="1" s="1"/>
  <c r="O787" i="1" s="1"/>
  <c r="M788" i="1"/>
  <c r="N788" i="1" s="1"/>
  <c r="O788" i="1" s="1"/>
  <c r="M789" i="1"/>
  <c r="N789" i="1" s="1"/>
  <c r="O789" i="1" s="1"/>
  <c r="M790" i="1"/>
  <c r="N790" i="1" s="1"/>
  <c r="O790" i="1" s="1"/>
  <c r="M791" i="1"/>
  <c r="N791" i="1" s="1"/>
  <c r="O791" i="1" s="1"/>
  <c r="M792" i="1"/>
  <c r="N792" i="1" s="1"/>
  <c r="O792" i="1" s="1"/>
  <c r="M793" i="1"/>
  <c r="N793" i="1" s="1"/>
  <c r="O793" i="1" s="1"/>
  <c r="M794" i="1"/>
  <c r="N794" i="1" s="1"/>
  <c r="O794" i="1" s="1"/>
  <c r="M795" i="1"/>
  <c r="N795" i="1" s="1"/>
  <c r="O795" i="1" s="1"/>
  <c r="M796" i="1"/>
  <c r="N796" i="1" s="1"/>
  <c r="O796" i="1" s="1"/>
  <c r="M797" i="1"/>
  <c r="N797" i="1" s="1"/>
  <c r="O797" i="1" s="1"/>
  <c r="M798" i="1"/>
  <c r="N798" i="1" s="1"/>
  <c r="O798" i="1" s="1"/>
  <c r="M799" i="1"/>
  <c r="N799" i="1" s="1"/>
  <c r="O799" i="1" s="1"/>
  <c r="M800" i="1"/>
  <c r="N800" i="1" s="1"/>
  <c r="O800" i="1" s="1"/>
  <c r="M801" i="1"/>
  <c r="N801" i="1" s="1"/>
  <c r="O801" i="1" s="1"/>
  <c r="M802" i="1"/>
  <c r="N802" i="1" s="1"/>
  <c r="O802" i="1" s="1"/>
  <c r="M803" i="1"/>
  <c r="N803" i="1" s="1"/>
  <c r="O803" i="1" s="1"/>
  <c r="M804" i="1"/>
  <c r="N804" i="1" s="1"/>
  <c r="O804" i="1" s="1"/>
  <c r="M805" i="1"/>
  <c r="N805" i="1" s="1"/>
  <c r="O805" i="1" s="1"/>
  <c r="M806" i="1"/>
  <c r="N806" i="1" s="1"/>
  <c r="O806" i="1" s="1"/>
  <c r="M807" i="1"/>
  <c r="N807" i="1" s="1"/>
  <c r="O807" i="1" s="1"/>
  <c r="M808" i="1"/>
  <c r="N808" i="1" s="1"/>
  <c r="O808" i="1" s="1"/>
  <c r="M809" i="1"/>
  <c r="N809" i="1" s="1"/>
  <c r="O809" i="1" s="1"/>
  <c r="M810" i="1"/>
  <c r="N810" i="1" s="1"/>
  <c r="O810" i="1" s="1"/>
  <c r="M811" i="1"/>
  <c r="N811" i="1" s="1"/>
  <c r="O811" i="1" s="1"/>
  <c r="M812" i="1"/>
  <c r="N812" i="1" s="1"/>
  <c r="O812" i="1" s="1"/>
  <c r="M813" i="1"/>
  <c r="N813" i="1" s="1"/>
  <c r="O813" i="1" s="1"/>
  <c r="M814" i="1"/>
  <c r="N814" i="1" s="1"/>
  <c r="O814" i="1" s="1"/>
  <c r="M815" i="1"/>
  <c r="N815" i="1" s="1"/>
  <c r="O815" i="1" s="1"/>
  <c r="M816" i="1"/>
  <c r="N816" i="1" s="1"/>
  <c r="O816" i="1" s="1"/>
  <c r="M817" i="1"/>
  <c r="N817" i="1" s="1"/>
  <c r="O817" i="1" s="1"/>
  <c r="M818" i="1"/>
  <c r="N818" i="1" s="1"/>
  <c r="O818" i="1" s="1"/>
  <c r="M819" i="1"/>
  <c r="N819" i="1" s="1"/>
  <c r="O819" i="1" s="1"/>
  <c r="M820" i="1"/>
  <c r="N820" i="1" s="1"/>
  <c r="O820" i="1" s="1"/>
  <c r="M821" i="1"/>
  <c r="N821" i="1" s="1"/>
  <c r="O821" i="1" s="1"/>
  <c r="M822" i="1"/>
  <c r="N822" i="1" s="1"/>
  <c r="O822" i="1" s="1"/>
  <c r="M823" i="1"/>
  <c r="N823" i="1" s="1"/>
  <c r="O823" i="1" s="1"/>
  <c r="M824" i="1"/>
  <c r="N824" i="1" s="1"/>
  <c r="O824" i="1" s="1"/>
  <c r="M825" i="1"/>
  <c r="N825" i="1" s="1"/>
  <c r="O825" i="1" s="1"/>
  <c r="M826" i="1"/>
  <c r="N826" i="1" s="1"/>
  <c r="O826" i="1" s="1"/>
  <c r="M827" i="1"/>
  <c r="N827" i="1" s="1"/>
  <c r="O827" i="1" s="1"/>
  <c r="M828" i="1"/>
  <c r="N828" i="1" s="1"/>
  <c r="O828" i="1" s="1"/>
  <c r="M829" i="1"/>
  <c r="N829" i="1" s="1"/>
  <c r="O829" i="1" s="1"/>
  <c r="M830" i="1"/>
  <c r="N830" i="1" s="1"/>
  <c r="O830" i="1" s="1"/>
  <c r="M831" i="1"/>
  <c r="N831" i="1" s="1"/>
  <c r="O831" i="1" s="1"/>
  <c r="M832" i="1"/>
  <c r="N832" i="1" s="1"/>
  <c r="O832" i="1" s="1"/>
  <c r="M833" i="1"/>
  <c r="N833" i="1" s="1"/>
  <c r="O833" i="1" s="1"/>
  <c r="M834" i="1"/>
  <c r="N834" i="1" s="1"/>
  <c r="O834" i="1" s="1"/>
  <c r="M835" i="1"/>
  <c r="N835" i="1" s="1"/>
  <c r="O835" i="1" s="1"/>
  <c r="M836" i="1"/>
  <c r="N836" i="1" s="1"/>
  <c r="O836" i="1" s="1"/>
  <c r="M837" i="1"/>
  <c r="N837" i="1" s="1"/>
  <c r="O837" i="1" s="1"/>
  <c r="M838" i="1"/>
  <c r="N838" i="1" s="1"/>
  <c r="O838" i="1" s="1"/>
  <c r="M839" i="1"/>
  <c r="N839" i="1" s="1"/>
  <c r="O839" i="1" s="1"/>
  <c r="M840" i="1"/>
  <c r="N840" i="1" s="1"/>
  <c r="O840" i="1" s="1"/>
  <c r="M841" i="1"/>
  <c r="N841" i="1" s="1"/>
  <c r="O841" i="1" s="1"/>
  <c r="M842" i="1"/>
  <c r="N842" i="1" s="1"/>
  <c r="O842" i="1" s="1"/>
  <c r="M843" i="1"/>
  <c r="N843" i="1" s="1"/>
  <c r="O843" i="1" s="1"/>
  <c r="M844" i="1"/>
  <c r="N844" i="1" s="1"/>
  <c r="O844" i="1" s="1"/>
  <c r="M845" i="1"/>
  <c r="N845" i="1" s="1"/>
  <c r="O845" i="1" s="1"/>
  <c r="M846" i="1"/>
  <c r="N846" i="1" s="1"/>
  <c r="O846" i="1" s="1"/>
  <c r="M847" i="1"/>
  <c r="N847" i="1" s="1"/>
  <c r="O847" i="1" s="1"/>
  <c r="M848" i="1"/>
  <c r="N848" i="1" s="1"/>
  <c r="O848" i="1" s="1"/>
  <c r="M849" i="1"/>
  <c r="N849" i="1" s="1"/>
  <c r="O849" i="1" s="1"/>
  <c r="M850" i="1"/>
  <c r="N850" i="1" s="1"/>
  <c r="O850" i="1" s="1"/>
  <c r="M851" i="1"/>
  <c r="N851" i="1" s="1"/>
  <c r="O851" i="1" s="1"/>
  <c r="M852" i="1"/>
  <c r="N852" i="1" s="1"/>
  <c r="O852" i="1" s="1"/>
  <c r="M853" i="1"/>
  <c r="N853" i="1" s="1"/>
  <c r="O853" i="1" s="1"/>
  <c r="M854" i="1"/>
  <c r="N854" i="1" s="1"/>
  <c r="O854" i="1" s="1"/>
  <c r="M855" i="1"/>
  <c r="N855" i="1" s="1"/>
  <c r="O855" i="1" s="1"/>
  <c r="M856" i="1"/>
  <c r="N856" i="1" s="1"/>
  <c r="O856" i="1" s="1"/>
  <c r="M857" i="1"/>
  <c r="N857" i="1" s="1"/>
  <c r="O857" i="1" s="1"/>
  <c r="M858" i="1"/>
  <c r="N858" i="1" s="1"/>
  <c r="O858" i="1" s="1"/>
  <c r="M859" i="1"/>
  <c r="N859" i="1" s="1"/>
  <c r="O859" i="1" s="1"/>
  <c r="M860" i="1"/>
  <c r="N860" i="1" s="1"/>
  <c r="O860" i="1" s="1"/>
  <c r="M861" i="1"/>
  <c r="N861" i="1" s="1"/>
  <c r="O861" i="1" s="1"/>
  <c r="M862" i="1"/>
  <c r="N862" i="1" s="1"/>
  <c r="O862" i="1" s="1"/>
  <c r="M863" i="1"/>
  <c r="N863" i="1" s="1"/>
  <c r="O863" i="1" s="1"/>
  <c r="M864" i="1"/>
  <c r="N864" i="1" s="1"/>
  <c r="O864" i="1" s="1"/>
  <c r="M865" i="1"/>
  <c r="N865" i="1" s="1"/>
  <c r="O865" i="1" s="1"/>
  <c r="M866" i="1"/>
  <c r="N866" i="1" s="1"/>
  <c r="O866" i="1" s="1"/>
  <c r="M867" i="1"/>
  <c r="N867" i="1" s="1"/>
  <c r="O867" i="1" s="1"/>
  <c r="M868" i="1"/>
  <c r="N868" i="1" s="1"/>
  <c r="O868" i="1" s="1"/>
  <c r="M869" i="1"/>
  <c r="N869" i="1" s="1"/>
  <c r="O869" i="1" s="1"/>
  <c r="M870" i="1"/>
  <c r="N870" i="1" s="1"/>
  <c r="O870" i="1" s="1"/>
  <c r="M871" i="1"/>
  <c r="N871" i="1" s="1"/>
  <c r="O871" i="1" s="1"/>
  <c r="M872" i="1"/>
  <c r="N872" i="1" s="1"/>
  <c r="O872" i="1" s="1"/>
  <c r="M873" i="1"/>
  <c r="N873" i="1" s="1"/>
  <c r="O873" i="1" s="1"/>
  <c r="M874" i="1"/>
  <c r="N874" i="1" s="1"/>
  <c r="O874" i="1" s="1"/>
  <c r="M875" i="1"/>
  <c r="N875" i="1" s="1"/>
  <c r="O875" i="1" s="1"/>
  <c r="M876" i="1"/>
  <c r="N876" i="1" s="1"/>
  <c r="O876" i="1" s="1"/>
  <c r="M877" i="1"/>
  <c r="N877" i="1" s="1"/>
  <c r="O877" i="1" s="1"/>
  <c r="M878" i="1"/>
  <c r="N878" i="1" s="1"/>
  <c r="O878" i="1" s="1"/>
  <c r="M879" i="1"/>
  <c r="N879" i="1" s="1"/>
  <c r="O879" i="1" s="1"/>
  <c r="M880" i="1"/>
  <c r="N880" i="1" s="1"/>
  <c r="O880" i="1" s="1"/>
  <c r="M881" i="1"/>
  <c r="N881" i="1" s="1"/>
  <c r="O881" i="1" s="1"/>
  <c r="M882" i="1"/>
  <c r="N882" i="1" s="1"/>
  <c r="O882" i="1" s="1"/>
  <c r="M883" i="1"/>
  <c r="N883" i="1" s="1"/>
  <c r="O883" i="1" s="1"/>
  <c r="M884" i="1"/>
  <c r="N884" i="1" s="1"/>
  <c r="O884" i="1" s="1"/>
  <c r="M885" i="1"/>
  <c r="N885" i="1" s="1"/>
  <c r="O885" i="1" s="1"/>
  <c r="M886" i="1"/>
  <c r="N886" i="1" s="1"/>
  <c r="O886" i="1" s="1"/>
  <c r="M887" i="1"/>
  <c r="N887" i="1" s="1"/>
  <c r="O887" i="1" s="1"/>
  <c r="M888" i="1"/>
  <c r="N888" i="1" s="1"/>
  <c r="O888" i="1" s="1"/>
  <c r="M889" i="1"/>
  <c r="N889" i="1" s="1"/>
  <c r="O889" i="1" s="1"/>
  <c r="M890" i="1"/>
  <c r="N890" i="1" s="1"/>
  <c r="O890" i="1" s="1"/>
  <c r="M891" i="1"/>
  <c r="N891" i="1" s="1"/>
  <c r="O891" i="1" s="1"/>
  <c r="M892" i="1"/>
  <c r="N892" i="1" s="1"/>
  <c r="O892" i="1" s="1"/>
  <c r="M893" i="1"/>
  <c r="N893" i="1" s="1"/>
  <c r="O893" i="1" s="1"/>
  <c r="M894" i="1"/>
  <c r="N894" i="1" s="1"/>
  <c r="O894" i="1" s="1"/>
  <c r="M895" i="1"/>
  <c r="N895" i="1" s="1"/>
  <c r="O895" i="1" s="1"/>
  <c r="M896" i="1"/>
  <c r="N896" i="1" s="1"/>
  <c r="O896" i="1" s="1"/>
  <c r="M897" i="1"/>
  <c r="N897" i="1" s="1"/>
  <c r="O897" i="1" s="1"/>
  <c r="M898" i="1"/>
  <c r="N898" i="1" s="1"/>
  <c r="O898" i="1" s="1"/>
  <c r="M899" i="1"/>
  <c r="N899" i="1" s="1"/>
  <c r="O899" i="1" s="1"/>
  <c r="M900" i="1"/>
  <c r="N900" i="1" s="1"/>
  <c r="O900" i="1" s="1"/>
  <c r="M901" i="1"/>
  <c r="N901" i="1" s="1"/>
  <c r="O901" i="1" s="1"/>
  <c r="M902" i="1"/>
  <c r="N902" i="1" s="1"/>
  <c r="O902" i="1" s="1"/>
  <c r="M903" i="1"/>
  <c r="N903" i="1" s="1"/>
  <c r="O903" i="1" s="1"/>
  <c r="M904" i="1"/>
  <c r="N904" i="1" s="1"/>
  <c r="O904" i="1" s="1"/>
  <c r="M905" i="1"/>
  <c r="N905" i="1" s="1"/>
  <c r="O905" i="1" s="1"/>
  <c r="M906" i="1"/>
  <c r="N906" i="1" s="1"/>
  <c r="O906" i="1" s="1"/>
  <c r="M907" i="1"/>
  <c r="N907" i="1" s="1"/>
  <c r="O907" i="1" s="1"/>
  <c r="M908" i="1"/>
  <c r="N908" i="1" s="1"/>
  <c r="O908" i="1" s="1"/>
  <c r="M909" i="1"/>
  <c r="N909" i="1" s="1"/>
  <c r="O909" i="1" s="1"/>
  <c r="M910" i="1"/>
  <c r="N910" i="1" s="1"/>
  <c r="O910" i="1" s="1"/>
  <c r="M911" i="1"/>
  <c r="N911" i="1" s="1"/>
  <c r="O911" i="1" s="1"/>
  <c r="M912" i="1"/>
  <c r="N912" i="1" s="1"/>
  <c r="O912" i="1" s="1"/>
  <c r="M913" i="1"/>
  <c r="N913" i="1" s="1"/>
  <c r="O913" i="1" s="1"/>
  <c r="M914" i="1"/>
  <c r="N914" i="1" s="1"/>
  <c r="O914" i="1" s="1"/>
  <c r="M915" i="1"/>
  <c r="N915" i="1" s="1"/>
  <c r="O915" i="1" s="1"/>
  <c r="M916" i="1"/>
  <c r="N916" i="1" s="1"/>
  <c r="O916" i="1" s="1"/>
  <c r="M917" i="1"/>
  <c r="N917" i="1" s="1"/>
  <c r="O917" i="1" s="1"/>
  <c r="M918" i="1"/>
  <c r="N918" i="1" s="1"/>
  <c r="O918" i="1" s="1"/>
  <c r="M919" i="1"/>
  <c r="N919" i="1" s="1"/>
  <c r="O919" i="1" s="1"/>
  <c r="M920" i="1"/>
  <c r="N920" i="1" s="1"/>
  <c r="O920" i="1" s="1"/>
  <c r="M921" i="1"/>
  <c r="N921" i="1" s="1"/>
  <c r="O921" i="1" s="1"/>
  <c r="M922" i="1"/>
  <c r="N922" i="1" s="1"/>
  <c r="O922" i="1" s="1"/>
  <c r="M923" i="1"/>
  <c r="N923" i="1" s="1"/>
  <c r="O923" i="1" s="1"/>
  <c r="M924" i="1"/>
  <c r="N924" i="1" s="1"/>
  <c r="O924" i="1" s="1"/>
  <c r="M925" i="1"/>
  <c r="N925" i="1" s="1"/>
  <c r="O925" i="1" s="1"/>
  <c r="M926" i="1"/>
  <c r="N926" i="1" s="1"/>
  <c r="O926" i="1" s="1"/>
  <c r="M927" i="1"/>
  <c r="N927" i="1" s="1"/>
  <c r="O927" i="1" s="1"/>
  <c r="M928" i="1"/>
  <c r="N928" i="1" s="1"/>
  <c r="O928" i="1" s="1"/>
  <c r="M929" i="1"/>
  <c r="N929" i="1" s="1"/>
  <c r="O929" i="1" s="1"/>
  <c r="M930" i="1"/>
  <c r="N930" i="1" s="1"/>
  <c r="O930" i="1" s="1"/>
  <c r="M931" i="1"/>
  <c r="N931" i="1" s="1"/>
  <c r="O931" i="1" s="1"/>
  <c r="M932" i="1"/>
  <c r="N932" i="1" s="1"/>
  <c r="O932" i="1" s="1"/>
  <c r="M933" i="1"/>
  <c r="N933" i="1" s="1"/>
  <c r="O933" i="1" s="1"/>
  <c r="M934" i="1"/>
  <c r="N934" i="1" s="1"/>
  <c r="O934" i="1" s="1"/>
  <c r="M935" i="1"/>
  <c r="N935" i="1" s="1"/>
  <c r="O935" i="1" s="1"/>
  <c r="M936" i="1"/>
  <c r="N936" i="1" s="1"/>
  <c r="O936" i="1" s="1"/>
  <c r="M937" i="1"/>
  <c r="N937" i="1" s="1"/>
  <c r="O937" i="1" s="1"/>
  <c r="M938" i="1"/>
  <c r="N938" i="1" s="1"/>
  <c r="O938" i="1" s="1"/>
  <c r="M939" i="1"/>
  <c r="N939" i="1" s="1"/>
  <c r="O939" i="1" s="1"/>
  <c r="M940" i="1"/>
  <c r="N940" i="1" s="1"/>
  <c r="O940" i="1" s="1"/>
  <c r="M941" i="1"/>
  <c r="N941" i="1" s="1"/>
  <c r="O941" i="1" s="1"/>
  <c r="M942" i="1"/>
  <c r="N942" i="1" s="1"/>
  <c r="O942" i="1" s="1"/>
  <c r="M943" i="1"/>
  <c r="N943" i="1" s="1"/>
  <c r="O943" i="1" s="1"/>
  <c r="M944" i="1"/>
  <c r="N944" i="1" s="1"/>
  <c r="O944" i="1" s="1"/>
  <c r="M945" i="1"/>
  <c r="N945" i="1" s="1"/>
  <c r="O945" i="1" s="1"/>
  <c r="M946" i="1"/>
  <c r="N946" i="1" s="1"/>
  <c r="O946" i="1" s="1"/>
  <c r="M951" i="1"/>
  <c r="N951" i="1" s="1"/>
  <c r="O951" i="1" s="1"/>
  <c r="M952" i="1"/>
  <c r="N952" i="1" s="1"/>
  <c r="O952" i="1" s="1"/>
  <c r="M953" i="1"/>
  <c r="N953" i="1" s="1"/>
  <c r="O953" i="1" s="1"/>
  <c r="M954" i="1"/>
  <c r="N954" i="1" s="1"/>
  <c r="O954" i="1" s="1"/>
  <c r="M955" i="1"/>
  <c r="N955" i="1" s="1"/>
  <c r="O955" i="1" s="1"/>
  <c r="M956" i="1"/>
  <c r="N956" i="1" s="1"/>
  <c r="O956" i="1" s="1"/>
  <c r="M957" i="1"/>
  <c r="N957" i="1" s="1"/>
  <c r="O957" i="1" s="1"/>
  <c r="M958" i="1"/>
  <c r="N958" i="1" s="1"/>
  <c r="O958" i="1" s="1"/>
  <c r="M959" i="1"/>
  <c r="N959" i="1" s="1"/>
  <c r="O959" i="1" s="1"/>
  <c r="M960" i="1"/>
  <c r="N960" i="1" s="1"/>
  <c r="O960" i="1" s="1"/>
  <c r="M961" i="1"/>
  <c r="N961" i="1" s="1"/>
  <c r="O961" i="1" s="1"/>
  <c r="M962" i="1"/>
  <c r="N962" i="1" s="1"/>
  <c r="O962" i="1" s="1"/>
  <c r="M963" i="1"/>
  <c r="N963" i="1" s="1"/>
  <c r="O963" i="1" s="1"/>
  <c r="M964" i="1"/>
  <c r="N964" i="1" s="1"/>
  <c r="O964" i="1" s="1"/>
  <c r="M965" i="1"/>
  <c r="N965" i="1" s="1"/>
  <c r="O965" i="1" s="1"/>
  <c r="M966" i="1"/>
  <c r="N966" i="1" s="1"/>
  <c r="O966" i="1" s="1"/>
  <c r="M967" i="1"/>
  <c r="N967" i="1" s="1"/>
  <c r="O967" i="1" s="1"/>
  <c r="M968" i="1"/>
  <c r="N968" i="1" s="1"/>
  <c r="O968" i="1" s="1"/>
  <c r="M969" i="1"/>
  <c r="N969" i="1" s="1"/>
  <c r="O969" i="1" s="1"/>
  <c r="M970" i="1"/>
  <c r="N970" i="1" s="1"/>
  <c r="O970" i="1" s="1"/>
  <c r="M971" i="1"/>
  <c r="N971" i="1" s="1"/>
  <c r="O971" i="1" s="1"/>
  <c r="M972" i="1"/>
  <c r="N972" i="1" s="1"/>
  <c r="O972" i="1" s="1"/>
  <c r="M973" i="1"/>
  <c r="N973" i="1" s="1"/>
  <c r="O973" i="1" s="1"/>
  <c r="M974" i="1"/>
  <c r="N974" i="1" s="1"/>
  <c r="O974" i="1" s="1"/>
  <c r="M975" i="1"/>
  <c r="N975" i="1" s="1"/>
  <c r="O975" i="1" s="1"/>
  <c r="M976" i="1"/>
  <c r="N976" i="1" s="1"/>
  <c r="O976" i="1" s="1"/>
  <c r="M977" i="1"/>
  <c r="N977" i="1" s="1"/>
  <c r="O977" i="1" s="1"/>
  <c r="M978" i="1"/>
  <c r="N978" i="1" s="1"/>
  <c r="O978" i="1" s="1"/>
  <c r="M979" i="1"/>
  <c r="N979" i="1" s="1"/>
  <c r="O979" i="1" s="1"/>
  <c r="M984" i="1"/>
  <c r="N984" i="1" s="1"/>
  <c r="O984" i="1" s="1"/>
  <c r="M985" i="1"/>
  <c r="N985" i="1" s="1"/>
  <c r="O985" i="1" s="1"/>
  <c r="M986" i="1"/>
  <c r="N986" i="1" s="1"/>
  <c r="O986" i="1" s="1"/>
  <c r="M987" i="1"/>
  <c r="N987" i="1" s="1"/>
  <c r="O987" i="1" s="1"/>
  <c r="M988" i="1"/>
  <c r="N988" i="1" s="1"/>
  <c r="O988" i="1" s="1"/>
  <c r="M989" i="1"/>
  <c r="N989" i="1" s="1"/>
  <c r="O989" i="1" s="1"/>
  <c r="M990" i="1"/>
  <c r="N990" i="1" s="1"/>
  <c r="O990" i="1" s="1"/>
  <c r="M991" i="1"/>
  <c r="N991" i="1" s="1"/>
  <c r="O991" i="1" s="1"/>
  <c r="M992" i="1"/>
  <c r="N992" i="1" s="1"/>
  <c r="O992" i="1" s="1"/>
  <c r="M993" i="1"/>
  <c r="N993" i="1" s="1"/>
  <c r="O993" i="1" s="1"/>
  <c r="M994" i="1"/>
  <c r="N994" i="1" s="1"/>
  <c r="O994" i="1" s="1"/>
  <c r="M995" i="1"/>
  <c r="N995" i="1" s="1"/>
  <c r="O995" i="1" s="1"/>
  <c r="M996" i="1"/>
  <c r="N996" i="1" s="1"/>
  <c r="O996" i="1" s="1"/>
  <c r="M997" i="1"/>
  <c r="N997" i="1" s="1"/>
  <c r="O997" i="1" s="1"/>
  <c r="M998" i="1"/>
  <c r="N998" i="1" s="1"/>
  <c r="O998" i="1" s="1"/>
  <c r="M999" i="1"/>
  <c r="N999" i="1" s="1"/>
  <c r="O999" i="1" s="1"/>
  <c r="M1000" i="1"/>
  <c r="N1000" i="1" s="1"/>
  <c r="O1000" i="1" s="1"/>
  <c r="M1001" i="1"/>
  <c r="N1001" i="1" s="1"/>
  <c r="O1001" i="1" s="1"/>
  <c r="M1002" i="1"/>
  <c r="N1002" i="1" s="1"/>
  <c r="O1002" i="1" s="1"/>
  <c r="M1003" i="1"/>
  <c r="N1003" i="1" s="1"/>
  <c r="O1003" i="1" s="1"/>
  <c r="M1004" i="1"/>
  <c r="N1004" i="1" s="1"/>
  <c r="O1004" i="1" s="1"/>
  <c r="M1005" i="1"/>
  <c r="N1005" i="1" s="1"/>
  <c r="O1005" i="1" s="1"/>
  <c r="M1006" i="1"/>
  <c r="N1006" i="1" s="1"/>
  <c r="O1006" i="1" s="1"/>
  <c r="M1007" i="1"/>
  <c r="N1007" i="1" s="1"/>
  <c r="O1007" i="1" s="1"/>
  <c r="M1008" i="1"/>
  <c r="N1008" i="1" s="1"/>
  <c r="O1008" i="1" s="1"/>
  <c r="M1009" i="1"/>
  <c r="N1009" i="1" s="1"/>
  <c r="O1009" i="1" s="1"/>
  <c r="M1010" i="1"/>
  <c r="N1010" i="1" s="1"/>
  <c r="O1010" i="1" s="1"/>
  <c r="M1011" i="1"/>
  <c r="N1011" i="1" s="1"/>
  <c r="O1011" i="1" s="1"/>
  <c r="M1012" i="1"/>
  <c r="N1012" i="1" s="1"/>
  <c r="O1012" i="1" s="1"/>
  <c r="M1013" i="1"/>
  <c r="N1013" i="1" s="1"/>
  <c r="O1013" i="1" s="1"/>
  <c r="M1014" i="1"/>
  <c r="N1014" i="1" s="1"/>
  <c r="O1014" i="1" s="1"/>
  <c r="M1015" i="1"/>
  <c r="N1015" i="1" s="1"/>
  <c r="O1015" i="1" s="1"/>
  <c r="M1016" i="1"/>
  <c r="N1016" i="1" s="1"/>
  <c r="O1016" i="1" s="1"/>
  <c r="M1017" i="1"/>
  <c r="N1017" i="1" s="1"/>
  <c r="O1017" i="1" s="1"/>
  <c r="M1018" i="1"/>
  <c r="N1018" i="1" s="1"/>
  <c r="O1018" i="1" s="1"/>
  <c r="M1019" i="1"/>
  <c r="N1019" i="1" s="1"/>
  <c r="O1019" i="1" s="1"/>
  <c r="M1020" i="1"/>
  <c r="N1020" i="1" s="1"/>
  <c r="O1020" i="1" s="1"/>
  <c r="M1021" i="1"/>
  <c r="N1021" i="1" s="1"/>
  <c r="O1021" i="1" s="1"/>
  <c r="M1022" i="1"/>
  <c r="N1022" i="1" s="1"/>
  <c r="O1022" i="1" s="1"/>
  <c r="M1023" i="1"/>
  <c r="N1023" i="1" s="1"/>
  <c r="O1023" i="1" s="1"/>
  <c r="M1024" i="1"/>
  <c r="N1024" i="1" s="1"/>
  <c r="O1024" i="1" s="1"/>
  <c r="M1025" i="1"/>
  <c r="N1025" i="1" s="1"/>
  <c r="O1025" i="1" s="1"/>
  <c r="M1026" i="1"/>
  <c r="N1026" i="1" s="1"/>
  <c r="O1026" i="1" s="1"/>
  <c r="M1027" i="1"/>
  <c r="N1027" i="1" s="1"/>
  <c r="O1027" i="1" s="1"/>
  <c r="M1028" i="1"/>
  <c r="N1028" i="1" s="1"/>
  <c r="O1028" i="1" s="1"/>
  <c r="M1029" i="1"/>
  <c r="N1029" i="1" s="1"/>
  <c r="O1029" i="1" s="1"/>
  <c r="M1030" i="1"/>
  <c r="N1030" i="1" s="1"/>
  <c r="O1030" i="1" s="1"/>
  <c r="M1031" i="1"/>
  <c r="N1031" i="1" s="1"/>
  <c r="O1031" i="1" s="1"/>
  <c r="M1032" i="1"/>
  <c r="N1032" i="1" s="1"/>
  <c r="O1032" i="1" s="1"/>
  <c r="M1033" i="1"/>
  <c r="N1033" i="1" s="1"/>
  <c r="O1033" i="1" s="1"/>
  <c r="M1034" i="1"/>
  <c r="N1034" i="1" s="1"/>
  <c r="O1034" i="1" s="1"/>
  <c r="M1035" i="1"/>
  <c r="N1035" i="1" s="1"/>
  <c r="O1035" i="1" s="1"/>
  <c r="M1036" i="1"/>
  <c r="N1036" i="1" s="1"/>
  <c r="O1036" i="1" s="1"/>
  <c r="M1037" i="1"/>
  <c r="N1037" i="1" s="1"/>
  <c r="O1037" i="1" s="1"/>
  <c r="M1038" i="1"/>
  <c r="N1038" i="1" s="1"/>
  <c r="O1038" i="1" s="1"/>
  <c r="M1039" i="1"/>
  <c r="N1039" i="1" s="1"/>
  <c r="O1039" i="1" s="1"/>
  <c r="M1040" i="1"/>
  <c r="N1040" i="1" s="1"/>
  <c r="O1040" i="1" s="1"/>
  <c r="M1041" i="1"/>
  <c r="N1041" i="1" s="1"/>
  <c r="O1041" i="1" s="1"/>
  <c r="M1042" i="1"/>
  <c r="N1042" i="1" s="1"/>
  <c r="O1042" i="1" s="1"/>
  <c r="M1043" i="1"/>
  <c r="N1043" i="1" s="1"/>
  <c r="O1043" i="1" s="1"/>
  <c r="M1044" i="1"/>
  <c r="N1044" i="1" s="1"/>
  <c r="O1044" i="1" s="1"/>
  <c r="M1045" i="1"/>
  <c r="N1045" i="1" s="1"/>
  <c r="O1045" i="1" s="1"/>
  <c r="M1046" i="1"/>
  <c r="N1046" i="1" s="1"/>
  <c r="O1046" i="1" s="1"/>
  <c r="M1047" i="1"/>
  <c r="N1047" i="1" s="1"/>
  <c r="O1047" i="1" s="1"/>
  <c r="M1048" i="1"/>
  <c r="N1048" i="1" s="1"/>
  <c r="O1048" i="1" s="1"/>
  <c r="M1049" i="1"/>
  <c r="N1049" i="1" s="1"/>
  <c r="O1049" i="1" s="1"/>
  <c r="M1050" i="1"/>
  <c r="N1050" i="1" s="1"/>
  <c r="O1050" i="1" s="1"/>
  <c r="M1051" i="1"/>
  <c r="N1051" i="1" s="1"/>
  <c r="O1051" i="1" s="1"/>
  <c r="M1052" i="1"/>
  <c r="N1052" i="1" s="1"/>
  <c r="O1052" i="1" s="1"/>
  <c r="M1053" i="1"/>
  <c r="N1053" i="1" s="1"/>
  <c r="O1053" i="1" s="1"/>
  <c r="M1054" i="1"/>
  <c r="N1054" i="1" s="1"/>
  <c r="O1054" i="1" s="1"/>
  <c r="M1055" i="1"/>
  <c r="N1055" i="1" s="1"/>
  <c r="O1055" i="1" s="1"/>
  <c r="M1056" i="1"/>
  <c r="N1056" i="1" s="1"/>
  <c r="O1056" i="1" s="1"/>
  <c r="M1057" i="1"/>
  <c r="N1057" i="1" s="1"/>
  <c r="O1057" i="1" s="1"/>
  <c r="M1058" i="1"/>
  <c r="N1058" i="1" s="1"/>
  <c r="O1058" i="1" s="1"/>
  <c r="M1059" i="1"/>
  <c r="N1059" i="1" s="1"/>
  <c r="O1059" i="1" s="1"/>
  <c r="M1060" i="1"/>
  <c r="N1060" i="1" s="1"/>
  <c r="O1060" i="1" s="1"/>
  <c r="M1061" i="1"/>
  <c r="N1061" i="1" s="1"/>
  <c r="O1061" i="1" s="1"/>
  <c r="M1062" i="1"/>
  <c r="N1062" i="1" s="1"/>
  <c r="O1062" i="1" s="1"/>
  <c r="M1063" i="1"/>
  <c r="N1063" i="1" s="1"/>
  <c r="O1063" i="1" s="1"/>
  <c r="M1064" i="1"/>
  <c r="N1064" i="1" s="1"/>
  <c r="O1064" i="1" s="1"/>
  <c r="M1065" i="1"/>
  <c r="N1065" i="1" s="1"/>
  <c r="O1065" i="1" s="1"/>
  <c r="M1066" i="1"/>
  <c r="N1066" i="1" s="1"/>
  <c r="O1066" i="1" s="1"/>
  <c r="M1067" i="1"/>
  <c r="N1067" i="1" s="1"/>
  <c r="O1067" i="1" s="1"/>
  <c r="M1068" i="1"/>
  <c r="N1068" i="1" s="1"/>
  <c r="O1068" i="1" s="1"/>
  <c r="M1069" i="1"/>
  <c r="N1069" i="1" s="1"/>
  <c r="O1069" i="1" s="1"/>
  <c r="M1070" i="1"/>
  <c r="N1070" i="1" s="1"/>
  <c r="O1070" i="1" s="1"/>
  <c r="M1071" i="1"/>
  <c r="N1071" i="1" s="1"/>
  <c r="O1071" i="1" s="1"/>
  <c r="M1072" i="1"/>
  <c r="N1072" i="1" s="1"/>
  <c r="O1072" i="1" s="1"/>
  <c r="M1081" i="1"/>
  <c r="N1081" i="1" s="1"/>
  <c r="O1081" i="1" s="1"/>
  <c r="M1082" i="1"/>
  <c r="N1082" i="1" s="1"/>
  <c r="O1082" i="1" s="1"/>
  <c r="M1083" i="1"/>
  <c r="N1083" i="1" s="1"/>
  <c r="O1083" i="1" s="1"/>
  <c r="M1084" i="1"/>
  <c r="N1084" i="1" s="1"/>
  <c r="O1084" i="1" s="1"/>
  <c r="M1085" i="1"/>
  <c r="N1085" i="1" s="1"/>
  <c r="O1085" i="1" s="1"/>
  <c r="M1086" i="1"/>
  <c r="N1086" i="1" s="1"/>
  <c r="O1086" i="1" s="1"/>
  <c r="M1087" i="1"/>
  <c r="N1087" i="1" s="1"/>
  <c r="O1087" i="1" s="1"/>
  <c r="M1088" i="1"/>
  <c r="N1088" i="1" s="1"/>
  <c r="O1088" i="1" s="1"/>
  <c r="M1089" i="1"/>
  <c r="N1089" i="1" s="1"/>
  <c r="O1089" i="1" s="1"/>
  <c r="M1090" i="1"/>
  <c r="N1090" i="1" s="1"/>
  <c r="O1090" i="1" s="1"/>
  <c r="M1091" i="1"/>
  <c r="N1091" i="1" s="1"/>
  <c r="O1091" i="1" s="1"/>
  <c r="M1092" i="1"/>
  <c r="N1092" i="1" s="1"/>
  <c r="O1092" i="1" s="1"/>
  <c r="M1093" i="1"/>
  <c r="N1093" i="1" s="1"/>
  <c r="O1093" i="1" s="1"/>
  <c r="M8" i="1"/>
  <c r="N8" i="1" s="1"/>
  <c r="O8" i="1" s="1"/>
</calcChain>
</file>

<file path=xl/sharedStrings.xml><?xml version="1.0" encoding="utf-8"?>
<sst xmlns="http://schemas.openxmlformats.org/spreadsheetml/2006/main" count="9925" uniqueCount="73">
  <si>
    <t>Row</t>
  </si>
  <si>
    <t>Date</t>
  </si>
  <si>
    <t>Month</t>
  </si>
  <si>
    <t>Day</t>
  </si>
  <si>
    <t>Quarter</t>
  </si>
  <si>
    <t>Holiday</t>
  </si>
  <si>
    <t>Promotion</t>
  </si>
  <si>
    <t>Revenue</t>
  </si>
  <si>
    <t>January</t>
  </si>
  <si>
    <t>Q1</t>
  </si>
  <si>
    <t>Yes</t>
  </si>
  <si>
    <t>No</t>
  </si>
  <si>
    <t>New Year's Day</t>
  </si>
  <si>
    <t>Morning</t>
  </si>
  <si>
    <t>None</t>
  </si>
  <si>
    <t>Noon</t>
  </si>
  <si>
    <t>Afternoon</t>
  </si>
  <si>
    <t>Evening</t>
  </si>
  <si>
    <t>New Year Promotion</t>
  </si>
  <si>
    <t>MLK Day Promotion</t>
  </si>
  <si>
    <t>February</t>
  </si>
  <si>
    <t>Groundhog Day Promotion</t>
  </si>
  <si>
    <t>Presidents' Day</t>
  </si>
  <si>
    <t>March</t>
  </si>
  <si>
    <t>First Day of Spring Promotion</t>
  </si>
  <si>
    <t>Spring Promotion</t>
  </si>
  <si>
    <t>April</t>
  </si>
  <si>
    <t>Q2</t>
  </si>
  <si>
    <t>May</t>
  </si>
  <si>
    <t>Memorial Day</t>
  </si>
  <si>
    <t>June</t>
  </si>
  <si>
    <t>First Day of Summer Promotion</t>
  </si>
  <si>
    <t>July</t>
  </si>
  <si>
    <t>Q3</t>
  </si>
  <si>
    <t>Independence Day</t>
  </si>
  <si>
    <t>August</t>
  </si>
  <si>
    <t>September</t>
  </si>
  <si>
    <t>Labor Day</t>
  </si>
  <si>
    <t>First Day of Fall Promotion</t>
  </si>
  <si>
    <t>October</t>
  </si>
  <si>
    <t>Q4</t>
  </si>
  <si>
    <t>Columbus Day</t>
  </si>
  <si>
    <t>November</t>
  </si>
  <si>
    <t>Veterans Day Observed</t>
  </si>
  <si>
    <t>Thanksgiving</t>
  </si>
  <si>
    <t>Black Friday Promotion</t>
  </si>
  <si>
    <t>December</t>
  </si>
  <si>
    <t>First Day of Winter Promotion</t>
  </si>
  <si>
    <t>Christmas Eve</t>
  </si>
  <si>
    <t>Christmas Day</t>
  </si>
  <si>
    <t>New Years Eve</t>
  </si>
  <si>
    <t>Grand Total</t>
  </si>
  <si>
    <t>Jane</t>
  </si>
  <si>
    <t>Molly</t>
  </si>
  <si>
    <t>Mark</t>
  </si>
  <si>
    <t>Peper</t>
  </si>
  <si>
    <t>Mauk</t>
  </si>
  <si>
    <t>Shift</t>
  </si>
  <si>
    <t>Employee</t>
  </si>
  <si>
    <t>Customer</t>
  </si>
  <si>
    <t>Cost</t>
  </si>
  <si>
    <t>Event Type</t>
  </si>
  <si>
    <t>Profit</t>
  </si>
  <si>
    <t>Profit Margin</t>
  </si>
  <si>
    <t>Revenue per Customer</t>
  </si>
  <si>
    <t>Sum of Customer</t>
  </si>
  <si>
    <t>Sum of Revenue</t>
  </si>
  <si>
    <t>Sum of Profit</t>
  </si>
  <si>
    <t>Sum of Revenue per Customer</t>
  </si>
  <si>
    <t>Average of Profit Margin</t>
  </si>
  <si>
    <t>Rolling Average</t>
  </si>
  <si>
    <t>Pi</t>
  </si>
  <si>
    <t>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</si>
</sst>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-&quot;mm&quot;-&quot;dd"/>
    <numFmt numFmtId="165" formatCode="mmmm"/>
    <numFmt numFmtId="166" formatCode="dddd"/>
    <numFmt numFmtId="167" formatCode="0.000"/>
  </numFmts>
  <fonts count="10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/>
    <xf numFmtId="0" fontId="7" fillId="0" borderId="0" xfId="0" applyFont="1"/>
    <xf numFmtId="167" fontId="7" fillId="0" borderId="0" xfId="0" applyNumberFormat="1" applyFont="1"/>
    <xf numFmtId="167" fontId="0" fillId="0" borderId="0" xfId="0" applyNumberFormat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3" fillId="0" borderId="0" xfId="0" applyNumberFormat="1" applyFont="1"/>
    <xf numFmtId="0" fontId="3" fillId="0" borderId="0" xfId="0" applyFont="1"/>
    <xf numFmtId="164" fontId="8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8" fillId="0" borderId="0" xfId="0" applyNumberFormat="1" applyFont="1"/>
    <xf numFmtId="2" fontId="4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Daily Revenue vs. Weekly</a:t>
            </a:r>
            <a:r>
              <a:rPr lang="en-GB" baseline="0"/>
              <a:t> Rolling Average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Average'!$Q$1</c:f>
              <c:strCache>
                <c:ptCount val="1"/>
                <c:pt idx="0">
                  <c:v>Daily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Average'!$B$2:$B$1000</c:f>
              <c:numCache>
                <c:formatCode>m/d/yyyy</c:formatCode>
                <c:ptCount val="99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44941</c:v>
                </c:pt>
                <c:pt idx="13">
                  <c:v>44942</c:v>
                </c:pt>
                <c:pt idx="14">
                  <c:v>44943</c:v>
                </c:pt>
                <c:pt idx="15">
                  <c:v>44944</c:v>
                </c:pt>
                <c:pt idx="16">
                  <c:v>44945</c:v>
                </c:pt>
                <c:pt idx="17">
                  <c:v>44946</c:v>
                </c:pt>
                <c:pt idx="18">
                  <c:v>44948</c:v>
                </c:pt>
                <c:pt idx="19">
                  <c:v>44949</c:v>
                </c:pt>
                <c:pt idx="20">
                  <c:v>44950</c:v>
                </c:pt>
                <c:pt idx="21">
                  <c:v>44951</c:v>
                </c:pt>
                <c:pt idx="22">
                  <c:v>44952</c:v>
                </c:pt>
                <c:pt idx="23">
                  <c:v>44953</c:v>
                </c:pt>
                <c:pt idx="24">
                  <c:v>44955</c:v>
                </c:pt>
                <c:pt idx="25">
                  <c:v>44956</c:v>
                </c:pt>
                <c:pt idx="26">
                  <c:v>44957</c:v>
                </c:pt>
                <c:pt idx="27">
                  <c:v>44958</c:v>
                </c:pt>
                <c:pt idx="28">
                  <c:v>44959</c:v>
                </c:pt>
                <c:pt idx="29">
                  <c:v>44960</c:v>
                </c:pt>
                <c:pt idx="30">
                  <c:v>44962</c:v>
                </c:pt>
                <c:pt idx="31">
                  <c:v>44963</c:v>
                </c:pt>
                <c:pt idx="32">
                  <c:v>44964</c:v>
                </c:pt>
                <c:pt idx="33">
                  <c:v>44965</c:v>
                </c:pt>
                <c:pt idx="34">
                  <c:v>44966</c:v>
                </c:pt>
                <c:pt idx="35">
                  <c:v>44967</c:v>
                </c:pt>
                <c:pt idx="36">
                  <c:v>44969</c:v>
                </c:pt>
                <c:pt idx="37">
                  <c:v>44970</c:v>
                </c:pt>
                <c:pt idx="38">
                  <c:v>44971</c:v>
                </c:pt>
                <c:pt idx="39">
                  <c:v>44972</c:v>
                </c:pt>
                <c:pt idx="40">
                  <c:v>44973</c:v>
                </c:pt>
                <c:pt idx="41">
                  <c:v>44974</c:v>
                </c:pt>
                <c:pt idx="42">
                  <c:v>44976</c:v>
                </c:pt>
                <c:pt idx="43">
                  <c:v>44977</c:v>
                </c:pt>
                <c:pt idx="44">
                  <c:v>44978</c:v>
                </c:pt>
                <c:pt idx="45">
                  <c:v>44979</c:v>
                </c:pt>
                <c:pt idx="46">
                  <c:v>44980</c:v>
                </c:pt>
                <c:pt idx="47">
                  <c:v>44981</c:v>
                </c:pt>
                <c:pt idx="48">
                  <c:v>44983</c:v>
                </c:pt>
                <c:pt idx="49">
                  <c:v>44984</c:v>
                </c:pt>
                <c:pt idx="50">
                  <c:v>44985</c:v>
                </c:pt>
                <c:pt idx="51">
                  <c:v>44986</c:v>
                </c:pt>
                <c:pt idx="52">
                  <c:v>44987</c:v>
                </c:pt>
                <c:pt idx="53">
                  <c:v>44988</c:v>
                </c:pt>
                <c:pt idx="54">
                  <c:v>44990</c:v>
                </c:pt>
                <c:pt idx="55">
                  <c:v>44991</c:v>
                </c:pt>
                <c:pt idx="56">
                  <c:v>44992</c:v>
                </c:pt>
                <c:pt idx="57">
                  <c:v>44993</c:v>
                </c:pt>
                <c:pt idx="58">
                  <c:v>44994</c:v>
                </c:pt>
                <c:pt idx="59">
                  <c:v>44995</c:v>
                </c:pt>
                <c:pt idx="60">
                  <c:v>44997</c:v>
                </c:pt>
                <c:pt idx="61">
                  <c:v>44998</c:v>
                </c:pt>
                <c:pt idx="62">
                  <c:v>44999</c:v>
                </c:pt>
                <c:pt idx="63">
                  <c:v>45000</c:v>
                </c:pt>
                <c:pt idx="64">
                  <c:v>45001</c:v>
                </c:pt>
                <c:pt idx="65">
                  <c:v>45002</c:v>
                </c:pt>
                <c:pt idx="66">
                  <c:v>45004</c:v>
                </c:pt>
                <c:pt idx="67">
                  <c:v>45005</c:v>
                </c:pt>
                <c:pt idx="68">
                  <c:v>45006</c:v>
                </c:pt>
                <c:pt idx="69">
                  <c:v>45007</c:v>
                </c:pt>
                <c:pt idx="70">
                  <c:v>45008</c:v>
                </c:pt>
                <c:pt idx="71">
                  <c:v>45009</c:v>
                </c:pt>
                <c:pt idx="72">
                  <c:v>45011</c:v>
                </c:pt>
                <c:pt idx="73">
                  <c:v>45012</c:v>
                </c:pt>
                <c:pt idx="74">
                  <c:v>45013</c:v>
                </c:pt>
                <c:pt idx="75">
                  <c:v>45014</c:v>
                </c:pt>
                <c:pt idx="76">
                  <c:v>45015</c:v>
                </c:pt>
                <c:pt idx="77">
                  <c:v>45016</c:v>
                </c:pt>
                <c:pt idx="78">
                  <c:v>45018</c:v>
                </c:pt>
                <c:pt idx="79">
                  <c:v>45019</c:v>
                </c:pt>
                <c:pt idx="80">
                  <c:v>45020</c:v>
                </c:pt>
                <c:pt idx="81">
                  <c:v>45021</c:v>
                </c:pt>
                <c:pt idx="82">
                  <c:v>45022</c:v>
                </c:pt>
                <c:pt idx="83">
                  <c:v>45023</c:v>
                </c:pt>
                <c:pt idx="84">
                  <c:v>45025</c:v>
                </c:pt>
                <c:pt idx="85">
                  <c:v>45026</c:v>
                </c:pt>
                <c:pt idx="86">
                  <c:v>45027</c:v>
                </c:pt>
                <c:pt idx="87">
                  <c:v>45028</c:v>
                </c:pt>
                <c:pt idx="88">
                  <c:v>45029</c:v>
                </c:pt>
                <c:pt idx="89">
                  <c:v>45030</c:v>
                </c:pt>
                <c:pt idx="90">
                  <c:v>45032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45039</c:v>
                </c:pt>
                <c:pt idx="97">
                  <c:v>45040</c:v>
                </c:pt>
                <c:pt idx="98">
                  <c:v>45041</c:v>
                </c:pt>
                <c:pt idx="99">
                  <c:v>45042</c:v>
                </c:pt>
                <c:pt idx="100">
                  <c:v>45043</c:v>
                </c:pt>
                <c:pt idx="101">
                  <c:v>45044</c:v>
                </c:pt>
                <c:pt idx="102">
                  <c:v>45046</c:v>
                </c:pt>
                <c:pt idx="103">
                  <c:v>45047</c:v>
                </c:pt>
                <c:pt idx="104">
                  <c:v>45048</c:v>
                </c:pt>
                <c:pt idx="105">
                  <c:v>45049</c:v>
                </c:pt>
                <c:pt idx="106">
                  <c:v>45050</c:v>
                </c:pt>
                <c:pt idx="107">
                  <c:v>45051</c:v>
                </c:pt>
                <c:pt idx="108">
                  <c:v>45053</c:v>
                </c:pt>
                <c:pt idx="109">
                  <c:v>45054</c:v>
                </c:pt>
                <c:pt idx="110">
                  <c:v>45055</c:v>
                </c:pt>
                <c:pt idx="111">
                  <c:v>45056</c:v>
                </c:pt>
                <c:pt idx="112">
                  <c:v>45057</c:v>
                </c:pt>
                <c:pt idx="113">
                  <c:v>45058</c:v>
                </c:pt>
                <c:pt idx="114">
                  <c:v>45060</c:v>
                </c:pt>
                <c:pt idx="115">
                  <c:v>45061</c:v>
                </c:pt>
                <c:pt idx="116">
                  <c:v>45062</c:v>
                </c:pt>
                <c:pt idx="117">
                  <c:v>45063</c:v>
                </c:pt>
                <c:pt idx="118">
                  <c:v>45064</c:v>
                </c:pt>
                <c:pt idx="119">
                  <c:v>45065</c:v>
                </c:pt>
                <c:pt idx="120">
                  <c:v>45067</c:v>
                </c:pt>
                <c:pt idx="121">
                  <c:v>45068</c:v>
                </c:pt>
                <c:pt idx="122">
                  <c:v>45069</c:v>
                </c:pt>
                <c:pt idx="123">
                  <c:v>45070</c:v>
                </c:pt>
                <c:pt idx="124">
                  <c:v>45071</c:v>
                </c:pt>
                <c:pt idx="125">
                  <c:v>45072</c:v>
                </c:pt>
                <c:pt idx="126">
                  <c:v>45074</c:v>
                </c:pt>
                <c:pt idx="127">
                  <c:v>45075</c:v>
                </c:pt>
                <c:pt idx="128">
                  <c:v>45076</c:v>
                </c:pt>
                <c:pt idx="129">
                  <c:v>45077</c:v>
                </c:pt>
                <c:pt idx="130">
                  <c:v>45078</c:v>
                </c:pt>
                <c:pt idx="131">
                  <c:v>45079</c:v>
                </c:pt>
                <c:pt idx="132">
                  <c:v>45081</c:v>
                </c:pt>
                <c:pt idx="133">
                  <c:v>45082</c:v>
                </c:pt>
                <c:pt idx="134">
                  <c:v>45083</c:v>
                </c:pt>
                <c:pt idx="135">
                  <c:v>45084</c:v>
                </c:pt>
                <c:pt idx="136">
                  <c:v>45085</c:v>
                </c:pt>
                <c:pt idx="137">
                  <c:v>45086</c:v>
                </c:pt>
                <c:pt idx="138">
                  <c:v>45088</c:v>
                </c:pt>
                <c:pt idx="139">
                  <c:v>45089</c:v>
                </c:pt>
                <c:pt idx="140">
                  <c:v>45090</c:v>
                </c:pt>
                <c:pt idx="141">
                  <c:v>45091</c:v>
                </c:pt>
                <c:pt idx="142">
                  <c:v>45092</c:v>
                </c:pt>
                <c:pt idx="143">
                  <c:v>45093</c:v>
                </c:pt>
                <c:pt idx="144">
                  <c:v>45095</c:v>
                </c:pt>
                <c:pt idx="145">
                  <c:v>45096</c:v>
                </c:pt>
                <c:pt idx="146">
                  <c:v>45097</c:v>
                </c:pt>
                <c:pt idx="147">
                  <c:v>45098</c:v>
                </c:pt>
                <c:pt idx="148">
                  <c:v>45099</c:v>
                </c:pt>
                <c:pt idx="149">
                  <c:v>45100</c:v>
                </c:pt>
                <c:pt idx="150">
                  <c:v>45102</c:v>
                </c:pt>
                <c:pt idx="151">
                  <c:v>45103</c:v>
                </c:pt>
                <c:pt idx="152">
                  <c:v>45104</c:v>
                </c:pt>
                <c:pt idx="153">
                  <c:v>45105</c:v>
                </c:pt>
                <c:pt idx="154">
                  <c:v>45106</c:v>
                </c:pt>
                <c:pt idx="155">
                  <c:v>45107</c:v>
                </c:pt>
                <c:pt idx="156">
                  <c:v>45109</c:v>
                </c:pt>
                <c:pt idx="157">
                  <c:v>45110</c:v>
                </c:pt>
                <c:pt idx="158">
                  <c:v>45111</c:v>
                </c:pt>
                <c:pt idx="159">
                  <c:v>45112</c:v>
                </c:pt>
                <c:pt idx="160">
                  <c:v>45113</c:v>
                </c:pt>
                <c:pt idx="161">
                  <c:v>45114</c:v>
                </c:pt>
                <c:pt idx="162">
                  <c:v>45116</c:v>
                </c:pt>
                <c:pt idx="163">
                  <c:v>45117</c:v>
                </c:pt>
                <c:pt idx="164">
                  <c:v>45118</c:v>
                </c:pt>
                <c:pt idx="165">
                  <c:v>45119</c:v>
                </c:pt>
                <c:pt idx="166">
                  <c:v>45120</c:v>
                </c:pt>
                <c:pt idx="167">
                  <c:v>45121</c:v>
                </c:pt>
                <c:pt idx="168">
                  <c:v>45123</c:v>
                </c:pt>
                <c:pt idx="169">
                  <c:v>45124</c:v>
                </c:pt>
                <c:pt idx="170">
                  <c:v>45125</c:v>
                </c:pt>
                <c:pt idx="171">
                  <c:v>45126</c:v>
                </c:pt>
                <c:pt idx="172">
                  <c:v>45127</c:v>
                </c:pt>
                <c:pt idx="173">
                  <c:v>45128</c:v>
                </c:pt>
                <c:pt idx="174">
                  <c:v>45130</c:v>
                </c:pt>
                <c:pt idx="175">
                  <c:v>45131</c:v>
                </c:pt>
                <c:pt idx="176">
                  <c:v>45132</c:v>
                </c:pt>
                <c:pt idx="177">
                  <c:v>45133</c:v>
                </c:pt>
                <c:pt idx="178">
                  <c:v>45134</c:v>
                </c:pt>
                <c:pt idx="179">
                  <c:v>45135</c:v>
                </c:pt>
                <c:pt idx="180">
                  <c:v>45137</c:v>
                </c:pt>
                <c:pt idx="181">
                  <c:v>45138</c:v>
                </c:pt>
                <c:pt idx="182">
                  <c:v>45139</c:v>
                </c:pt>
                <c:pt idx="183">
                  <c:v>45140</c:v>
                </c:pt>
                <c:pt idx="184">
                  <c:v>45141</c:v>
                </c:pt>
                <c:pt idx="185">
                  <c:v>45142</c:v>
                </c:pt>
                <c:pt idx="186">
                  <c:v>45144</c:v>
                </c:pt>
                <c:pt idx="187">
                  <c:v>45145</c:v>
                </c:pt>
                <c:pt idx="188">
                  <c:v>45146</c:v>
                </c:pt>
                <c:pt idx="189">
                  <c:v>45147</c:v>
                </c:pt>
                <c:pt idx="190">
                  <c:v>45148</c:v>
                </c:pt>
                <c:pt idx="191">
                  <c:v>45149</c:v>
                </c:pt>
                <c:pt idx="192">
                  <c:v>45151</c:v>
                </c:pt>
                <c:pt idx="193">
                  <c:v>45152</c:v>
                </c:pt>
                <c:pt idx="194">
                  <c:v>45153</c:v>
                </c:pt>
                <c:pt idx="195">
                  <c:v>45154</c:v>
                </c:pt>
                <c:pt idx="196">
                  <c:v>45155</c:v>
                </c:pt>
                <c:pt idx="197">
                  <c:v>45156</c:v>
                </c:pt>
                <c:pt idx="198">
                  <c:v>45158</c:v>
                </c:pt>
                <c:pt idx="199">
                  <c:v>45159</c:v>
                </c:pt>
                <c:pt idx="200">
                  <c:v>45160</c:v>
                </c:pt>
                <c:pt idx="201">
                  <c:v>45161</c:v>
                </c:pt>
                <c:pt idx="202">
                  <c:v>45162</c:v>
                </c:pt>
                <c:pt idx="203">
                  <c:v>45163</c:v>
                </c:pt>
                <c:pt idx="204">
                  <c:v>45165</c:v>
                </c:pt>
                <c:pt idx="205">
                  <c:v>45166</c:v>
                </c:pt>
                <c:pt idx="206">
                  <c:v>45167</c:v>
                </c:pt>
                <c:pt idx="207">
                  <c:v>45168</c:v>
                </c:pt>
                <c:pt idx="208">
                  <c:v>45169</c:v>
                </c:pt>
                <c:pt idx="209">
                  <c:v>45170</c:v>
                </c:pt>
                <c:pt idx="210">
                  <c:v>45172</c:v>
                </c:pt>
                <c:pt idx="211">
                  <c:v>45173</c:v>
                </c:pt>
                <c:pt idx="212">
                  <c:v>45174</c:v>
                </c:pt>
                <c:pt idx="213">
                  <c:v>45175</c:v>
                </c:pt>
                <c:pt idx="214">
                  <c:v>45176</c:v>
                </c:pt>
                <c:pt idx="215">
                  <c:v>45177</c:v>
                </c:pt>
                <c:pt idx="216">
                  <c:v>45179</c:v>
                </c:pt>
                <c:pt idx="217">
                  <c:v>45180</c:v>
                </c:pt>
                <c:pt idx="218">
                  <c:v>45181</c:v>
                </c:pt>
                <c:pt idx="219">
                  <c:v>45182</c:v>
                </c:pt>
                <c:pt idx="220">
                  <c:v>45183</c:v>
                </c:pt>
                <c:pt idx="221">
                  <c:v>45184</c:v>
                </c:pt>
                <c:pt idx="222">
                  <c:v>45186</c:v>
                </c:pt>
                <c:pt idx="223">
                  <c:v>45187</c:v>
                </c:pt>
                <c:pt idx="224">
                  <c:v>45188</c:v>
                </c:pt>
                <c:pt idx="225">
                  <c:v>45189</c:v>
                </c:pt>
                <c:pt idx="226">
                  <c:v>45190</c:v>
                </c:pt>
                <c:pt idx="227">
                  <c:v>45191</c:v>
                </c:pt>
                <c:pt idx="228">
                  <c:v>45193</c:v>
                </c:pt>
                <c:pt idx="229">
                  <c:v>45194</c:v>
                </c:pt>
                <c:pt idx="230">
                  <c:v>45195</c:v>
                </c:pt>
                <c:pt idx="231">
                  <c:v>45196</c:v>
                </c:pt>
                <c:pt idx="232">
                  <c:v>45197</c:v>
                </c:pt>
                <c:pt idx="233">
                  <c:v>45198</c:v>
                </c:pt>
                <c:pt idx="234">
                  <c:v>45200</c:v>
                </c:pt>
                <c:pt idx="235">
                  <c:v>45201</c:v>
                </c:pt>
                <c:pt idx="236">
                  <c:v>45202</c:v>
                </c:pt>
                <c:pt idx="237">
                  <c:v>45203</c:v>
                </c:pt>
                <c:pt idx="238">
                  <c:v>45204</c:v>
                </c:pt>
                <c:pt idx="239">
                  <c:v>45205</c:v>
                </c:pt>
                <c:pt idx="240">
                  <c:v>45207</c:v>
                </c:pt>
                <c:pt idx="241">
                  <c:v>45208</c:v>
                </c:pt>
                <c:pt idx="242">
                  <c:v>45209</c:v>
                </c:pt>
                <c:pt idx="243">
                  <c:v>45210</c:v>
                </c:pt>
                <c:pt idx="244">
                  <c:v>45211</c:v>
                </c:pt>
                <c:pt idx="245">
                  <c:v>45212</c:v>
                </c:pt>
                <c:pt idx="246">
                  <c:v>45214</c:v>
                </c:pt>
                <c:pt idx="247">
                  <c:v>45215</c:v>
                </c:pt>
                <c:pt idx="248">
                  <c:v>45216</c:v>
                </c:pt>
                <c:pt idx="249">
                  <c:v>45217</c:v>
                </c:pt>
                <c:pt idx="250">
                  <c:v>45218</c:v>
                </c:pt>
                <c:pt idx="251">
                  <c:v>45219</c:v>
                </c:pt>
                <c:pt idx="252">
                  <c:v>45221</c:v>
                </c:pt>
                <c:pt idx="253">
                  <c:v>45222</c:v>
                </c:pt>
                <c:pt idx="254">
                  <c:v>45223</c:v>
                </c:pt>
                <c:pt idx="255">
                  <c:v>45224</c:v>
                </c:pt>
                <c:pt idx="256">
                  <c:v>45225</c:v>
                </c:pt>
                <c:pt idx="257">
                  <c:v>45226</c:v>
                </c:pt>
                <c:pt idx="258">
                  <c:v>45228</c:v>
                </c:pt>
                <c:pt idx="259">
                  <c:v>45229</c:v>
                </c:pt>
                <c:pt idx="260">
                  <c:v>45230</c:v>
                </c:pt>
                <c:pt idx="261">
                  <c:v>45231</c:v>
                </c:pt>
                <c:pt idx="262">
                  <c:v>45232</c:v>
                </c:pt>
                <c:pt idx="263">
                  <c:v>45233</c:v>
                </c:pt>
                <c:pt idx="264">
                  <c:v>45235</c:v>
                </c:pt>
                <c:pt idx="265">
                  <c:v>45236</c:v>
                </c:pt>
                <c:pt idx="266">
                  <c:v>45237</c:v>
                </c:pt>
                <c:pt idx="267">
                  <c:v>45238</c:v>
                </c:pt>
                <c:pt idx="268">
                  <c:v>45239</c:v>
                </c:pt>
                <c:pt idx="269">
                  <c:v>45240</c:v>
                </c:pt>
                <c:pt idx="270">
                  <c:v>45242</c:v>
                </c:pt>
                <c:pt idx="271">
                  <c:v>45243</c:v>
                </c:pt>
                <c:pt idx="272">
                  <c:v>45244</c:v>
                </c:pt>
                <c:pt idx="273">
                  <c:v>45245</c:v>
                </c:pt>
                <c:pt idx="274">
                  <c:v>45246</c:v>
                </c:pt>
                <c:pt idx="275">
                  <c:v>45247</c:v>
                </c:pt>
                <c:pt idx="276">
                  <c:v>45249</c:v>
                </c:pt>
                <c:pt idx="277">
                  <c:v>45250</c:v>
                </c:pt>
                <c:pt idx="278">
                  <c:v>45251</c:v>
                </c:pt>
                <c:pt idx="279">
                  <c:v>45252</c:v>
                </c:pt>
                <c:pt idx="280">
                  <c:v>45253</c:v>
                </c:pt>
                <c:pt idx="281">
                  <c:v>45254</c:v>
                </c:pt>
                <c:pt idx="282">
                  <c:v>45256</c:v>
                </c:pt>
                <c:pt idx="283">
                  <c:v>45257</c:v>
                </c:pt>
                <c:pt idx="284">
                  <c:v>45258</c:v>
                </c:pt>
                <c:pt idx="285">
                  <c:v>45259</c:v>
                </c:pt>
                <c:pt idx="286">
                  <c:v>45260</c:v>
                </c:pt>
                <c:pt idx="287">
                  <c:v>45261</c:v>
                </c:pt>
                <c:pt idx="288">
                  <c:v>45263</c:v>
                </c:pt>
                <c:pt idx="289">
                  <c:v>45264</c:v>
                </c:pt>
                <c:pt idx="290">
                  <c:v>45265</c:v>
                </c:pt>
                <c:pt idx="291">
                  <c:v>45266</c:v>
                </c:pt>
                <c:pt idx="292">
                  <c:v>45267</c:v>
                </c:pt>
                <c:pt idx="293">
                  <c:v>45268</c:v>
                </c:pt>
                <c:pt idx="294">
                  <c:v>45270</c:v>
                </c:pt>
                <c:pt idx="295">
                  <c:v>45271</c:v>
                </c:pt>
                <c:pt idx="296">
                  <c:v>45272</c:v>
                </c:pt>
                <c:pt idx="297">
                  <c:v>45273</c:v>
                </c:pt>
                <c:pt idx="298">
                  <c:v>45274</c:v>
                </c:pt>
                <c:pt idx="299">
                  <c:v>45275</c:v>
                </c:pt>
                <c:pt idx="300">
                  <c:v>45277</c:v>
                </c:pt>
                <c:pt idx="301">
                  <c:v>45278</c:v>
                </c:pt>
                <c:pt idx="302">
                  <c:v>45279</c:v>
                </c:pt>
                <c:pt idx="303">
                  <c:v>45280</c:v>
                </c:pt>
                <c:pt idx="304">
                  <c:v>45281</c:v>
                </c:pt>
                <c:pt idx="305">
                  <c:v>45282</c:v>
                </c:pt>
                <c:pt idx="306">
                  <c:v>45284</c:v>
                </c:pt>
                <c:pt idx="307">
                  <c:v>45285</c:v>
                </c:pt>
                <c:pt idx="308">
                  <c:v>45286</c:v>
                </c:pt>
                <c:pt idx="309">
                  <c:v>45287</c:v>
                </c:pt>
                <c:pt idx="310">
                  <c:v>45288</c:v>
                </c:pt>
                <c:pt idx="311">
                  <c:v>45289</c:v>
                </c:pt>
                <c:pt idx="312">
                  <c:v>45291</c:v>
                </c:pt>
              </c:numCache>
            </c:numRef>
          </c:cat>
          <c:val>
            <c:numRef>
              <c:f>'Rolling Average'!$Q$2:$Q$1000</c:f>
              <c:numCache>
                <c:formatCode>0.00</c:formatCode>
                <c:ptCount val="999"/>
                <c:pt idx="0">
                  <c:v>0</c:v>
                </c:pt>
                <c:pt idx="1">
                  <c:v>882</c:v>
                </c:pt>
                <c:pt idx="2">
                  <c:v>778</c:v>
                </c:pt>
                <c:pt idx="3">
                  <c:v>819</c:v>
                </c:pt>
                <c:pt idx="4">
                  <c:v>1039</c:v>
                </c:pt>
                <c:pt idx="5">
                  <c:v>375</c:v>
                </c:pt>
                <c:pt idx="6">
                  <c:v>968</c:v>
                </c:pt>
                <c:pt idx="7">
                  <c:v>825</c:v>
                </c:pt>
                <c:pt idx="8">
                  <c:v>726</c:v>
                </c:pt>
                <c:pt idx="9">
                  <c:v>902</c:v>
                </c:pt>
                <c:pt idx="10">
                  <c:v>946</c:v>
                </c:pt>
                <c:pt idx="11">
                  <c:v>330</c:v>
                </c:pt>
                <c:pt idx="12">
                  <c:v>959</c:v>
                </c:pt>
                <c:pt idx="13">
                  <c:v>803</c:v>
                </c:pt>
                <c:pt idx="14">
                  <c:v>671</c:v>
                </c:pt>
                <c:pt idx="15">
                  <c:v>759</c:v>
                </c:pt>
                <c:pt idx="16">
                  <c:v>968</c:v>
                </c:pt>
                <c:pt idx="17">
                  <c:v>319</c:v>
                </c:pt>
                <c:pt idx="18">
                  <c:v>814</c:v>
                </c:pt>
                <c:pt idx="19">
                  <c:v>649</c:v>
                </c:pt>
                <c:pt idx="20">
                  <c:v>605</c:v>
                </c:pt>
                <c:pt idx="21">
                  <c:v>737</c:v>
                </c:pt>
                <c:pt idx="22">
                  <c:v>836</c:v>
                </c:pt>
                <c:pt idx="23">
                  <c:v>319</c:v>
                </c:pt>
                <c:pt idx="24">
                  <c:v>814</c:v>
                </c:pt>
                <c:pt idx="25">
                  <c:v>704</c:v>
                </c:pt>
                <c:pt idx="26">
                  <c:v>616</c:v>
                </c:pt>
                <c:pt idx="27">
                  <c:v>484</c:v>
                </c:pt>
                <c:pt idx="28">
                  <c:v>696</c:v>
                </c:pt>
                <c:pt idx="29">
                  <c:v>209</c:v>
                </c:pt>
                <c:pt idx="30">
                  <c:v>616</c:v>
                </c:pt>
                <c:pt idx="31">
                  <c:v>539</c:v>
                </c:pt>
                <c:pt idx="32">
                  <c:v>407</c:v>
                </c:pt>
                <c:pt idx="33">
                  <c:v>495</c:v>
                </c:pt>
                <c:pt idx="34">
                  <c:v>605</c:v>
                </c:pt>
                <c:pt idx="35">
                  <c:v>253</c:v>
                </c:pt>
                <c:pt idx="36">
                  <c:v>594</c:v>
                </c:pt>
                <c:pt idx="37">
                  <c:v>495</c:v>
                </c:pt>
                <c:pt idx="38">
                  <c:v>440</c:v>
                </c:pt>
                <c:pt idx="39">
                  <c:v>451</c:v>
                </c:pt>
                <c:pt idx="40">
                  <c:v>638</c:v>
                </c:pt>
                <c:pt idx="41">
                  <c:v>231</c:v>
                </c:pt>
                <c:pt idx="42">
                  <c:v>605</c:v>
                </c:pt>
                <c:pt idx="43">
                  <c:v>495</c:v>
                </c:pt>
                <c:pt idx="44">
                  <c:v>429</c:v>
                </c:pt>
                <c:pt idx="45">
                  <c:v>495</c:v>
                </c:pt>
                <c:pt idx="46">
                  <c:v>649</c:v>
                </c:pt>
                <c:pt idx="47">
                  <c:v>198</c:v>
                </c:pt>
                <c:pt idx="48">
                  <c:v>594</c:v>
                </c:pt>
                <c:pt idx="49">
                  <c:v>484</c:v>
                </c:pt>
                <c:pt idx="50">
                  <c:v>429</c:v>
                </c:pt>
                <c:pt idx="51">
                  <c:v>462</c:v>
                </c:pt>
                <c:pt idx="52">
                  <c:v>682</c:v>
                </c:pt>
                <c:pt idx="53">
                  <c:v>198</c:v>
                </c:pt>
                <c:pt idx="54">
                  <c:v>649</c:v>
                </c:pt>
                <c:pt idx="55">
                  <c:v>506</c:v>
                </c:pt>
                <c:pt idx="56">
                  <c:v>407</c:v>
                </c:pt>
                <c:pt idx="57">
                  <c:v>473</c:v>
                </c:pt>
                <c:pt idx="58">
                  <c:v>627</c:v>
                </c:pt>
                <c:pt idx="59">
                  <c:v>264</c:v>
                </c:pt>
                <c:pt idx="60">
                  <c:v>616</c:v>
                </c:pt>
                <c:pt idx="61">
                  <c:v>484</c:v>
                </c:pt>
                <c:pt idx="62">
                  <c:v>374</c:v>
                </c:pt>
                <c:pt idx="63">
                  <c:v>440</c:v>
                </c:pt>
                <c:pt idx="64">
                  <c:v>627</c:v>
                </c:pt>
                <c:pt idx="65">
                  <c:v>231</c:v>
                </c:pt>
                <c:pt idx="66">
                  <c:v>572</c:v>
                </c:pt>
                <c:pt idx="67">
                  <c:v>592</c:v>
                </c:pt>
                <c:pt idx="68">
                  <c:v>776</c:v>
                </c:pt>
                <c:pt idx="69">
                  <c:v>789</c:v>
                </c:pt>
                <c:pt idx="70">
                  <c:v>1007</c:v>
                </c:pt>
                <c:pt idx="71">
                  <c:v>274</c:v>
                </c:pt>
                <c:pt idx="72">
                  <c:v>616</c:v>
                </c:pt>
                <c:pt idx="73">
                  <c:v>517</c:v>
                </c:pt>
                <c:pt idx="74">
                  <c:v>396</c:v>
                </c:pt>
                <c:pt idx="75">
                  <c:v>473</c:v>
                </c:pt>
                <c:pt idx="76">
                  <c:v>638</c:v>
                </c:pt>
                <c:pt idx="77">
                  <c:v>264</c:v>
                </c:pt>
                <c:pt idx="78">
                  <c:v>594</c:v>
                </c:pt>
                <c:pt idx="79">
                  <c:v>517</c:v>
                </c:pt>
                <c:pt idx="80">
                  <c:v>385</c:v>
                </c:pt>
                <c:pt idx="81">
                  <c:v>484</c:v>
                </c:pt>
                <c:pt idx="82">
                  <c:v>605</c:v>
                </c:pt>
                <c:pt idx="83">
                  <c:v>231</c:v>
                </c:pt>
                <c:pt idx="84">
                  <c:v>616</c:v>
                </c:pt>
                <c:pt idx="85">
                  <c:v>506</c:v>
                </c:pt>
                <c:pt idx="86">
                  <c:v>429</c:v>
                </c:pt>
                <c:pt idx="87">
                  <c:v>484</c:v>
                </c:pt>
                <c:pt idx="88">
                  <c:v>594</c:v>
                </c:pt>
                <c:pt idx="89">
                  <c:v>253</c:v>
                </c:pt>
                <c:pt idx="90">
                  <c:v>550</c:v>
                </c:pt>
                <c:pt idx="91">
                  <c:v>484</c:v>
                </c:pt>
                <c:pt idx="92">
                  <c:v>396</c:v>
                </c:pt>
                <c:pt idx="93">
                  <c:v>473</c:v>
                </c:pt>
                <c:pt idx="94">
                  <c:v>605</c:v>
                </c:pt>
                <c:pt idx="95">
                  <c:v>231</c:v>
                </c:pt>
                <c:pt idx="96">
                  <c:v>638</c:v>
                </c:pt>
                <c:pt idx="97">
                  <c:v>539</c:v>
                </c:pt>
                <c:pt idx="98">
                  <c:v>418</c:v>
                </c:pt>
                <c:pt idx="99">
                  <c:v>506</c:v>
                </c:pt>
                <c:pt idx="100">
                  <c:v>627</c:v>
                </c:pt>
                <c:pt idx="101">
                  <c:v>242</c:v>
                </c:pt>
                <c:pt idx="102">
                  <c:v>583</c:v>
                </c:pt>
                <c:pt idx="103">
                  <c:v>506</c:v>
                </c:pt>
                <c:pt idx="104">
                  <c:v>473</c:v>
                </c:pt>
                <c:pt idx="105">
                  <c:v>462</c:v>
                </c:pt>
                <c:pt idx="106">
                  <c:v>605</c:v>
                </c:pt>
                <c:pt idx="107">
                  <c:v>242</c:v>
                </c:pt>
                <c:pt idx="108">
                  <c:v>550</c:v>
                </c:pt>
                <c:pt idx="109">
                  <c:v>462</c:v>
                </c:pt>
                <c:pt idx="110">
                  <c:v>396</c:v>
                </c:pt>
                <c:pt idx="111">
                  <c:v>495</c:v>
                </c:pt>
                <c:pt idx="112">
                  <c:v>627</c:v>
                </c:pt>
                <c:pt idx="113">
                  <c:v>253</c:v>
                </c:pt>
                <c:pt idx="114">
                  <c:v>561</c:v>
                </c:pt>
                <c:pt idx="115">
                  <c:v>495</c:v>
                </c:pt>
                <c:pt idx="116">
                  <c:v>407</c:v>
                </c:pt>
                <c:pt idx="117">
                  <c:v>495</c:v>
                </c:pt>
                <c:pt idx="118">
                  <c:v>649</c:v>
                </c:pt>
                <c:pt idx="119">
                  <c:v>209</c:v>
                </c:pt>
                <c:pt idx="120">
                  <c:v>572</c:v>
                </c:pt>
                <c:pt idx="121">
                  <c:v>528</c:v>
                </c:pt>
                <c:pt idx="122">
                  <c:v>440</c:v>
                </c:pt>
                <c:pt idx="123">
                  <c:v>451</c:v>
                </c:pt>
                <c:pt idx="124">
                  <c:v>605</c:v>
                </c:pt>
                <c:pt idx="125">
                  <c:v>253</c:v>
                </c:pt>
                <c:pt idx="126">
                  <c:v>605</c:v>
                </c:pt>
                <c:pt idx="127">
                  <c:v>528</c:v>
                </c:pt>
                <c:pt idx="128">
                  <c:v>385</c:v>
                </c:pt>
                <c:pt idx="129">
                  <c:v>473</c:v>
                </c:pt>
                <c:pt idx="130">
                  <c:v>627</c:v>
                </c:pt>
                <c:pt idx="131">
                  <c:v>187</c:v>
                </c:pt>
                <c:pt idx="132">
                  <c:v>561</c:v>
                </c:pt>
                <c:pt idx="133">
                  <c:v>495</c:v>
                </c:pt>
                <c:pt idx="134">
                  <c:v>396</c:v>
                </c:pt>
                <c:pt idx="135">
                  <c:v>506</c:v>
                </c:pt>
                <c:pt idx="136">
                  <c:v>616</c:v>
                </c:pt>
                <c:pt idx="137">
                  <c:v>242</c:v>
                </c:pt>
                <c:pt idx="138">
                  <c:v>627</c:v>
                </c:pt>
                <c:pt idx="139">
                  <c:v>462</c:v>
                </c:pt>
                <c:pt idx="140">
                  <c:v>429</c:v>
                </c:pt>
                <c:pt idx="141">
                  <c:v>473</c:v>
                </c:pt>
                <c:pt idx="142">
                  <c:v>605</c:v>
                </c:pt>
                <c:pt idx="143">
                  <c:v>209</c:v>
                </c:pt>
                <c:pt idx="144">
                  <c:v>605</c:v>
                </c:pt>
                <c:pt idx="145">
                  <c:v>451</c:v>
                </c:pt>
                <c:pt idx="146">
                  <c:v>429</c:v>
                </c:pt>
                <c:pt idx="147">
                  <c:v>536</c:v>
                </c:pt>
                <c:pt idx="148">
                  <c:v>870</c:v>
                </c:pt>
                <c:pt idx="149">
                  <c:v>237</c:v>
                </c:pt>
                <c:pt idx="150">
                  <c:v>605</c:v>
                </c:pt>
                <c:pt idx="151">
                  <c:v>462</c:v>
                </c:pt>
                <c:pt idx="152">
                  <c:v>440</c:v>
                </c:pt>
                <c:pt idx="153">
                  <c:v>506</c:v>
                </c:pt>
                <c:pt idx="154">
                  <c:v>583</c:v>
                </c:pt>
                <c:pt idx="155">
                  <c:v>231</c:v>
                </c:pt>
                <c:pt idx="156">
                  <c:v>583</c:v>
                </c:pt>
                <c:pt idx="157">
                  <c:v>473</c:v>
                </c:pt>
                <c:pt idx="158">
                  <c:v>0</c:v>
                </c:pt>
                <c:pt idx="159">
                  <c:v>495</c:v>
                </c:pt>
                <c:pt idx="160">
                  <c:v>605</c:v>
                </c:pt>
                <c:pt idx="161">
                  <c:v>253</c:v>
                </c:pt>
                <c:pt idx="162">
                  <c:v>627</c:v>
                </c:pt>
                <c:pt idx="163">
                  <c:v>462</c:v>
                </c:pt>
                <c:pt idx="164">
                  <c:v>396</c:v>
                </c:pt>
                <c:pt idx="165">
                  <c:v>506</c:v>
                </c:pt>
                <c:pt idx="166">
                  <c:v>594</c:v>
                </c:pt>
                <c:pt idx="167">
                  <c:v>231</c:v>
                </c:pt>
                <c:pt idx="168">
                  <c:v>572</c:v>
                </c:pt>
                <c:pt idx="169">
                  <c:v>495</c:v>
                </c:pt>
                <c:pt idx="170">
                  <c:v>418</c:v>
                </c:pt>
                <c:pt idx="171">
                  <c:v>495</c:v>
                </c:pt>
                <c:pt idx="172">
                  <c:v>693</c:v>
                </c:pt>
                <c:pt idx="173">
                  <c:v>242</c:v>
                </c:pt>
                <c:pt idx="174">
                  <c:v>638</c:v>
                </c:pt>
                <c:pt idx="175">
                  <c:v>440</c:v>
                </c:pt>
                <c:pt idx="176">
                  <c:v>440</c:v>
                </c:pt>
                <c:pt idx="177">
                  <c:v>495</c:v>
                </c:pt>
                <c:pt idx="178">
                  <c:v>627</c:v>
                </c:pt>
                <c:pt idx="179">
                  <c:v>253</c:v>
                </c:pt>
                <c:pt idx="180">
                  <c:v>539</c:v>
                </c:pt>
                <c:pt idx="181">
                  <c:v>517</c:v>
                </c:pt>
                <c:pt idx="182">
                  <c:v>396</c:v>
                </c:pt>
                <c:pt idx="183">
                  <c:v>451</c:v>
                </c:pt>
                <c:pt idx="184">
                  <c:v>627</c:v>
                </c:pt>
                <c:pt idx="185">
                  <c:v>231</c:v>
                </c:pt>
                <c:pt idx="186">
                  <c:v>583</c:v>
                </c:pt>
                <c:pt idx="187">
                  <c:v>528</c:v>
                </c:pt>
                <c:pt idx="188">
                  <c:v>418</c:v>
                </c:pt>
                <c:pt idx="189">
                  <c:v>484</c:v>
                </c:pt>
                <c:pt idx="190">
                  <c:v>605</c:v>
                </c:pt>
                <c:pt idx="191">
                  <c:v>198</c:v>
                </c:pt>
                <c:pt idx="192">
                  <c:v>572</c:v>
                </c:pt>
                <c:pt idx="193">
                  <c:v>539</c:v>
                </c:pt>
                <c:pt idx="194">
                  <c:v>440</c:v>
                </c:pt>
                <c:pt idx="195">
                  <c:v>451</c:v>
                </c:pt>
                <c:pt idx="196">
                  <c:v>583</c:v>
                </c:pt>
                <c:pt idx="197">
                  <c:v>220</c:v>
                </c:pt>
                <c:pt idx="198">
                  <c:v>627</c:v>
                </c:pt>
                <c:pt idx="199">
                  <c:v>495</c:v>
                </c:pt>
                <c:pt idx="200">
                  <c:v>418</c:v>
                </c:pt>
                <c:pt idx="201">
                  <c:v>484</c:v>
                </c:pt>
                <c:pt idx="202">
                  <c:v>605</c:v>
                </c:pt>
                <c:pt idx="203">
                  <c:v>264</c:v>
                </c:pt>
                <c:pt idx="204">
                  <c:v>594</c:v>
                </c:pt>
                <c:pt idx="205">
                  <c:v>506</c:v>
                </c:pt>
                <c:pt idx="206">
                  <c:v>385</c:v>
                </c:pt>
                <c:pt idx="207">
                  <c:v>517</c:v>
                </c:pt>
                <c:pt idx="208">
                  <c:v>605</c:v>
                </c:pt>
                <c:pt idx="209">
                  <c:v>264</c:v>
                </c:pt>
                <c:pt idx="210">
                  <c:v>583</c:v>
                </c:pt>
                <c:pt idx="211">
                  <c:v>495</c:v>
                </c:pt>
                <c:pt idx="212">
                  <c:v>440</c:v>
                </c:pt>
                <c:pt idx="213">
                  <c:v>484</c:v>
                </c:pt>
                <c:pt idx="214">
                  <c:v>638</c:v>
                </c:pt>
                <c:pt idx="215">
                  <c:v>209</c:v>
                </c:pt>
                <c:pt idx="216">
                  <c:v>649</c:v>
                </c:pt>
                <c:pt idx="217">
                  <c:v>517</c:v>
                </c:pt>
                <c:pt idx="218">
                  <c:v>418</c:v>
                </c:pt>
                <c:pt idx="219">
                  <c:v>473</c:v>
                </c:pt>
                <c:pt idx="220">
                  <c:v>572</c:v>
                </c:pt>
                <c:pt idx="221">
                  <c:v>253</c:v>
                </c:pt>
                <c:pt idx="222">
                  <c:v>583</c:v>
                </c:pt>
                <c:pt idx="223">
                  <c:v>495</c:v>
                </c:pt>
                <c:pt idx="224">
                  <c:v>440</c:v>
                </c:pt>
                <c:pt idx="225">
                  <c:v>539</c:v>
                </c:pt>
                <c:pt idx="226">
                  <c:v>627</c:v>
                </c:pt>
                <c:pt idx="227">
                  <c:v>209</c:v>
                </c:pt>
                <c:pt idx="228">
                  <c:v>955</c:v>
                </c:pt>
                <c:pt idx="229">
                  <c:v>806</c:v>
                </c:pt>
                <c:pt idx="230">
                  <c:v>781</c:v>
                </c:pt>
                <c:pt idx="231">
                  <c:v>757</c:v>
                </c:pt>
                <c:pt idx="232">
                  <c:v>936</c:v>
                </c:pt>
                <c:pt idx="233">
                  <c:v>213</c:v>
                </c:pt>
                <c:pt idx="234">
                  <c:v>616</c:v>
                </c:pt>
                <c:pt idx="235">
                  <c:v>484</c:v>
                </c:pt>
                <c:pt idx="236">
                  <c:v>374</c:v>
                </c:pt>
                <c:pt idx="237">
                  <c:v>495</c:v>
                </c:pt>
                <c:pt idx="238">
                  <c:v>616</c:v>
                </c:pt>
                <c:pt idx="239">
                  <c:v>242</c:v>
                </c:pt>
                <c:pt idx="240">
                  <c:v>539</c:v>
                </c:pt>
                <c:pt idx="241">
                  <c:v>484</c:v>
                </c:pt>
                <c:pt idx="242">
                  <c:v>374</c:v>
                </c:pt>
                <c:pt idx="243">
                  <c:v>473</c:v>
                </c:pt>
                <c:pt idx="244">
                  <c:v>693</c:v>
                </c:pt>
                <c:pt idx="245">
                  <c:v>220</c:v>
                </c:pt>
                <c:pt idx="246">
                  <c:v>594</c:v>
                </c:pt>
                <c:pt idx="247">
                  <c:v>473</c:v>
                </c:pt>
                <c:pt idx="248">
                  <c:v>418</c:v>
                </c:pt>
                <c:pt idx="249">
                  <c:v>495</c:v>
                </c:pt>
                <c:pt idx="250">
                  <c:v>638</c:v>
                </c:pt>
                <c:pt idx="251">
                  <c:v>231</c:v>
                </c:pt>
                <c:pt idx="252">
                  <c:v>583</c:v>
                </c:pt>
                <c:pt idx="253">
                  <c:v>495</c:v>
                </c:pt>
                <c:pt idx="254">
                  <c:v>374</c:v>
                </c:pt>
                <c:pt idx="255">
                  <c:v>495</c:v>
                </c:pt>
                <c:pt idx="256">
                  <c:v>594</c:v>
                </c:pt>
                <c:pt idx="257">
                  <c:v>209</c:v>
                </c:pt>
                <c:pt idx="258">
                  <c:v>550</c:v>
                </c:pt>
                <c:pt idx="259">
                  <c:v>539</c:v>
                </c:pt>
                <c:pt idx="260">
                  <c:v>440</c:v>
                </c:pt>
                <c:pt idx="261">
                  <c:v>451</c:v>
                </c:pt>
                <c:pt idx="262">
                  <c:v>638</c:v>
                </c:pt>
                <c:pt idx="263">
                  <c:v>242</c:v>
                </c:pt>
                <c:pt idx="264">
                  <c:v>638</c:v>
                </c:pt>
                <c:pt idx="265">
                  <c:v>495</c:v>
                </c:pt>
                <c:pt idx="266">
                  <c:v>451</c:v>
                </c:pt>
                <c:pt idx="267">
                  <c:v>451</c:v>
                </c:pt>
                <c:pt idx="268">
                  <c:v>638</c:v>
                </c:pt>
                <c:pt idx="269">
                  <c:v>231</c:v>
                </c:pt>
                <c:pt idx="270">
                  <c:v>0</c:v>
                </c:pt>
                <c:pt idx="271">
                  <c:v>451</c:v>
                </c:pt>
                <c:pt idx="272">
                  <c:v>440</c:v>
                </c:pt>
                <c:pt idx="273">
                  <c:v>462</c:v>
                </c:pt>
                <c:pt idx="274">
                  <c:v>638</c:v>
                </c:pt>
                <c:pt idx="275">
                  <c:v>220</c:v>
                </c:pt>
                <c:pt idx="276">
                  <c:v>561</c:v>
                </c:pt>
                <c:pt idx="277">
                  <c:v>473</c:v>
                </c:pt>
                <c:pt idx="278">
                  <c:v>407</c:v>
                </c:pt>
                <c:pt idx="279">
                  <c:v>0</c:v>
                </c:pt>
                <c:pt idx="280">
                  <c:v>947</c:v>
                </c:pt>
                <c:pt idx="281">
                  <c:v>244</c:v>
                </c:pt>
                <c:pt idx="282">
                  <c:v>917</c:v>
                </c:pt>
                <c:pt idx="283">
                  <c:v>778</c:v>
                </c:pt>
                <c:pt idx="284">
                  <c:v>747</c:v>
                </c:pt>
                <c:pt idx="285">
                  <c:v>783</c:v>
                </c:pt>
                <c:pt idx="286">
                  <c:v>937</c:v>
                </c:pt>
                <c:pt idx="287">
                  <c:v>243</c:v>
                </c:pt>
                <c:pt idx="288">
                  <c:v>594</c:v>
                </c:pt>
                <c:pt idx="289">
                  <c:v>506</c:v>
                </c:pt>
                <c:pt idx="290">
                  <c:v>418</c:v>
                </c:pt>
                <c:pt idx="291">
                  <c:v>528</c:v>
                </c:pt>
                <c:pt idx="292">
                  <c:v>594</c:v>
                </c:pt>
                <c:pt idx="293">
                  <c:v>231</c:v>
                </c:pt>
                <c:pt idx="294">
                  <c:v>572</c:v>
                </c:pt>
                <c:pt idx="295">
                  <c:v>473</c:v>
                </c:pt>
                <c:pt idx="296">
                  <c:v>429</c:v>
                </c:pt>
                <c:pt idx="297">
                  <c:v>495</c:v>
                </c:pt>
                <c:pt idx="298">
                  <c:v>616</c:v>
                </c:pt>
                <c:pt idx="299">
                  <c:v>209</c:v>
                </c:pt>
                <c:pt idx="300">
                  <c:v>616</c:v>
                </c:pt>
                <c:pt idx="301">
                  <c:v>451</c:v>
                </c:pt>
                <c:pt idx="302">
                  <c:v>785</c:v>
                </c:pt>
                <c:pt idx="303">
                  <c:v>790</c:v>
                </c:pt>
                <c:pt idx="304">
                  <c:v>988</c:v>
                </c:pt>
                <c:pt idx="305">
                  <c:v>218</c:v>
                </c:pt>
                <c:pt idx="306">
                  <c:v>0</c:v>
                </c:pt>
                <c:pt idx="307">
                  <c:v>0</c:v>
                </c:pt>
                <c:pt idx="308">
                  <c:v>429</c:v>
                </c:pt>
                <c:pt idx="309">
                  <c:v>517</c:v>
                </c:pt>
                <c:pt idx="310">
                  <c:v>594</c:v>
                </c:pt>
                <c:pt idx="311">
                  <c:v>242</c:v>
                </c:pt>
                <c:pt idx="3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6-4C51-ACD1-A0599B421664}"/>
            </c:ext>
          </c:extLst>
        </c:ser>
        <c:ser>
          <c:idx val="1"/>
          <c:order val="1"/>
          <c:tx>
            <c:strRef>
              <c:f>'Rolling Average'!$R$1</c:f>
              <c:strCache>
                <c:ptCount val="1"/>
                <c:pt idx="0">
                  <c:v>Rolling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Average'!$B$2:$B$1000</c:f>
              <c:numCache>
                <c:formatCode>m/d/yyyy</c:formatCode>
                <c:ptCount val="99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44941</c:v>
                </c:pt>
                <c:pt idx="13">
                  <c:v>44942</c:v>
                </c:pt>
                <c:pt idx="14">
                  <c:v>44943</c:v>
                </c:pt>
                <c:pt idx="15">
                  <c:v>44944</c:v>
                </c:pt>
                <c:pt idx="16">
                  <c:v>44945</c:v>
                </c:pt>
                <c:pt idx="17">
                  <c:v>44946</c:v>
                </c:pt>
                <c:pt idx="18">
                  <c:v>44948</c:v>
                </c:pt>
                <c:pt idx="19">
                  <c:v>44949</c:v>
                </c:pt>
                <c:pt idx="20">
                  <c:v>44950</c:v>
                </c:pt>
                <c:pt idx="21">
                  <c:v>44951</c:v>
                </c:pt>
                <c:pt idx="22">
                  <c:v>44952</c:v>
                </c:pt>
                <c:pt idx="23">
                  <c:v>44953</c:v>
                </c:pt>
                <c:pt idx="24">
                  <c:v>44955</c:v>
                </c:pt>
                <c:pt idx="25">
                  <c:v>44956</c:v>
                </c:pt>
                <c:pt idx="26">
                  <c:v>44957</c:v>
                </c:pt>
                <c:pt idx="27">
                  <c:v>44958</c:v>
                </c:pt>
                <c:pt idx="28">
                  <c:v>44959</c:v>
                </c:pt>
                <c:pt idx="29">
                  <c:v>44960</c:v>
                </c:pt>
                <c:pt idx="30">
                  <c:v>44962</c:v>
                </c:pt>
                <c:pt idx="31">
                  <c:v>44963</c:v>
                </c:pt>
                <c:pt idx="32">
                  <c:v>44964</c:v>
                </c:pt>
                <c:pt idx="33">
                  <c:v>44965</c:v>
                </c:pt>
                <c:pt idx="34">
                  <c:v>44966</c:v>
                </c:pt>
                <c:pt idx="35">
                  <c:v>44967</c:v>
                </c:pt>
                <c:pt idx="36">
                  <c:v>44969</c:v>
                </c:pt>
                <c:pt idx="37">
                  <c:v>44970</c:v>
                </c:pt>
                <c:pt idx="38">
                  <c:v>44971</c:v>
                </c:pt>
                <c:pt idx="39">
                  <c:v>44972</c:v>
                </c:pt>
                <c:pt idx="40">
                  <c:v>44973</c:v>
                </c:pt>
                <c:pt idx="41">
                  <c:v>44974</c:v>
                </c:pt>
                <c:pt idx="42">
                  <c:v>44976</c:v>
                </c:pt>
                <c:pt idx="43">
                  <c:v>44977</c:v>
                </c:pt>
                <c:pt idx="44">
                  <c:v>44978</c:v>
                </c:pt>
                <c:pt idx="45">
                  <c:v>44979</c:v>
                </c:pt>
                <c:pt idx="46">
                  <c:v>44980</c:v>
                </c:pt>
                <c:pt idx="47">
                  <c:v>44981</c:v>
                </c:pt>
                <c:pt idx="48">
                  <c:v>44983</c:v>
                </c:pt>
                <c:pt idx="49">
                  <c:v>44984</c:v>
                </c:pt>
                <c:pt idx="50">
                  <c:v>44985</c:v>
                </c:pt>
                <c:pt idx="51">
                  <c:v>44986</c:v>
                </c:pt>
                <c:pt idx="52">
                  <c:v>44987</c:v>
                </c:pt>
                <c:pt idx="53">
                  <c:v>44988</c:v>
                </c:pt>
                <c:pt idx="54">
                  <c:v>44990</c:v>
                </c:pt>
                <c:pt idx="55">
                  <c:v>44991</c:v>
                </c:pt>
                <c:pt idx="56">
                  <c:v>44992</c:v>
                </c:pt>
                <c:pt idx="57">
                  <c:v>44993</c:v>
                </c:pt>
                <c:pt idx="58">
                  <c:v>44994</c:v>
                </c:pt>
                <c:pt idx="59">
                  <c:v>44995</c:v>
                </c:pt>
                <c:pt idx="60">
                  <c:v>44997</c:v>
                </c:pt>
                <c:pt idx="61">
                  <c:v>44998</c:v>
                </c:pt>
                <c:pt idx="62">
                  <c:v>44999</c:v>
                </c:pt>
                <c:pt idx="63">
                  <c:v>45000</c:v>
                </c:pt>
                <c:pt idx="64">
                  <c:v>45001</c:v>
                </c:pt>
                <c:pt idx="65">
                  <c:v>45002</c:v>
                </c:pt>
                <c:pt idx="66">
                  <c:v>45004</c:v>
                </c:pt>
                <c:pt idx="67">
                  <c:v>45005</c:v>
                </c:pt>
                <c:pt idx="68">
                  <c:v>45006</c:v>
                </c:pt>
                <c:pt idx="69">
                  <c:v>45007</c:v>
                </c:pt>
                <c:pt idx="70">
                  <c:v>45008</c:v>
                </c:pt>
                <c:pt idx="71">
                  <c:v>45009</c:v>
                </c:pt>
                <c:pt idx="72">
                  <c:v>45011</c:v>
                </c:pt>
                <c:pt idx="73">
                  <c:v>45012</c:v>
                </c:pt>
                <c:pt idx="74">
                  <c:v>45013</c:v>
                </c:pt>
                <c:pt idx="75">
                  <c:v>45014</c:v>
                </c:pt>
                <c:pt idx="76">
                  <c:v>45015</c:v>
                </c:pt>
                <c:pt idx="77">
                  <c:v>45016</c:v>
                </c:pt>
                <c:pt idx="78">
                  <c:v>45018</c:v>
                </c:pt>
                <c:pt idx="79">
                  <c:v>45019</c:v>
                </c:pt>
                <c:pt idx="80">
                  <c:v>45020</c:v>
                </c:pt>
                <c:pt idx="81">
                  <c:v>45021</c:v>
                </c:pt>
                <c:pt idx="82">
                  <c:v>45022</c:v>
                </c:pt>
                <c:pt idx="83">
                  <c:v>45023</c:v>
                </c:pt>
                <c:pt idx="84">
                  <c:v>45025</c:v>
                </c:pt>
                <c:pt idx="85">
                  <c:v>45026</c:v>
                </c:pt>
                <c:pt idx="86">
                  <c:v>45027</c:v>
                </c:pt>
                <c:pt idx="87">
                  <c:v>45028</c:v>
                </c:pt>
                <c:pt idx="88">
                  <c:v>45029</c:v>
                </c:pt>
                <c:pt idx="89">
                  <c:v>45030</c:v>
                </c:pt>
                <c:pt idx="90">
                  <c:v>45032</c:v>
                </c:pt>
                <c:pt idx="91">
                  <c:v>45033</c:v>
                </c:pt>
                <c:pt idx="92">
                  <c:v>45034</c:v>
                </c:pt>
                <c:pt idx="93">
                  <c:v>45035</c:v>
                </c:pt>
                <c:pt idx="94">
                  <c:v>45036</c:v>
                </c:pt>
                <c:pt idx="95">
                  <c:v>45037</c:v>
                </c:pt>
                <c:pt idx="96">
                  <c:v>45039</c:v>
                </c:pt>
                <c:pt idx="97">
                  <c:v>45040</c:v>
                </c:pt>
                <c:pt idx="98">
                  <c:v>45041</c:v>
                </c:pt>
                <c:pt idx="99">
                  <c:v>45042</c:v>
                </c:pt>
                <c:pt idx="100">
                  <c:v>45043</c:v>
                </c:pt>
                <c:pt idx="101">
                  <c:v>45044</c:v>
                </c:pt>
                <c:pt idx="102">
                  <c:v>45046</c:v>
                </c:pt>
                <c:pt idx="103">
                  <c:v>45047</c:v>
                </c:pt>
                <c:pt idx="104">
                  <c:v>45048</c:v>
                </c:pt>
                <c:pt idx="105">
                  <c:v>45049</c:v>
                </c:pt>
                <c:pt idx="106">
                  <c:v>45050</c:v>
                </c:pt>
                <c:pt idx="107">
                  <c:v>45051</c:v>
                </c:pt>
                <c:pt idx="108">
                  <c:v>45053</c:v>
                </c:pt>
                <c:pt idx="109">
                  <c:v>45054</c:v>
                </c:pt>
                <c:pt idx="110">
                  <c:v>45055</c:v>
                </c:pt>
                <c:pt idx="111">
                  <c:v>45056</c:v>
                </c:pt>
                <c:pt idx="112">
                  <c:v>45057</c:v>
                </c:pt>
                <c:pt idx="113">
                  <c:v>45058</c:v>
                </c:pt>
                <c:pt idx="114">
                  <c:v>45060</c:v>
                </c:pt>
                <c:pt idx="115">
                  <c:v>45061</c:v>
                </c:pt>
                <c:pt idx="116">
                  <c:v>45062</c:v>
                </c:pt>
                <c:pt idx="117">
                  <c:v>45063</c:v>
                </c:pt>
                <c:pt idx="118">
                  <c:v>45064</c:v>
                </c:pt>
                <c:pt idx="119">
                  <c:v>45065</c:v>
                </c:pt>
                <c:pt idx="120">
                  <c:v>45067</c:v>
                </c:pt>
                <c:pt idx="121">
                  <c:v>45068</c:v>
                </c:pt>
                <c:pt idx="122">
                  <c:v>45069</c:v>
                </c:pt>
                <c:pt idx="123">
                  <c:v>45070</c:v>
                </c:pt>
                <c:pt idx="124">
                  <c:v>45071</c:v>
                </c:pt>
                <c:pt idx="125">
                  <c:v>45072</c:v>
                </c:pt>
                <c:pt idx="126">
                  <c:v>45074</c:v>
                </c:pt>
                <c:pt idx="127">
                  <c:v>45075</c:v>
                </c:pt>
                <c:pt idx="128">
                  <c:v>45076</c:v>
                </c:pt>
                <c:pt idx="129">
                  <c:v>45077</c:v>
                </c:pt>
                <c:pt idx="130">
                  <c:v>45078</c:v>
                </c:pt>
                <c:pt idx="131">
                  <c:v>45079</c:v>
                </c:pt>
                <c:pt idx="132">
                  <c:v>45081</c:v>
                </c:pt>
                <c:pt idx="133">
                  <c:v>45082</c:v>
                </c:pt>
                <c:pt idx="134">
                  <c:v>45083</c:v>
                </c:pt>
                <c:pt idx="135">
                  <c:v>45084</c:v>
                </c:pt>
                <c:pt idx="136">
                  <c:v>45085</c:v>
                </c:pt>
                <c:pt idx="137">
                  <c:v>45086</c:v>
                </c:pt>
                <c:pt idx="138">
                  <c:v>45088</c:v>
                </c:pt>
                <c:pt idx="139">
                  <c:v>45089</c:v>
                </c:pt>
                <c:pt idx="140">
                  <c:v>45090</c:v>
                </c:pt>
                <c:pt idx="141">
                  <c:v>45091</c:v>
                </c:pt>
                <c:pt idx="142">
                  <c:v>45092</c:v>
                </c:pt>
                <c:pt idx="143">
                  <c:v>45093</c:v>
                </c:pt>
                <c:pt idx="144">
                  <c:v>45095</c:v>
                </c:pt>
                <c:pt idx="145">
                  <c:v>45096</c:v>
                </c:pt>
                <c:pt idx="146">
                  <c:v>45097</c:v>
                </c:pt>
                <c:pt idx="147">
                  <c:v>45098</c:v>
                </c:pt>
                <c:pt idx="148">
                  <c:v>45099</c:v>
                </c:pt>
                <c:pt idx="149">
                  <c:v>45100</c:v>
                </c:pt>
                <c:pt idx="150">
                  <c:v>45102</c:v>
                </c:pt>
                <c:pt idx="151">
                  <c:v>45103</c:v>
                </c:pt>
                <c:pt idx="152">
                  <c:v>45104</c:v>
                </c:pt>
                <c:pt idx="153">
                  <c:v>45105</c:v>
                </c:pt>
                <c:pt idx="154">
                  <c:v>45106</c:v>
                </c:pt>
                <c:pt idx="155">
                  <c:v>45107</c:v>
                </c:pt>
                <c:pt idx="156">
                  <c:v>45109</c:v>
                </c:pt>
                <c:pt idx="157">
                  <c:v>45110</c:v>
                </c:pt>
                <c:pt idx="158">
                  <c:v>45111</c:v>
                </c:pt>
                <c:pt idx="159">
                  <c:v>45112</c:v>
                </c:pt>
                <c:pt idx="160">
                  <c:v>45113</c:v>
                </c:pt>
                <c:pt idx="161">
                  <c:v>45114</c:v>
                </c:pt>
                <c:pt idx="162">
                  <c:v>45116</c:v>
                </c:pt>
                <c:pt idx="163">
                  <c:v>45117</c:v>
                </c:pt>
                <c:pt idx="164">
                  <c:v>45118</c:v>
                </c:pt>
                <c:pt idx="165">
                  <c:v>45119</c:v>
                </c:pt>
                <c:pt idx="166">
                  <c:v>45120</c:v>
                </c:pt>
                <c:pt idx="167">
                  <c:v>45121</c:v>
                </c:pt>
                <c:pt idx="168">
                  <c:v>45123</c:v>
                </c:pt>
                <c:pt idx="169">
                  <c:v>45124</c:v>
                </c:pt>
                <c:pt idx="170">
                  <c:v>45125</c:v>
                </c:pt>
                <c:pt idx="171">
                  <c:v>45126</c:v>
                </c:pt>
                <c:pt idx="172">
                  <c:v>45127</c:v>
                </c:pt>
                <c:pt idx="173">
                  <c:v>45128</c:v>
                </c:pt>
                <c:pt idx="174">
                  <c:v>45130</c:v>
                </c:pt>
                <c:pt idx="175">
                  <c:v>45131</c:v>
                </c:pt>
                <c:pt idx="176">
                  <c:v>45132</c:v>
                </c:pt>
                <c:pt idx="177">
                  <c:v>45133</c:v>
                </c:pt>
                <c:pt idx="178">
                  <c:v>45134</c:v>
                </c:pt>
                <c:pt idx="179">
                  <c:v>45135</c:v>
                </c:pt>
                <c:pt idx="180">
                  <c:v>45137</c:v>
                </c:pt>
                <c:pt idx="181">
                  <c:v>45138</c:v>
                </c:pt>
                <c:pt idx="182">
                  <c:v>45139</c:v>
                </c:pt>
                <c:pt idx="183">
                  <c:v>45140</c:v>
                </c:pt>
                <c:pt idx="184">
                  <c:v>45141</c:v>
                </c:pt>
                <c:pt idx="185">
                  <c:v>45142</c:v>
                </c:pt>
                <c:pt idx="186">
                  <c:v>45144</c:v>
                </c:pt>
                <c:pt idx="187">
                  <c:v>45145</c:v>
                </c:pt>
                <c:pt idx="188">
                  <c:v>45146</c:v>
                </c:pt>
                <c:pt idx="189">
                  <c:v>45147</c:v>
                </c:pt>
                <c:pt idx="190">
                  <c:v>45148</c:v>
                </c:pt>
                <c:pt idx="191">
                  <c:v>45149</c:v>
                </c:pt>
                <c:pt idx="192">
                  <c:v>45151</c:v>
                </c:pt>
                <c:pt idx="193">
                  <c:v>45152</c:v>
                </c:pt>
                <c:pt idx="194">
                  <c:v>45153</c:v>
                </c:pt>
                <c:pt idx="195">
                  <c:v>45154</c:v>
                </c:pt>
                <c:pt idx="196">
                  <c:v>45155</c:v>
                </c:pt>
                <c:pt idx="197">
                  <c:v>45156</c:v>
                </c:pt>
                <c:pt idx="198">
                  <c:v>45158</c:v>
                </c:pt>
                <c:pt idx="199">
                  <c:v>45159</c:v>
                </c:pt>
                <c:pt idx="200">
                  <c:v>45160</c:v>
                </c:pt>
                <c:pt idx="201">
                  <c:v>45161</c:v>
                </c:pt>
                <c:pt idx="202">
                  <c:v>45162</c:v>
                </c:pt>
                <c:pt idx="203">
                  <c:v>45163</c:v>
                </c:pt>
                <c:pt idx="204">
                  <c:v>45165</c:v>
                </c:pt>
                <c:pt idx="205">
                  <c:v>45166</c:v>
                </c:pt>
                <c:pt idx="206">
                  <c:v>45167</c:v>
                </c:pt>
                <c:pt idx="207">
                  <c:v>45168</c:v>
                </c:pt>
                <c:pt idx="208">
                  <c:v>45169</c:v>
                </c:pt>
                <c:pt idx="209">
                  <c:v>45170</c:v>
                </c:pt>
                <c:pt idx="210">
                  <c:v>45172</c:v>
                </c:pt>
                <c:pt idx="211">
                  <c:v>45173</c:v>
                </c:pt>
                <c:pt idx="212">
                  <c:v>45174</c:v>
                </c:pt>
                <c:pt idx="213">
                  <c:v>45175</c:v>
                </c:pt>
                <c:pt idx="214">
                  <c:v>45176</c:v>
                </c:pt>
                <c:pt idx="215">
                  <c:v>45177</c:v>
                </c:pt>
                <c:pt idx="216">
                  <c:v>45179</c:v>
                </c:pt>
                <c:pt idx="217">
                  <c:v>45180</c:v>
                </c:pt>
                <c:pt idx="218">
                  <c:v>45181</c:v>
                </c:pt>
                <c:pt idx="219">
                  <c:v>45182</c:v>
                </c:pt>
                <c:pt idx="220">
                  <c:v>45183</c:v>
                </c:pt>
                <c:pt idx="221">
                  <c:v>45184</c:v>
                </c:pt>
                <c:pt idx="222">
                  <c:v>45186</c:v>
                </c:pt>
                <c:pt idx="223">
                  <c:v>45187</c:v>
                </c:pt>
                <c:pt idx="224">
                  <c:v>45188</c:v>
                </c:pt>
                <c:pt idx="225">
                  <c:v>45189</c:v>
                </c:pt>
                <c:pt idx="226">
                  <c:v>45190</c:v>
                </c:pt>
                <c:pt idx="227">
                  <c:v>45191</c:v>
                </c:pt>
                <c:pt idx="228">
                  <c:v>45193</c:v>
                </c:pt>
                <c:pt idx="229">
                  <c:v>45194</c:v>
                </c:pt>
                <c:pt idx="230">
                  <c:v>45195</c:v>
                </c:pt>
                <c:pt idx="231">
                  <c:v>45196</c:v>
                </c:pt>
                <c:pt idx="232">
                  <c:v>45197</c:v>
                </c:pt>
                <c:pt idx="233">
                  <c:v>45198</c:v>
                </c:pt>
                <c:pt idx="234">
                  <c:v>45200</c:v>
                </c:pt>
                <c:pt idx="235">
                  <c:v>45201</c:v>
                </c:pt>
                <c:pt idx="236">
                  <c:v>45202</c:v>
                </c:pt>
                <c:pt idx="237">
                  <c:v>45203</c:v>
                </c:pt>
                <c:pt idx="238">
                  <c:v>45204</c:v>
                </c:pt>
                <c:pt idx="239">
                  <c:v>45205</c:v>
                </c:pt>
                <c:pt idx="240">
                  <c:v>45207</c:v>
                </c:pt>
                <c:pt idx="241">
                  <c:v>45208</c:v>
                </c:pt>
                <c:pt idx="242">
                  <c:v>45209</c:v>
                </c:pt>
                <c:pt idx="243">
                  <c:v>45210</c:v>
                </c:pt>
                <c:pt idx="244">
                  <c:v>45211</c:v>
                </c:pt>
                <c:pt idx="245">
                  <c:v>45212</c:v>
                </c:pt>
                <c:pt idx="246">
                  <c:v>45214</c:v>
                </c:pt>
                <c:pt idx="247">
                  <c:v>45215</c:v>
                </c:pt>
                <c:pt idx="248">
                  <c:v>45216</c:v>
                </c:pt>
                <c:pt idx="249">
                  <c:v>45217</c:v>
                </c:pt>
                <c:pt idx="250">
                  <c:v>45218</c:v>
                </c:pt>
                <c:pt idx="251">
                  <c:v>45219</c:v>
                </c:pt>
                <c:pt idx="252">
                  <c:v>45221</c:v>
                </c:pt>
                <c:pt idx="253">
                  <c:v>45222</c:v>
                </c:pt>
                <c:pt idx="254">
                  <c:v>45223</c:v>
                </c:pt>
                <c:pt idx="255">
                  <c:v>45224</c:v>
                </c:pt>
                <c:pt idx="256">
                  <c:v>45225</c:v>
                </c:pt>
                <c:pt idx="257">
                  <c:v>45226</c:v>
                </c:pt>
                <c:pt idx="258">
                  <c:v>45228</c:v>
                </c:pt>
                <c:pt idx="259">
                  <c:v>45229</c:v>
                </c:pt>
                <c:pt idx="260">
                  <c:v>45230</c:v>
                </c:pt>
                <c:pt idx="261">
                  <c:v>45231</c:v>
                </c:pt>
                <c:pt idx="262">
                  <c:v>45232</c:v>
                </c:pt>
                <c:pt idx="263">
                  <c:v>45233</c:v>
                </c:pt>
                <c:pt idx="264">
                  <c:v>45235</c:v>
                </c:pt>
                <c:pt idx="265">
                  <c:v>45236</c:v>
                </c:pt>
                <c:pt idx="266">
                  <c:v>45237</c:v>
                </c:pt>
                <c:pt idx="267">
                  <c:v>45238</c:v>
                </c:pt>
                <c:pt idx="268">
                  <c:v>45239</c:v>
                </c:pt>
                <c:pt idx="269">
                  <c:v>45240</c:v>
                </c:pt>
                <c:pt idx="270">
                  <c:v>45242</c:v>
                </c:pt>
                <c:pt idx="271">
                  <c:v>45243</c:v>
                </c:pt>
                <c:pt idx="272">
                  <c:v>45244</c:v>
                </c:pt>
                <c:pt idx="273">
                  <c:v>45245</c:v>
                </c:pt>
                <c:pt idx="274">
                  <c:v>45246</c:v>
                </c:pt>
                <c:pt idx="275">
                  <c:v>45247</c:v>
                </c:pt>
                <c:pt idx="276">
                  <c:v>45249</c:v>
                </c:pt>
                <c:pt idx="277">
                  <c:v>45250</c:v>
                </c:pt>
                <c:pt idx="278">
                  <c:v>45251</c:v>
                </c:pt>
                <c:pt idx="279">
                  <c:v>45252</c:v>
                </c:pt>
                <c:pt idx="280">
                  <c:v>45253</c:v>
                </c:pt>
                <c:pt idx="281">
                  <c:v>45254</c:v>
                </c:pt>
                <c:pt idx="282">
                  <c:v>45256</c:v>
                </c:pt>
                <c:pt idx="283">
                  <c:v>45257</c:v>
                </c:pt>
                <c:pt idx="284">
                  <c:v>45258</c:v>
                </c:pt>
                <c:pt idx="285">
                  <c:v>45259</c:v>
                </c:pt>
                <c:pt idx="286">
                  <c:v>45260</c:v>
                </c:pt>
                <c:pt idx="287">
                  <c:v>45261</c:v>
                </c:pt>
                <c:pt idx="288">
                  <c:v>45263</c:v>
                </c:pt>
                <c:pt idx="289">
                  <c:v>45264</c:v>
                </c:pt>
                <c:pt idx="290">
                  <c:v>45265</c:v>
                </c:pt>
                <c:pt idx="291">
                  <c:v>45266</c:v>
                </c:pt>
                <c:pt idx="292">
                  <c:v>45267</c:v>
                </c:pt>
                <c:pt idx="293">
                  <c:v>45268</c:v>
                </c:pt>
                <c:pt idx="294">
                  <c:v>45270</c:v>
                </c:pt>
                <c:pt idx="295">
                  <c:v>45271</c:v>
                </c:pt>
                <c:pt idx="296">
                  <c:v>45272</c:v>
                </c:pt>
                <c:pt idx="297">
                  <c:v>45273</c:v>
                </c:pt>
                <c:pt idx="298">
                  <c:v>45274</c:v>
                </c:pt>
                <c:pt idx="299">
                  <c:v>45275</c:v>
                </c:pt>
                <c:pt idx="300">
                  <c:v>45277</c:v>
                </c:pt>
                <c:pt idx="301">
                  <c:v>45278</c:v>
                </c:pt>
                <c:pt idx="302">
                  <c:v>45279</c:v>
                </c:pt>
                <c:pt idx="303">
                  <c:v>45280</c:v>
                </c:pt>
                <c:pt idx="304">
                  <c:v>45281</c:v>
                </c:pt>
                <c:pt idx="305">
                  <c:v>45282</c:v>
                </c:pt>
                <c:pt idx="306">
                  <c:v>45284</c:v>
                </c:pt>
                <c:pt idx="307">
                  <c:v>45285</c:v>
                </c:pt>
                <c:pt idx="308">
                  <c:v>45286</c:v>
                </c:pt>
                <c:pt idx="309">
                  <c:v>45287</c:v>
                </c:pt>
                <c:pt idx="310">
                  <c:v>45288</c:v>
                </c:pt>
                <c:pt idx="311">
                  <c:v>45289</c:v>
                </c:pt>
                <c:pt idx="312">
                  <c:v>45291</c:v>
                </c:pt>
              </c:numCache>
            </c:numRef>
          </c:cat>
          <c:val>
            <c:numRef>
              <c:f>'Rolling Average'!$R$2:$R$1000</c:f>
              <c:numCache>
                <c:formatCode>0.00</c:formatCode>
                <c:ptCount val="999"/>
                <c:pt idx="5">
                  <c:v>648.83333333333337</c:v>
                </c:pt>
                <c:pt idx="6">
                  <c:v>810.16666666666663</c:v>
                </c:pt>
                <c:pt idx="7">
                  <c:v>800.66666666666663</c:v>
                </c:pt>
                <c:pt idx="8">
                  <c:v>792</c:v>
                </c:pt>
                <c:pt idx="9">
                  <c:v>805.83333333333337</c:v>
                </c:pt>
                <c:pt idx="10">
                  <c:v>790.33333333333337</c:v>
                </c:pt>
                <c:pt idx="11">
                  <c:v>782.83333333333337</c:v>
                </c:pt>
                <c:pt idx="12">
                  <c:v>781.33333333333337</c:v>
                </c:pt>
                <c:pt idx="13">
                  <c:v>777.66666666666663</c:v>
                </c:pt>
                <c:pt idx="14">
                  <c:v>768.5</c:v>
                </c:pt>
                <c:pt idx="15">
                  <c:v>744.66666666666663</c:v>
                </c:pt>
                <c:pt idx="16">
                  <c:v>748.33333333333337</c:v>
                </c:pt>
                <c:pt idx="17">
                  <c:v>746.5</c:v>
                </c:pt>
                <c:pt idx="18">
                  <c:v>722.33333333333337</c:v>
                </c:pt>
                <c:pt idx="19">
                  <c:v>696.66666666666663</c:v>
                </c:pt>
                <c:pt idx="20">
                  <c:v>685.66666666666663</c:v>
                </c:pt>
                <c:pt idx="21">
                  <c:v>682</c:v>
                </c:pt>
                <c:pt idx="22">
                  <c:v>660</c:v>
                </c:pt>
                <c:pt idx="23">
                  <c:v>660</c:v>
                </c:pt>
                <c:pt idx="24">
                  <c:v>660</c:v>
                </c:pt>
                <c:pt idx="25">
                  <c:v>669.16666666666663</c:v>
                </c:pt>
                <c:pt idx="26">
                  <c:v>671</c:v>
                </c:pt>
                <c:pt idx="27">
                  <c:v>628.83333333333337</c:v>
                </c:pt>
                <c:pt idx="28">
                  <c:v>605.5</c:v>
                </c:pt>
                <c:pt idx="29">
                  <c:v>587.16666666666663</c:v>
                </c:pt>
                <c:pt idx="30">
                  <c:v>554.16666666666663</c:v>
                </c:pt>
                <c:pt idx="31">
                  <c:v>526.66666666666663</c:v>
                </c:pt>
                <c:pt idx="32">
                  <c:v>491.83333333333331</c:v>
                </c:pt>
                <c:pt idx="33">
                  <c:v>493.66666666666669</c:v>
                </c:pt>
                <c:pt idx="34">
                  <c:v>478.5</c:v>
                </c:pt>
                <c:pt idx="35">
                  <c:v>485.83333333333331</c:v>
                </c:pt>
                <c:pt idx="36">
                  <c:v>482.16666666666669</c:v>
                </c:pt>
                <c:pt idx="37">
                  <c:v>474.83333333333331</c:v>
                </c:pt>
                <c:pt idx="38">
                  <c:v>480.33333333333331</c:v>
                </c:pt>
                <c:pt idx="39">
                  <c:v>473</c:v>
                </c:pt>
                <c:pt idx="40">
                  <c:v>478.5</c:v>
                </c:pt>
                <c:pt idx="41">
                  <c:v>474.83333333333331</c:v>
                </c:pt>
                <c:pt idx="42">
                  <c:v>476.66666666666669</c:v>
                </c:pt>
                <c:pt idx="43">
                  <c:v>476.66666666666669</c:v>
                </c:pt>
                <c:pt idx="44">
                  <c:v>474.83333333333331</c:v>
                </c:pt>
                <c:pt idx="45">
                  <c:v>482.16666666666669</c:v>
                </c:pt>
                <c:pt idx="46">
                  <c:v>484</c:v>
                </c:pt>
                <c:pt idx="47">
                  <c:v>478.5</c:v>
                </c:pt>
                <c:pt idx="48">
                  <c:v>476.66666666666669</c:v>
                </c:pt>
                <c:pt idx="49">
                  <c:v>474.83333333333331</c:v>
                </c:pt>
                <c:pt idx="50">
                  <c:v>474.83333333333331</c:v>
                </c:pt>
                <c:pt idx="51">
                  <c:v>469.33333333333331</c:v>
                </c:pt>
                <c:pt idx="52">
                  <c:v>474.83333333333331</c:v>
                </c:pt>
                <c:pt idx="53">
                  <c:v>474.83333333333331</c:v>
                </c:pt>
                <c:pt idx="54">
                  <c:v>484</c:v>
                </c:pt>
                <c:pt idx="55">
                  <c:v>487.66666666666669</c:v>
                </c:pt>
                <c:pt idx="56">
                  <c:v>484</c:v>
                </c:pt>
                <c:pt idx="57">
                  <c:v>485.83333333333331</c:v>
                </c:pt>
                <c:pt idx="58">
                  <c:v>476.66666666666669</c:v>
                </c:pt>
                <c:pt idx="59">
                  <c:v>487.66666666666669</c:v>
                </c:pt>
                <c:pt idx="60">
                  <c:v>482.16666666666669</c:v>
                </c:pt>
                <c:pt idx="61">
                  <c:v>478.5</c:v>
                </c:pt>
                <c:pt idx="62">
                  <c:v>473</c:v>
                </c:pt>
                <c:pt idx="63">
                  <c:v>467.5</c:v>
                </c:pt>
                <c:pt idx="64">
                  <c:v>467.5</c:v>
                </c:pt>
                <c:pt idx="65">
                  <c:v>462</c:v>
                </c:pt>
                <c:pt idx="66">
                  <c:v>454.66666666666669</c:v>
                </c:pt>
                <c:pt idx="67">
                  <c:v>472.66666666666669</c:v>
                </c:pt>
                <c:pt idx="68">
                  <c:v>539.66666666666663</c:v>
                </c:pt>
                <c:pt idx="69">
                  <c:v>597.83333333333337</c:v>
                </c:pt>
                <c:pt idx="70">
                  <c:v>661.16666666666663</c:v>
                </c:pt>
                <c:pt idx="71">
                  <c:v>668.33333333333337</c:v>
                </c:pt>
                <c:pt idx="72">
                  <c:v>675.66666666666663</c:v>
                </c:pt>
                <c:pt idx="73">
                  <c:v>663.16666666666663</c:v>
                </c:pt>
                <c:pt idx="74">
                  <c:v>599.83333333333337</c:v>
                </c:pt>
                <c:pt idx="75">
                  <c:v>547.16666666666663</c:v>
                </c:pt>
                <c:pt idx="76">
                  <c:v>485.66666666666669</c:v>
                </c:pt>
                <c:pt idx="77">
                  <c:v>484</c:v>
                </c:pt>
                <c:pt idx="78">
                  <c:v>480.33333333333331</c:v>
                </c:pt>
                <c:pt idx="79">
                  <c:v>480.33333333333331</c:v>
                </c:pt>
                <c:pt idx="80">
                  <c:v>478.5</c:v>
                </c:pt>
                <c:pt idx="81">
                  <c:v>480.33333333333331</c:v>
                </c:pt>
                <c:pt idx="82">
                  <c:v>474.83333333333331</c:v>
                </c:pt>
                <c:pt idx="83">
                  <c:v>469.33333333333331</c:v>
                </c:pt>
                <c:pt idx="84">
                  <c:v>473</c:v>
                </c:pt>
                <c:pt idx="85">
                  <c:v>471.16666666666669</c:v>
                </c:pt>
                <c:pt idx="86">
                  <c:v>478.5</c:v>
                </c:pt>
                <c:pt idx="87">
                  <c:v>478.5</c:v>
                </c:pt>
                <c:pt idx="88">
                  <c:v>476.66666666666669</c:v>
                </c:pt>
                <c:pt idx="89">
                  <c:v>480.33333333333331</c:v>
                </c:pt>
                <c:pt idx="90">
                  <c:v>469.33333333333331</c:v>
                </c:pt>
                <c:pt idx="91">
                  <c:v>465.66666666666669</c:v>
                </c:pt>
                <c:pt idx="92">
                  <c:v>460.16666666666669</c:v>
                </c:pt>
                <c:pt idx="93">
                  <c:v>458.33333333333331</c:v>
                </c:pt>
                <c:pt idx="94">
                  <c:v>460.16666666666669</c:v>
                </c:pt>
                <c:pt idx="95">
                  <c:v>456.5</c:v>
                </c:pt>
                <c:pt idx="96">
                  <c:v>471.16666666666669</c:v>
                </c:pt>
                <c:pt idx="97">
                  <c:v>480.33333333333331</c:v>
                </c:pt>
                <c:pt idx="98">
                  <c:v>484</c:v>
                </c:pt>
                <c:pt idx="99">
                  <c:v>489.5</c:v>
                </c:pt>
                <c:pt idx="100">
                  <c:v>493.16666666666669</c:v>
                </c:pt>
                <c:pt idx="101">
                  <c:v>495</c:v>
                </c:pt>
                <c:pt idx="102">
                  <c:v>485.83333333333331</c:v>
                </c:pt>
                <c:pt idx="103">
                  <c:v>480.33333333333331</c:v>
                </c:pt>
                <c:pt idx="104">
                  <c:v>489.5</c:v>
                </c:pt>
                <c:pt idx="105">
                  <c:v>482.16666666666669</c:v>
                </c:pt>
                <c:pt idx="106">
                  <c:v>478.5</c:v>
                </c:pt>
                <c:pt idx="107">
                  <c:v>478.5</c:v>
                </c:pt>
                <c:pt idx="108">
                  <c:v>473</c:v>
                </c:pt>
                <c:pt idx="109">
                  <c:v>465.66666666666669</c:v>
                </c:pt>
                <c:pt idx="110">
                  <c:v>452.83333333333331</c:v>
                </c:pt>
                <c:pt idx="111">
                  <c:v>458.33333333333331</c:v>
                </c:pt>
                <c:pt idx="112">
                  <c:v>462</c:v>
                </c:pt>
                <c:pt idx="113">
                  <c:v>463.83333333333331</c:v>
                </c:pt>
                <c:pt idx="114">
                  <c:v>465.66666666666669</c:v>
                </c:pt>
                <c:pt idx="115">
                  <c:v>471.16666666666669</c:v>
                </c:pt>
                <c:pt idx="116">
                  <c:v>473</c:v>
                </c:pt>
                <c:pt idx="117">
                  <c:v>473</c:v>
                </c:pt>
                <c:pt idx="118">
                  <c:v>476.66666666666669</c:v>
                </c:pt>
                <c:pt idx="119">
                  <c:v>469.33333333333331</c:v>
                </c:pt>
                <c:pt idx="120">
                  <c:v>471.16666666666669</c:v>
                </c:pt>
                <c:pt idx="121">
                  <c:v>476.66666666666669</c:v>
                </c:pt>
                <c:pt idx="122">
                  <c:v>482.16666666666669</c:v>
                </c:pt>
                <c:pt idx="123">
                  <c:v>474.83333333333331</c:v>
                </c:pt>
                <c:pt idx="124">
                  <c:v>467.5</c:v>
                </c:pt>
                <c:pt idx="125">
                  <c:v>474.83333333333331</c:v>
                </c:pt>
                <c:pt idx="126">
                  <c:v>480.33333333333331</c:v>
                </c:pt>
                <c:pt idx="127">
                  <c:v>480.33333333333331</c:v>
                </c:pt>
                <c:pt idx="128">
                  <c:v>471.16666666666669</c:v>
                </c:pt>
                <c:pt idx="129">
                  <c:v>474.83333333333331</c:v>
                </c:pt>
                <c:pt idx="130">
                  <c:v>478.5</c:v>
                </c:pt>
                <c:pt idx="131">
                  <c:v>467.5</c:v>
                </c:pt>
                <c:pt idx="132">
                  <c:v>460.16666666666669</c:v>
                </c:pt>
                <c:pt idx="133">
                  <c:v>454.66666666666669</c:v>
                </c:pt>
                <c:pt idx="134">
                  <c:v>456.5</c:v>
                </c:pt>
                <c:pt idx="135">
                  <c:v>462</c:v>
                </c:pt>
                <c:pt idx="136">
                  <c:v>460.16666666666669</c:v>
                </c:pt>
                <c:pt idx="137">
                  <c:v>469.33333333333331</c:v>
                </c:pt>
                <c:pt idx="138">
                  <c:v>480.33333333333331</c:v>
                </c:pt>
                <c:pt idx="139">
                  <c:v>474.83333333333331</c:v>
                </c:pt>
                <c:pt idx="140">
                  <c:v>480.33333333333331</c:v>
                </c:pt>
                <c:pt idx="141">
                  <c:v>474.83333333333331</c:v>
                </c:pt>
                <c:pt idx="142">
                  <c:v>473</c:v>
                </c:pt>
                <c:pt idx="143">
                  <c:v>467.5</c:v>
                </c:pt>
                <c:pt idx="144">
                  <c:v>463.83333333333331</c:v>
                </c:pt>
                <c:pt idx="145">
                  <c:v>462</c:v>
                </c:pt>
                <c:pt idx="146">
                  <c:v>462</c:v>
                </c:pt>
                <c:pt idx="147">
                  <c:v>472.5</c:v>
                </c:pt>
                <c:pt idx="148">
                  <c:v>516.66666666666663</c:v>
                </c:pt>
                <c:pt idx="149">
                  <c:v>521.33333333333337</c:v>
                </c:pt>
                <c:pt idx="150">
                  <c:v>521.33333333333337</c:v>
                </c:pt>
                <c:pt idx="151">
                  <c:v>523.16666666666663</c:v>
                </c:pt>
                <c:pt idx="152">
                  <c:v>525</c:v>
                </c:pt>
                <c:pt idx="153">
                  <c:v>520</c:v>
                </c:pt>
                <c:pt idx="154">
                  <c:v>472.16666666666669</c:v>
                </c:pt>
                <c:pt idx="155">
                  <c:v>471.16666666666669</c:v>
                </c:pt>
                <c:pt idx="156">
                  <c:v>467.5</c:v>
                </c:pt>
                <c:pt idx="157">
                  <c:v>469.33333333333331</c:v>
                </c:pt>
                <c:pt idx="158">
                  <c:v>396</c:v>
                </c:pt>
                <c:pt idx="159">
                  <c:v>394.16666666666669</c:v>
                </c:pt>
                <c:pt idx="160">
                  <c:v>397.83333333333331</c:v>
                </c:pt>
                <c:pt idx="161">
                  <c:v>401.5</c:v>
                </c:pt>
                <c:pt idx="162">
                  <c:v>408.83333333333331</c:v>
                </c:pt>
                <c:pt idx="163">
                  <c:v>407</c:v>
                </c:pt>
                <c:pt idx="164">
                  <c:v>473</c:v>
                </c:pt>
                <c:pt idx="165">
                  <c:v>474.83333333333331</c:v>
                </c:pt>
                <c:pt idx="166">
                  <c:v>473</c:v>
                </c:pt>
                <c:pt idx="167">
                  <c:v>469.33333333333331</c:v>
                </c:pt>
                <c:pt idx="168">
                  <c:v>460.16666666666669</c:v>
                </c:pt>
                <c:pt idx="169">
                  <c:v>465.66666666666669</c:v>
                </c:pt>
                <c:pt idx="170">
                  <c:v>469.33333333333331</c:v>
                </c:pt>
                <c:pt idx="171">
                  <c:v>467.5</c:v>
                </c:pt>
                <c:pt idx="172">
                  <c:v>484</c:v>
                </c:pt>
                <c:pt idx="173">
                  <c:v>485.83333333333331</c:v>
                </c:pt>
                <c:pt idx="174">
                  <c:v>496.83333333333331</c:v>
                </c:pt>
                <c:pt idx="175">
                  <c:v>487.66666666666669</c:v>
                </c:pt>
                <c:pt idx="176">
                  <c:v>491.33333333333331</c:v>
                </c:pt>
                <c:pt idx="177">
                  <c:v>491.33333333333331</c:v>
                </c:pt>
                <c:pt idx="178">
                  <c:v>480.33333333333331</c:v>
                </c:pt>
                <c:pt idx="179">
                  <c:v>482.16666666666669</c:v>
                </c:pt>
                <c:pt idx="180">
                  <c:v>465.66666666666669</c:v>
                </c:pt>
                <c:pt idx="181">
                  <c:v>478.5</c:v>
                </c:pt>
                <c:pt idx="182">
                  <c:v>471.16666666666669</c:v>
                </c:pt>
                <c:pt idx="183">
                  <c:v>463.83333333333331</c:v>
                </c:pt>
                <c:pt idx="184">
                  <c:v>463.83333333333331</c:v>
                </c:pt>
                <c:pt idx="185">
                  <c:v>460.16666666666669</c:v>
                </c:pt>
                <c:pt idx="186">
                  <c:v>467.5</c:v>
                </c:pt>
                <c:pt idx="187">
                  <c:v>469.33333333333331</c:v>
                </c:pt>
                <c:pt idx="188">
                  <c:v>473</c:v>
                </c:pt>
                <c:pt idx="189">
                  <c:v>478.5</c:v>
                </c:pt>
                <c:pt idx="190">
                  <c:v>474.83333333333331</c:v>
                </c:pt>
                <c:pt idx="191">
                  <c:v>469.33333333333331</c:v>
                </c:pt>
                <c:pt idx="192">
                  <c:v>467.5</c:v>
                </c:pt>
                <c:pt idx="193">
                  <c:v>469.33333333333331</c:v>
                </c:pt>
                <c:pt idx="194">
                  <c:v>473</c:v>
                </c:pt>
                <c:pt idx="195">
                  <c:v>467.5</c:v>
                </c:pt>
                <c:pt idx="196">
                  <c:v>463.83333333333331</c:v>
                </c:pt>
                <c:pt idx="197">
                  <c:v>467.5</c:v>
                </c:pt>
                <c:pt idx="198">
                  <c:v>476.66666666666669</c:v>
                </c:pt>
                <c:pt idx="199">
                  <c:v>469.33333333333331</c:v>
                </c:pt>
                <c:pt idx="200">
                  <c:v>465.66666666666669</c:v>
                </c:pt>
                <c:pt idx="201">
                  <c:v>471.16666666666669</c:v>
                </c:pt>
                <c:pt idx="202">
                  <c:v>474.83333333333331</c:v>
                </c:pt>
                <c:pt idx="203">
                  <c:v>482.16666666666669</c:v>
                </c:pt>
                <c:pt idx="204">
                  <c:v>476.66666666666669</c:v>
                </c:pt>
                <c:pt idx="205">
                  <c:v>478.5</c:v>
                </c:pt>
                <c:pt idx="206">
                  <c:v>473</c:v>
                </c:pt>
                <c:pt idx="207">
                  <c:v>478.5</c:v>
                </c:pt>
                <c:pt idx="208">
                  <c:v>478.5</c:v>
                </c:pt>
                <c:pt idx="209">
                  <c:v>478.5</c:v>
                </c:pt>
                <c:pt idx="210">
                  <c:v>476.66666666666669</c:v>
                </c:pt>
                <c:pt idx="211">
                  <c:v>474.83333333333331</c:v>
                </c:pt>
                <c:pt idx="212">
                  <c:v>484</c:v>
                </c:pt>
                <c:pt idx="213">
                  <c:v>478.5</c:v>
                </c:pt>
                <c:pt idx="214">
                  <c:v>484</c:v>
                </c:pt>
                <c:pt idx="215">
                  <c:v>474.83333333333331</c:v>
                </c:pt>
                <c:pt idx="216">
                  <c:v>485.83333333333331</c:v>
                </c:pt>
                <c:pt idx="217">
                  <c:v>489.5</c:v>
                </c:pt>
                <c:pt idx="218">
                  <c:v>485.83333333333331</c:v>
                </c:pt>
                <c:pt idx="219">
                  <c:v>484</c:v>
                </c:pt>
                <c:pt idx="220">
                  <c:v>473</c:v>
                </c:pt>
                <c:pt idx="221">
                  <c:v>480.33333333333331</c:v>
                </c:pt>
                <c:pt idx="222">
                  <c:v>469.33333333333331</c:v>
                </c:pt>
                <c:pt idx="223">
                  <c:v>465.66666666666669</c:v>
                </c:pt>
                <c:pt idx="224">
                  <c:v>469.33333333333331</c:v>
                </c:pt>
                <c:pt idx="225">
                  <c:v>480.33333333333331</c:v>
                </c:pt>
                <c:pt idx="226">
                  <c:v>489.5</c:v>
                </c:pt>
                <c:pt idx="227">
                  <c:v>482.16666666666669</c:v>
                </c:pt>
                <c:pt idx="228">
                  <c:v>544.16666666666663</c:v>
                </c:pt>
                <c:pt idx="229">
                  <c:v>596</c:v>
                </c:pt>
                <c:pt idx="230">
                  <c:v>652.83333333333337</c:v>
                </c:pt>
                <c:pt idx="231">
                  <c:v>689.16666666666663</c:v>
                </c:pt>
                <c:pt idx="232">
                  <c:v>740.66666666666663</c:v>
                </c:pt>
                <c:pt idx="233">
                  <c:v>741.33333333333337</c:v>
                </c:pt>
                <c:pt idx="234">
                  <c:v>684.83333333333337</c:v>
                </c:pt>
                <c:pt idx="235">
                  <c:v>631.16666666666663</c:v>
                </c:pt>
                <c:pt idx="236">
                  <c:v>563.33333333333337</c:v>
                </c:pt>
                <c:pt idx="237">
                  <c:v>519.66666666666663</c:v>
                </c:pt>
                <c:pt idx="238">
                  <c:v>466.33333333333331</c:v>
                </c:pt>
                <c:pt idx="239">
                  <c:v>471.16666666666669</c:v>
                </c:pt>
                <c:pt idx="240">
                  <c:v>458.33333333333331</c:v>
                </c:pt>
                <c:pt idx="241">
                  <c:v>458.33333333333331</c:v>
                </c:pt>
                <c:pt idx="242">
                  <c:v>458.33333333333331</c:v>
                </c:pt>
                <c:pt idx="243">
                  <c:v>454.66666666666669</c:v>
                </c:pt>
                <c:pt idx="244">
                  <c:v>467.5</c:v>
                </c:pt>
                <c:pt idx="245">
                  <c:v>463.83333333333331</c:v>
                </c:pt>
                <c:pt idx="246">
                  <c:v>473</c:v>
                </c:pt>
                <c:pt idx="247">
                  <c:v>471.16666666666669</c:v>
                </c:pt>
                <c:pt idx="248">
                  <c:v>478.5</c:v>
                </c:pt>
                <c:pt idx="249">
                  <c:v>482.16666666666669</c:v>
                </c:pt>
                <c:pt idx="250">
                  <c:v>473</c:v>
                </c:pt>
                <c:pt idx="251">
                  <c:v>474.83333333333331</c:v>
                </c:pt>
                <c:pt idx="252">
                  <c:v>473</c:v>
                </c:pt>
                <c:pt idx="253">
                  <c:v>476.66666666666669</c:v>
                </c:pt>
                <c:pt idx="254">
                  <c:v>469.33333333333331</c:v>
                </c:pt>
                <c:pt idx="255">
                  <c:v>469.33333333333331</c:v>
                </c:pt>
                <c:pt idx="256">
                  <c:v>462</c:v>
                </c:pt>
                <c:pt idx="257">
                  <c:v>458.33333333333331</c:v>
                </c:pt>
                <c:pt idx="258">
                  <c:v>452.83333333333331</c:v>
                </c:pt>
                <c:pt idx="259">
                  <c:v>460.16666666666669</c:v>
                </c:pt>
                <c:pt idx="260">
                  <c:v>471.16666666666669</c:v>
                </c:pt>
                <c:pt idx="261">
                  <c:v>463.83333333333331</c:v>
                </c:pt>
                <c:pt idx="262">
                  <c:v>471.16666666666669</c:v>
                </c:pt>
                <c:pt idx="263">
                  <c:v>476.66666666666669</c:v>
                </c:pt>
                <c:pt idx="264">
                  <c:v>491.33333333333331</c:v>
                </c:pt>
                <c:pt idx="265">
                  <c:v>484</c:v>
                </c:pt>
                <c:pt idx="266">
                  <c:v>485.83333333333331</c:v>
                </c:pt>
                <c:pt idx="267">
                  <c:v>485.83333333333331</c:v>
                </c:pt>
                <c:pt idx="268">
                  <c:v>485.83333333333331</c:v>
                </c:pt>
                <c:pt idx="269">
                  <c:v>484</c:v>
                </c:pt>
                <c:pt idx="270">
                  <c:v>377.66666666666669</c:v>
                </c:pt>
                <c:pt idx="271">
                  <c:v>370.33333333333331</c:v>
                </c:pt>
                <c:pt idx="272">
                  <c:v>368.5</c:v>
                </c:pt>
                <c:pt idx="273">
                  <c:v>370.33333333333331</c:v>
                </c:pt>
                <c:pt idx="274">
                  <c:v>370.33333333333331</c:v>
                </c:pt>
                <c:pt idx="275">
                  <c:v>368.5</c:v>
                </c:pt>
                <c:pt idx="276">
                  <c:v>462</c:v>
                </c:pt>
                <c:pt idx="277">
                  <c:v>465.66666666666669</c:v>
                </c:pt>
                <c:pt idx="278">
                  <c:v>460.16666666666669</c:v>
                </c:pt>
                <c:pt idx="279">
                  <c:v>383.16666666666669</c:v>
                </c:pt>
                <c:pt idx="280">
                  <c:v>434.66666666666669</c:v>
                </c:pt>
                <c:pt idx="281">
                  <c:v>438.66666666666669</c:v>
                </c:pt>
                <c:pt idx="282">
                  <c:v>498</c:v>
                </c:pt>
                <c:pt idx="283">
                  <c:v>548.83333333333337</c:v>
                </c:pt>
                <c:pt idx="284">
                  <c:v>605.5</c:v>
                </c:pt>
                <c:pt idx="285">
                  <c:v>736</c:v>
                </c:pt>
                <c:pt idx="286">
                  <c:v>734.33333333333337</c:v>
                </c:pt>
                <c:pt idx="287">
                  <c:v>734.16666666666663</c:v>
                </c:pt>
                <c:pt idx="288">
                  <c:v>680.33333333333337</c:v>
                </c:pt>
                <c:pt idx="289">
                  <c:v>635</c:v>
                </c:pt>
                <c:pt idx="290">
                  <c:v>580.16666666666663</c:v>
                </c:pt>
                <c:pt idx="291">
                  <c:v>537.66666666666663</c:v>
                </c:pt>
                <c:pt idx="292">
                  <c:v>480.5</c:v>
                </c:pt>
                <c:pt idx="293">
                  <c:v>478.5</c:v>
                </c:pt>
                <c:pt idx="294">
                  <c:v>474.83333333333331</c:v>
                </c:pt>
                <c:pt idx="295">
                  <c:v>469.33333333333331</c:v>
                </c:pt>
                <c:pt idx="296">
                  <c:v>471.16666666666669</c:v>
                </c:pt>
                <c:pt idx="297">
                  <c:v>465.66666666666669</c:v>
                </c:pt>
                <c:pt idx="298">
                  <c:v>469.33333333333331</c:v>
                </c:pt>
                <c:pt idx="299">
                  <c:v>465.66666666666669</c:v>
                </c:pt>
                <c:pt idx="300">
                  <c:v>473</c:v>
                </c:pt>
                <c:pt idx="301">
                  <c:v>469.33333333333331</c:v>
                </c:pt>
                <c:pt idx="302">
                  <c:v>528.66666666666663</c:v>
                </c:pt>
                <c:pt idx="303">
                  <c:v>577.83333333333337</c:v>
                </c:pt>
                <c:pt idx="304">
                  <c:v>639.83333333333337</c:v>
                </c:pt>
                <c:pt idx="305">
                  <c:v>641.33333333333337</c:v>
                </c:pt>
                <c:pt idx="306">
                  <c:v>538.66666666666663</c:v>
                </c:pt>
                <c:pt idx="307">
                  <c:v>463.5</c:v>
                </c:pt>
                <c:pt idx="308">
                  <c:v>404.16666666666669</c:v>
                </c:pt>
                <c:pt idx="309">
                  <c:v>358.66666666666669</c:v>
                </c:pt>
                <c:pt idx="310">
                  <c:v>293</c:v>
                </c:pt>
                <c:pt idx="311">
                  <c:v>297</c:v>
                </c:pt>
                <c:pt idx="312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6-4C51-ACD1-A0599B421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348960"/>
        <c:axId val="707349440"/>
      </c:lineChart>
      <c:dateAx>
        <c:axId val="707348960"/>
        <c:scaling>
          <c:orientation val="minMax"/>
        </c:scaling>
        <c:delete val="0"/>
        <c:axPos val="b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49440"/>
        <c:crosses val="autoZero"/>
        <c:auto val="1"/>
        <c:lblOffset val="100"/>
        <c:baseTimeUnit val="days"/>
      </c:dateAx>
      <c:valAx>
        <c:axId val="7073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48960"/>
        <c:crossesAt val="4492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Employee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'Employee Performance'!$A$2</c:f>
              <c:strCache>
                <c:ptCount val="1"/>
                <c:pt idx="0">
                  <c:v>Jane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Performance'!$B$1:$F$1</c:f>
              <c:strCache>
                <c:ptCount val="5"/>
                <c:pt idx="0">
                  <c:v>Sum of Customer</c:v>
                </c:pt>
                <c:pt idx="1">
                  <c:v>Sum of Profit</c:v>
                </c:pt>
                <c:pt idx="2">
                  <c:v>Average of Profit Margin</c:v>
                </c:pt>
                <c:pt idx="3">
                  <c:v>Sum of Revenue</c:v>
                </c:pt>
                <c:pt idx="4">
                  <c:v>Sum of Revenue per Customer</c:v>
                </c:pt>
              </c:strCache>
            </c:strRef>
          </c:cat>
          <c:val>
            <c:numRef>
              <c:f>'Employee Performance'!$B$2:$F$2</c:f>
              <c:numCache>
                <c:formatCode>General</c:formatCode>
                <c:ptCount val="5"/>
                <c:pt idx="0">
                  <c:v>3045</c:v>
                </c:pt>
                <c:pt idx="1">
                  <c:v>28981</c:v>
                </c:pt>
                <c:pt idx="2">
                  <c:v>0.87907556484789406</c:v>
                </c:pt>
                <c:pt idx="3">
                  <c:v>32847</c:v>
                </c:pt>
                <c:pt idx="4">
                  <c:v>1646.8232116736613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2-4B7A-AD80-C6338D904AD9}"/>
            </c:ext>
          </c:extLst>
        </c:ser>
        <c:ser>
          <c:idx val="1"/>
          <c:order val="1"/>
          <c:tx>
            <c:strRef>
              <c:f>'Employee Performance'!$A$3</c:f>
              <c:strCache>
                <c:ptCount val="1"/>
                <c:pt idx="0">
                  <c:v>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'Employee Performance'!$B$1:$F$1</c:f>
              <c:strCache>
                <c:ptCount val="5"/>
                <c:pt idx="0">
                  <c:v>Sum of Customer</c:v>
                </c:pt>
                <c:pt idx="1">
                  <c:v>Sum of Profit</c:v>
                </c:pt>
                <c:pt idx="2">
                  <c:v>Average of Profit Margin</c:v>
                </c:pt>
                <c:pt idx="3">
                  <c:v>Sum of Revenue</c:v>
                </c:pt>
                <c:pt idx="4">
                  <c:v>Sum of Revenue per Customer</c:v>
                </c:pt>
              </c:strCache>
            </c:strRef>
          </c:cat>
          <c:val>
            <c:numRef>
              <c:f>'Employee Performance'!$B$3:$F$3</c:f>
              <c:numCache>
                <c:formatCode>General</c:formatCode>
                <c:ptCount val="5"/>
                <c:pt idx="0">
                  <c:v>3187</c:v>
                </c:pt>
                <c:pt idx="1">
                  <c:v>26493</c:v>
                </c:pt>
                <c:pt idx="2">
                  <c:v>0.72943985110959764</c:v>
                </c:pt>
                <c:pt idx="3">
                  <c:v>34225</c:v>
                </c:pt>
                <c:pt idx="4">
                  <c:v>3261.1245725620906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2-4B7A-AD80-C6338D904AD9}"/>
            </c:ext>
          </c:extLst>
        </c:ser>
        <c:ser>
          <c:idx val="2"/>
          <c:order val="2"/>
          <c:tx>
            <c:strRef>
              <c:f>'Employee Performance'!$A$4</c:f>
              <c:strCache>
                <c:ptCount val="1"/>
                <c:pt idx="0">
                  <c:v>Mauk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'Employee Performance'!$B$1:$F$1</c:f>
              <c:strCache>
                <c:ptCount val="5"/>
                <c:pt idx="0">
                  <c:v>Sum of Customer</c:v>
                </c:pt>
                <c:pt idx="1">
                  <c:v>Sum of Profit</c:v>
                </c:pt>
                <c:pt idx="2">
                  <c:v>Average of Profit Margin</c:v>
                </c:pt>
                <c:pt idx="3">
                  <c:v>Sum of Revenue</c:v>
                </c:pt>
                <c:pt idx="4">
                  <c:v>Sum of Revenue per Customer</c:v>
                </c:pt>
              </c:strCache>
            </c:strRef>
          </c:cat>
          <c:val>
            <c:numRef>
              <c:f>'Employee Performance'!$B$4:$F$4</c:f>
              <c:numCache>
                <c:formatCode>General</c:formatCode>
                <c:ptCount val="5"/>
                <c:pt idx="0">
                  <c:v>4171</c:v>
                </c:pt>
                <c:pt idx="1">
                  <c:v>38290.267263267888</c:v>
                </c:pt>
                <c:pt idx="2">
                  <c:v>0.83868828471888834</c:v>
                </c:pt>
                <c:pt idx="3">
                  <c:v>44761</c:v>
                </c:pt>
                <c:pt idx="4">
                  <c:v>2767.4715930559901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62-4B7A-AD80-C6338D904AD9}"/>
            </c:ext>
          </c:extLst>
        </c:ser>
        <c:ser>
          <c:idx val="3"/>
          <c:order val="3"/>
          <c:tx>
            <c:strRef>
              <c:f>'Employee Performance'!$A$5</c:f>
              <c:strCache>
                <c:ptCount val="1"/>
                <c:pt idx="0">
                  <c:v>Molly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'Employee Performance'!$B$1:$F$1</c:f>
              <c:strCache>
                <c:ptCount val="5"/>
                <c:pt idx="0">
                  <c:v>Sum of Customer</c:v>
                </c:pt>
                <c:pt idx="1">
                  <c:v>Sum of Profit</c:v>
                </c:pt>
                <c:pt idx="2">
                  <c:v>Average of Profit Margin</c:v>
                </c:pt>
                <c:pt idx="3">
                  <c:v>Sum of Revenue</c:v>
                </c:pt>
                <c:pt idx="4">
                  <c:v>Sum of Revenue per Customer</c:v>
                </c:pt>
              </c:strCache>
            </c:strRef>
          </c:cat>
          <c:val>
            <c:numRef>
              <c:f>'Employee Performance'!$B$5:$F$5</c:f>
              <c:numCache>
                <c:formatCode>General</c:formatCode>
                <c:ptCount val="5"/>
                <c:pt idx="0">
                  <c:v>2379</c:v>
                </c:pt>
                <c:pt idx="1">
                  <c:v>21642</c:v>
                </c:pt>
                <c:pt idx="2">
                  <c:v>0.84724038840261373</c:v>
                </c:pt>
                <c:pt idx="3">
                  <c:v>25377</c:v>
                </c:pt>
                <c:pt idx="4">
                  <c:v>1660.2792166592624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62-4B7A-AD80-C6338D904AD9}"/>
            </c:ext>
          </c:extLst>
        </c:ser>
        <c:ser>
          <c:idx val="4"/>
          <c:order val="4"/>
          <c:tx>
            <c:strRef>
              <c:f>'Employee Performance'!$A$6</c:f>
              <c:strCache>
                <c:ptCount val="1"/>
                <c:pt idx="0">
                  <c:v>Peper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'Employee Performance'!$B$1:$F$1</c:f>
              <c:strCache>
                <c:ptCount val="5"/>
                <c:pt idx="0">
                  <c:v>Sum of Customer</c:v>
                </c:pt>
                <c:pt idx="1">
                  <c:v>Sum of Profit</c:v>
                </c:pt>
                <c:pt idx="2">
                  <c:v>Average of Profit Margin</c:v>
                </c:pt>
                <c:pt idx="3">
                  <c:v>Sum of Revenue</c:v>
                </c:pt>
                <c:pt idx="4">
                  <c:v>Sum of Revenue per Customer</c:v>
                </c:pt>
              </c:strCache>
            </c:strRef>
          </c:cat>
          <c:val>
            <c:numRef>
              <c:f>'Employee Performance'!$B$6:$F$6</c:f>
              <c:numCache>
                <c:formatCode>General</c:formatCode>
                <c:ptCount val="5"/>
                <c:pt idx="0">
                  <c:v>1944</c:v>
                </c:pt>
                <c:pt idx="1">
                  <c:v>15168</c:v>
                </c:pt>
                <c:pt idx="2">
                  <c:v>0.68199517078617478</c:v>
                </c:pt>
                <c:pt idx="3">
                  <c:v>20312</c:v>
                </c:pt>
                <c:pt idx="4">
                  <c:v>2214.15598150811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62-4B7A-AD80-C6338D90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4855328"/>
        <c:axId val="514851488"/>
      </c:barChart>
      <c:catAx>
        <c:axId val="5148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51488"/>
        <c:crosses val="autoZero"/>
        <c:auto val="1"/>
        <c:lblAlgn val="ctr"/>
        <c:lblOffset val="100"/>
        <c:noMultiLvlLbl val="0"/>
      </c:catAx>
      <c:valAx>
        <c:axId val="51485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109536</xdr:colOff>
      <xdr:row>17</xdr:row>
      <xdr:rowOff>4761</xdr:rowOff>
    </xdr:from>
    <xdr:to>
      <xdr:col>26</xdr:col>
      <xdr:colOff>504825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AA0F29-D6AA-D474-ED50-F0C170762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481012</xdr:colOff>
      <xdr:row>6</xdr:row>
      <xdr:rowOff>52386</xdr:rowOff>
    </xdr:from>
    <xdr:to>
      <xdr:col>20</xdr:col>
      <xdr:colOff>390526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D3925-B0B1-E210-30E4-87BB4464B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ias Stoer" refreshedDate="45967.557899074076" createdVersion="8" refreshedVersion="8" minRefreshableVersion="3" recordCount="1096" xr:uid="{AE233231-6ED1-4972-A974-BF292E2B480F}">
  <cacheSource type="worksheet">
    <worksheetSource ref="A1:P1097" sheet="Data"/>
  </cacheSource>
  <cacheFields count="17">
    <cacheField name="Row" numFmtId="0">
      <sharedItems containsSemiMixedTypes="0" containsString="0" containsNumber="1" containsInteger="1" minValue="1" maxValue="1096"/>
    </cacheField>
    <cacheField name="Date" numFmtId="164">
      <sharedItems containsSemiMixedTypes="0" containsNonDate="0" containsDate="1" containsString="0" minDate="2023-01-01T00:00:00" maxDate="2024-01-01T00:00:00"/>
    </cacheField>
    <cacheField name="Month" numFmtId="165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y" numFmtId="166">
      <sharedItems containsSemiMixedTypes="0" containsNonDate="0" containsDate="1" containsString="0" minDate="1900-01-01T00:00:00" maxDate="1900-01-07T00:00:00"/>
    </cacheField>
    <cacheField name="Quarter" numFmtId="0">
      <sharedItems count="4">
        <s v="Q1"/>
        <s v="Q2"/>
        <s v="Q3"/>
        <s v="Q4"/>
      </sharedItems>
    </cacheField>
    <cacheField name="Holiday" numFmtId="0">
      <sharedItems/>
    </cacheField>
    <cacheField name="Promotion" numFmtId="0">
      <sharedItems/>
    </cacheField>
    <cacheField name="Event Type" numFmtId="0">
      <sharedItems/>
    </cacheField>
    <cacheField name="Shift" numFmtId="0">
      <sharedItems count="4">
        <s v="Morning"/>
        <s v="Noon"/>
        <s v="Afternoon"/>
        <s v="Evening"/>
      </sharedItems>
    </cacheField>
    <cacheField name="Employee" numFmtId="0">
      <sharedItems count="6">
        <s v="None"/>
        <s v="Mauk"/>
        <s v="Peper"/>
        <s v="Molly"/>
        <s v="Jane"/>
        <s v="Mark"/>
      </sharedItems>
    </cacheField>
    <cacheField name="Customer" numFmtId="0">
      <sharedItems containsSemiMixedTypes="0" containsString="0" containsNumber="1" containsInteger="1" minValue="0" maxValue="37"/>
    </cacheField>
    <cacheField name="Revenue" numFmtId="2">
      <sharedItems containsSemiMixedTypes="0" containsString="0" containsNumber="1" containsInteger="1" minValue="0" maxValue="375"/>
    </cacheField>
    <cacheField name="Cost" numFmtId="2">
      <sharedItems containsSemiMixedTypes="0" containsString="0" containsNumber="1" minValue="1" maxValue="50"/>
    </cacheField>
    <cacheField name="Profit" numFmtId="2">
      <sharedItems containsSemiMixedTypes="0" containsString="0" containsNumber="1" minValue="-10" maxValue="334"/>
    </cacheField>
    <cacheField name="Profit Margin" numFmtId="167">
      <sharedItems containsSemiMixedTypes="0" containsString="0" containsNumber="1" minValue="0" maxValue="0.99636363636363634"/>
    </cacheField>
    <cacheField name="Revenue per Customer" numFmtId="167">
      <sharedItems containsSemiMixedTypes="0" containsString="0" containsNumber="1" minValue="0" maxValue="11"/>
    </cacheField>
    <cacheField name="Rolling Average" numFmtId="167">
      <sharedItems containsSemiMixedTypes="0" containsString="0" containsNumber="1" minValue="129.64044943820224" maxValue="144.9454545454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n v="1"/>
    <d v="2023-01-01T00:00:00"/>
    <x v="0"/>
    <d v="1900-01-01T00:00:00"/>
    <x v="0"/>
    <s v="Yes"/>
    <s v="No"/>
    <s v="New Year's Day"/>
    <x v="0"/>
    <x v="0"/>
    <n v="0"/>
    <n v="0"/>
    <n v="10"/>
    <n v="-10"/>
    <n v="0"/>
    <n v="0"/>
    <n v="143.72445255474452"/>
  </r>
  <r>
    <n v="2"/>
    <d v="2023-01-01T00:00:00"/>
    <x v="0"/>
    <d v="1900-01-01T00:00:00"/>
    <x v="0"/>
    <s v="Yes"/>
    <s v="No"/>
    <s v="New Year's Day"/>
    <x v="1"/>
    <x v="0"/>
    <n v="0"/>
    <n v="0"/>
    <n v="10"/>
    <n v="-10"/>
    <n v="0"/>
    <n v="0"/>
    <n v="143.72445255474452"/>
  </r>
  <r>
    <n v="3"/>
    <d v="2023-01-01T00:00:00"/>
    <x v="0"/>
    <d v="1900-01-01T00:00:00"/>
    <x v="0"/>
    <s v="Yes"/>
    <s v="No"/>
    <s v="New Year's Day"/>
    <x v="2"/>
    <x v="0"/>
    <n v="0"/>
    <n v="0"/>
    <n v="10"/>
    <n v="-10"/>
    <n v="0"/>
    <n v="0"/>
    <n v="143.72445255474452"/>
  </r>
  <r>
    <n v="4"/>
    <d v="2023-01-01T00:00:00"/>
    <x v="0"/>
    <d v="1900-01-01T00:00:00"/>
    <x v="0"/>
    <s v="Yes"/>
    <s v="No"/>
    <s v="New Year's Day"/>
    <x v="3"/>
    <x v="0"/>
    <n v="0"/>
    <n v="0"/>
    <n v="10"/>
    <n v="-10"/>
    <n v="0"/>
    <n v="0"/>
    <n v="143.72445255474452"/>
  </r>
  <r>
    <n v="5"/>
    <d v="2023-01-02T00:00:00"/>
    <x v="0"/>
    <d v="1900-01-02T00:00:00"/>
    <x v="0"/>
    <s v="No"/>
    <s v="Yes"/>
    <s v="New Year Promotion"/>
    <x v="0"/>
    <x v="1"/>
    <n v="29"/>
    <n v="295"/>
    <n v="12.813172442809233"/>
    <n v="282.18682755719078"/>
    <n v="0.95656551714301963"/>
    <n v="10.172413793103448"/>
    <n v="143.72445255474452"/>
  </r>
  <r>
    <n v="6"/>
    <d v="2023-01-02T00:00:00"/>
    <x v="0"/>
    <d v="1900-01-02T00:00:00"/>
    <x v="0"/>
    <s v="No"/>
    <s v="Yes"/>
    <s v="New Year Promotion"/>
    <x v="1"/>
    <x v="1"/>
    <n v="21"/>
    <n v="215"/>
    <n v="13.91956428930415"/>
    <n v="201.08043571069584"/>
    <n v="0.93525784051486438"/>
    <n v="10.238095238095237"/>
    <n v="143.72445255474452"/>
  </r>
  <r>
    <n v="7"/>
    <d v="2023-01-02T00:00:00"/>
    <x v="0"/>
    <d v="1900-01-02T00:00:00"/>
    <x v="0"/>
    <s v="No"/>
    <s v="Yes"/>
    <s v="New Year Promotion"/>
    <x v="2"/>
    <x v="2"/>
    <n v="20"/>
    <n v="156"/>
    <n v="19"/>
    <n v="137"/>
    <n v="0.87820512820512819"/>
    <n v="7.8"/>
    <n v="143.72445255474452"/>
  </r>
  <r>
    <n v="8"/>
    <d v="2023-01-02T00:00:00"/>
    <x v="0"/>
    <d v="1900-01-02T00:00:00"/>
    <x v="0"/>
    <s v="No"/>
    <s v="Yes"/>
    <s v="New Year Promotion"/>
    <x v="3"/>
    <x v="3"/>
    <n v="24"/>
    <n v="216"/>
    <n v="6"/>
    <n v="210"/>
    <n v="0.97222222222222221"/>
    <n v="9"/>
    <n v="143.72445255474452"/>
  </r>
  <r>
    <n v="9"/>
    <d v="2023-01-03T00:00:00"/>
    <x v="0"/>
    <d v="1900-01-03T00:00:00"/>
    <x v="0"/>
    <s v="No"/>
    <s v="Yes"/>
    <s v="New Year Promotion"/>
    <x v="0"/>
    <x v="4"/>
    <n v="32"/>
    <n v="296"/>
    <n v="26"/>
    <n v="270"/>
    <n v="0.91216216216216217"/>
    <n v="9.25"/>
    <n v="143.72445255474452"/>
  </r>
  <r>
    <n v="10"/>
    <d v="2023-01-03T00:00:00"/>
    <x v="0"/>
    <d v="1900-01-03T00:00:00"/>
    <x v="0"/>
    <s v="No"/>
    <s v="Yes"/>
    <s v="New Year Promotion"/>
    <x v="1"/>
    <x v="5"/>
    <n v="14"/>
    <n v="130"/>
    <n v="33"/>
    <n v="97"/>
    <n v="0.74615384615384617"/>
    <n v="9.2857142857142865"/>
    <n v="143.72445255474452"/>
  </r>
  <r>
    <n v="11"/>
    <d v="2023-01-03T00:00:00"/>
    <x v="0"/>
    <d v="1900-01-03T00:00:00"/>
    <x v="0"/>
    <s v="No"/>
    <s v="Yes"/>
    <s v="New Year Promotion"/>
    <x v="2"/>
    <x v="5"/>
    <n v="17"/>
    <n v="155"/>
    <n v="15"/>
    <n v="140"/>
    <n v="0.90322580645161288"/>
    <n v="9.117647058823529"/>
    <n v="143.72445255474452"/>
  </r>
  <r>
    <n v="12"/>
    <d v="2023-01-03T00:00:00"/>
    <x v="0"/>
    <d v="1900-01-03T00:00:00"/>
    <x v="0"/>
    <s v="No"/>
    <s v="Yes"/>
    <s v="New Year Promotion"/>
    <x v="3"/>
    <x v="5"/>
    <n v="23"/>
    <n v="197"/>
    <n v="31"/>
    <n v="166"/>
    <n v="0.84263959390862941"/>
    <n v="8.5652173913043477"/>
    <n v="143.72445255474452"/>
  </r>
  <r>
    <n v="13"/>
    <d v="2023-01-04T00:00:00"/>
    <x v="0"/>
    <d v="1900-01-04T00:00:00"/>
    <x v="0"/>
    <s v="No"/>
    <s v="Yes"/>
    <s v="New Year Promotion"/>
    <x v="0"/>
    <x v="1"/>
    <n v="28"/>
    <n v="268"/>
    <n v="36"/>
    <n v="232"/>
    <n v="0.86567164179104472"/>
    <n v="9.5714285714285712"/>
    <n v="143.72445255474452"/>
  </r>
  <r>
    <n v="14"/>
    <d v="2023-01-04T00:00:00"/>
    <x v="0"/>
    <d v="1900-01-04T00:00:00"/>
    <x v="0"/>
    <s v="No"/>
    <s v="Yes"/>
    <s v="New Year Promotion"/>
    <x v="1"/>
    <x v="1"/>
    <n v="18"/>
    <n v="166"/>
    <n v="20"/>
    <n v="146"/>
    <n v="0.87951807228915657"/>
    <n v="9.2222222222222214"/>
    <n v="143.72445255474452"/>
  </r>
  <r>
    <n v="15"/>
    <d v="2023-01-04T00:00:00"/>
    <x v="0"/>
    <d v="1900-01-04T00:00:00"/>
    <x v="0"/>
    <s v="No"/>
    <s v="Yes"/>
    <s v="New Year Promotion"/>
    <x v="2"/>
    <x v="2"/>
    <n v="15"/>
    <n v="141"/>
    <n v="42"/>
    <n v="99"/>
    <n v="0.7021276595744681"/>
    <n v="9.4"/>
    <n v="143.72445255474452"/>
  </r>
  <r>
    <n v="16"/>
    <d v="2023-01-04T00:00:00"/>
    <x v="0"/>
    <d v="1900-01-04T00:00:00"/>
    <x v="0"/>
    <s v="No"/>
    <s v="Yes"/>
    <s v="New Year Promotion"/>
    <x v="3"/>
    <x v="3"/>
    <n v="28"/>
    <n v="244"/>
    <n v="12"/>
    <n v="232"/>
    <n v="0.95081967213114749"/>
    <n v="8.7142857142857135"/>
    <n v="143.72445255474452"/>
  </r>
  <r>
    <n v="17"/>
    <d v="2023-01-05T00:00:00"/>
    <x v="0"/>
    <d v="1900-01-05T00:00:00"/>
    <x v="0"/>
    <s v="No"/>
    <s v="Yes"/>
    <s v="New Year Promotion"/>
    <x v="0"/>
    <x v="4"/>
    <n v="33"/>
    <n v="331"/>
    <n v="16"/>
    <n v="315"/>
    <n v="0.95166163141993954"/>
    <n v="10.030303030303031"/>
    <n v="143.72445255474452"/>
  </r>
  <r>
    <n v="18"/>
    <d v="2023-01-05T00:00:00"/>
    <x v="0"/>
    <d v="1900-01-05T00:00:00"/>
    <x v="0"/>
    <s v="No"/>
    <s v="Yes"/>
    <s v="New Year Promotion"/>
    <x v="1"/>
    <x v="2"/>
    <n v="25"/>
    <n v="227"/>
    <n v="29"/>
    <n v="198"/>
    <n v="0.8722466960352423"/>
    <n v="9.08"/>
    <n v="143.72445255474452"/>
  </r>
  <r>
    <n v="19"/>
    <d v="2023-01-05T00:00:00"/>
    <x v="0"/>
    <d v="1900-01-05T00:00:00"/>
    <x v="0"/>
    <s v="No"/>
    <s v="Yes"/>
    <s v="New Year Promotion"/>
    <x v="2"/>
    <x v="2"/>
    <n v="16"/>
    <n v="160"/>
    <n v="33"/>
    <n v="127"/>
    <n v="0.79374999999999996"/>
    <n v="10"/>
    <n v="143.72445255474452"/>
  </r>
  <r>
    <n v="20"/>
    <d v="2023-01-05T00:00:00"/>
    <x v="0"/>
    <d v="1900-01-05T00:00:00"/>
    <x v="0"/>
    <s v="No"/>
    <s v="Yes"/>
    <s v="New Year Promotion"/>
    <x v="3"/>
    <x v="3"/>
    <n v="35"/>
    <n v="321"/>
    <n v="30"/>
    <n v="291"/>
    <n v="0.90654205607476634"/>
    <n v="9.1714285714285708"/>
    <n v="143.72445255474452"/>
  </r>
  <r>
    <n v="21"/>
    <d v="2023-01-06T00:00:00"/>
    <x v="0"/>
    <d v="1900-01-06T00:00:00"/>
    <x v="0"/>
    <s v="No"/>
    <s v="Yes"/>
    <s v="New Year Promotion"/>
    <x v="0"/>
    <x v="1"/>
    <n v="37"/>
    <n v="375"/>
    <n v="49"/>
    <n v="326"/>
    <n v="0.86933333333333329"/>
    <n v="10.135135135135135"/>
    <n v="143.72445255474452"/>
  </r>
  <r>
    <n v="22"/>
    <d v="2023-01-08T00:00:00"/>
    <x v="0"/>
    <d v="1900-01-01T00:00:00"/>
    <x v="0"/>
    <s v="No"/>
    <s v="No"/>
    <s v="None"/>
    <x v="0"/>
    <x v="4"/>
    <n v="32"/>
    <n v="352"/>
    <n v="35"/>
    <n v="317"/>
    <n v="0.90056818181818177"/>
    <n v="11"/>
    <n v="143.72445255474452"/>
  </r>
  <r>
    <n v="23"/>
    <d v="2023-01-08T00:00:00"/>
    <x v="0"/>
    <d v="1900-01-01T00:00:00"/>
    <x v="0"/>
    <s v="No"/>
    <s v="No"/>
    <s v="None"/>
    <x v="1"/>
    <x v="5"/>
    <n v="16"/>
    <n v="176"/>
    <n v="39"/>
    <n v="137"/>
    <n v="0.77840909090909094"/>
    <n v="11"/>
    <n v="143.72445255474452"/>
  </r>
  <r>
    <n v="24"/>
    <d v="2023-01-08T00:00:00"/>
    <x v="0"/>
    <d v="1900-01-01T00:00:00"/>
    <x v="0"/>
    <s v="No"/>
    <s v="No"/>
    <s v="None"/>
    <x v="2"/>
    <x v="5"/>
    <n v="19"/>
    <n v="209"/>
    <n v="34"/>
    <n v="175"/>
    <n v="0.83732057416267947"/>
    <n v="11"/>
    <n v="143.72445255474452"/>
  </r>
  <r>
    <n v="25"/>
    <d v="2023-01-08T00:00:00"/>
    <x v="0"/>
    <d v="1900-01-01T00:00:00"/>
    <x v="0"/>
    <s v="No"/>
    <s v="No"/>
    <s v="None"/>
    <x v="3"/>
    <x v="5"/>
    <n v="21"/>
    <n v="231"/>
    <n v="46"/>
    <n v="185"/>
    <n v="0.80086580086580084"/>
    <n v="11"/>
    <n v="143.72445255474452"/>
  </r>
  <r>
    <n v="26"/>
    <d v="2023-01-09T00:00:00"/>
    <x v="0"/>
    <d v="1900-01-02T00:00:00"/>
    <x v="0"/>
    <s v="No"/>
    <s v="No"/>
    <s v="None"/>
    <x v="0"/>
    <x v="1"/>
    <n v="25"/>
    <n v="275"/>
    <n v="1"/>
    <n v="274"/>
    <n v="0.99636363636363634"/>
    <n v="11"/>
    <n v="143.72445255474452"/>
  </r>
  <r>
    <n v="27"/>
    <d v="2023-01-09T00:00:00"/>
    <x v="0"/>
    <d v="1900-01-02T00:00:00"/>
    <x v="0"/>
    <s v="No"/>
    <s v="No"/>
    <s v="None"/>
    <x v="1"/>
    <x v="1"/>
    <n v="16"/>
    <n v="176"/>
    <n v="6"/>
    <n v="170"/>
    <n v="0.96590909090909094"/>
    <n v="11"/>
    <n v="143.72445255474452"/>
  </r>
  <r>
    <n v="28"/>
    <d v="2023-01-09T00:00:00"/>
    <x v="0"/>
    <d v="1900-01-02T00:00:00"/>
    <x v="0"/>
    <s v="No"/>
    <s v="No"/>
    <s v="None"/>
    <x v="2"/>
    <x v="2"/>
    <n v="12"/>
    <n v="132"/>
    <n v="27"/>
    <n v="105"/>
    <n v="0.79545454545454541"/>
    <n v="11"/>
    <n v="143.72445255474452"/>
  </r>
  <r>
    <n v="29"/>
    <d v="2023-01-09T00:00:00"/>
    <x v="0"/>
    <d v="1900-01-02T00:00:00"/>
    <x v="0"/>
    <s v="No"/>
    <s v="No"/>
    <s v="None"/>
    <x v="3"/>
    <x v="3"/>
    <n v="22"/>
    <n v="242"/>
    <n v="33"/>
    <n v="209"/>
    <n v="0.86363636363636365"/>
    <n v="11"/>
    <n v="143.72445255474452"/>
  </r>
  <r>
    <n v="30"/>
    <d v="2023-01-10T00:00:00"/>
    <x v="0"/>
    <d v="1900-01-03T00:00:00"/>
    <x v="0"/>
    <s v="No"/>
    <s v="No"/>
    <s v="None"/>
    <x v="0"/>
    <x v="4"/>
    <n v="25"/>
    <n v="275"/>
    <n v="24"/>
    <n v="251"/>
    <n v="0.91272727272727272"/>
    <n v="11"/>
    <n v="143.72445255474452"/>
  </r>
  <r>
    <n v="31"/>
    <d v="2023-01-10T00:00:00"/>
    <x v="0"/>
    <d v="1900-01-03T00:00:00"/>
    <x v="0"/>
    <s v="No"/>
    <s v="No"/>
    <s v="None"/>
    <x v="1"/>
    <x v="5"/>
    <n v="13"/>
    <n v="143"/>
    <n v="16"/>
    <n v="127"/>
    <n v="0.88811188811188813"/>
    <n v="11"/>
    <n v="143.72445255474452"/>
  </r>
  <r>
    <n v="32"/>
    <d v="2023-01-10T00:00:00"/>
    <x v="0"/>
    <d v="1900-01-03T00:00:00"/>
    <x v="0"/>
    <s v="No"/>
    <s v="No"/>
    <s v="None"/>
    <x v="2"/>
    <x v="5"/>
    <n v="12"/>
    <n v="132"/>
    <n v="44"/>
    <n v="88"/>
    <n v="0.66666666666666663"/>
    <n v="11"/>
    <n v="143.72445255474452"/>
  </r>
  <r>
    <n v="33"/>
    <d v="2023-01-10T00:00:00"/>
    <x v="0"/>
    <d v="1900-01-03T00:00:00"/>
    <x v="0"/>
    <s v="No"/>
    <s v="No"/>
    <s v="None"/>
    <x v="3"/>
    <x v="5"/>
    <n v="16"/>
    <n v="176"/>
    <n v="21"/>
    <n v="155"/>
    <n v="0.88068181818181823"/>
    <n v="11"/>
    <n v="143.72445255474452"/>
  </r>
  <r>
    <n v="34"/>
    <d v="2023-01-11T00:00:00"/>
    <x v="0"/>
    <d v="1900-01-04T00:00:00"/>
    <x v="0"/>
    <s v="No"/>
    <s v="No"/>
    <s v="None"/>
    <x v="0"/>
    <x v="1"/>
    <n v="28"/>
    <n v="308"/>
    <n v="6"/>
    <n v="302"/>
    <n v="0.98051948051948057"/>
    <n v="11"/>
    <n v="143.72445255474452"/>
  </r>
  <r>
    <n v="35"/>
    <d v="2023-01-11T00:00:00"/>
    <x v="0"/>
    <d v="1900-01-04T00:00:00"/>
    <x v="0"/>
    <s v="No"/>
    <s v="No"/>
    <s v="None"/>
    <x v="1"/>
    <x v="1"/>
    <n v="21"/>
    <n v="231"/>
    <n v="44"/>
    <n v="187"/>
    <n v="0.80952380952380953"/>
    <n v="11"/>
    <n v="143.72445255474452"/>
  </r>
  <r>
    <n v="36"/>
    <d v="2023-01-11T00:00:00"/>
    <x v="0"/>
    <d v="1900-01-04T00:00:00"/>
    <x v="0"/>
    <s v="No"/>
    <s v="No"/>
    <s v="None"/>
    <x v="2"/>
    <x v="2"/>
    <n v="10"/>
    <n v="110"/>
    <n v="44"/>
    <n v="66"/>
    <n v="0.6"/>
    <n v="11"/>
    <n v="143.72445255474452"/>
  </r>
  <r>
    <n v="37"/>
    <d v="2023-01-11T00:00:00"/>
    <x v="0"/>
    <d v="1900-01-04T00:00:00"/>
    <x v="0"/>
    <s v="No"/>
    <s v="No"/>
    <s v="None"/>
    <x v="3"/>
    <x v="3"/>
    <n v="23"/>
    <n v="253"/>
    <n v="40"/>
    <n v="213"/>
    <n v="0.84189723320158105"/>
    <n v="11"/>
    <n v="143.72445255474452"/>
  </r>
  <r>
    <n v="38"/>
    <d v="2023-01-12T00:00:00"/>
    <x v="0"/>
    <d v="1900-01-05T00:00:00"/>
    <x v="0"/>
    <s v="No"/>
    <s v="No"/>
    <s v="None"/>
    <x v="0"/>
    <x v="4"/>
    <n v="30"/>
    <n v="330"/>
    <n v="13"/>
    <n v="317"/>
    <n v="0.96060606060606057"/>
    <n v="11"/>
    <n v="143.72445255474452"/>
  </r>
  <r>
    <n v="39"/>
    <d v="2023-01-12T00:00:00"/>
    <x v="0"/>
    <d v="1900-01-05T00:00:00"/>
    <x v="0"/>
    <s v="No"/>
    <s v="No"/>
    <s v="None"/>
    <x v="1"/>
    <x v="2"/>
    <n v="16"/>
    <n v="176"/>
    <n v="4"/>
    <n v="172"/>
    <n v="0.97727272727272729"/>
    <n v="11"/>
    <n v="143.72445255474452"/>
  </r>
  <r>
    <n v="40"/>
    <d v="2023-01-12T00:00:00"/>
    <x v="0"/>
    <d v="1900-01-05T00:00:00"/>
    <x v="0"/>
    <s v="No"/>
    <s v="No"/>
    <s v="None"/>
    <x v="2"/>
    <x v="2"/>
    <n v="18"/>
    <n v="198"/>
    <n v="48"/>
    <n v="150"/>
    <n v="0.75757575757575757"/>
    <n v="11"/>
    <n v="143.72445255474452"/>
  </r>
  <r>
    <n v="41"/>
    <d v="2023-01-12T00:00:00"/>
    <x v="0"/>
    <d v="1900-01-05T00:00:00"/>
    <x v="0"/>
    <s v="No"/>
    <s v="No"/>
    <s v="None"/>
    <x v="3"/>
    <x v="3"/>
    <n v="22"/>
    <n v="242"/>
    <n v="49"/>
    <n v="193"/>
    <n v="0.7975206611570248"/>
    <n v="11"/>
    <n v="143.72445255474452"/>
  </r>
  <r>
    <n v="42"/>
    <d v="2023-01-13T00:00:00"/>
    <x v="0"/>
    <d v="1900-01-06T00:00:00"/>
    <x v="0"/>
    <s v="No"/>
    <s v="No"/>
    <s v="None"/>
    <x v="0"/>
    <x v="1"/>
    <n v="30"/>
    <n v="330"/>
    <n v="47"/>
    <n v="283"/>
    <n v="0.85757575757575755"/>
    <n v="11"/>
    <n v="143.72445255474452"/>
  </r>
  <r>
    <n v="43"/>
    <d v="2023-01-15T00:00:00"/>
    <x v="0"/>
    <d v="1900-01-01T00:00:00"/>
    <x v="0"/>
    <s v="Yes"/>
    <s v="Yes"/>
    <s v="MLK Day Promotion"/>
    <x v="0"/>
    <x v="4"/>
    <n v="36"/>
    <n v="340"/>
    <n v="6"/>
    <n v="334"/>
    <n v="0.98235294117647054"/>
    <n v="9.4444444444444446"/>
    <n v="143.72445255474452"/>
  </r>
  <r>
    <n v="44"/>
    <d v="2023-01-15T00:00:00"/>
    <x v="0"/>
    <d v="1900-01-01T00:00:00"/>
    <x v="0"/>
    <s v="Yes"/>
    <s v="Yes"/>
    <s v="MLK Day Promotion"/>
    <x v="1"/>
    <x v="5"/>
    <n v="21"/>
    <n v="199"/>
    <n v="39"/>
    <n v="160"/>
    <n v="0.8040201005025126"/>
    <n v="9.4761904761904763"/>
    <n v="143.72445255474452"/>
  </r>
  <r>
    <n v="45"/>
    <d v="2023-01-15T00:00:00"/>
    <x v="0"/>
    <d v="1900-01-01T00:00:00"/>
    <x v="0"/>
    <s v="Yes"/>
    <s v="Yes"/>
    <s v="MLK Day Promotion"/>
    <x v="2"/>
    <x v="5"/>
    <n v="19"/>
    <n v="177"/>
    <n v="1"/>
    <n v="176"/>
    <n v="0.99435028248587576"/>
    <n v="9.3157894736842106"/>
    <n v="143.72445255474452"/>
  </r>
  <r>
    <n v="46"/>
    <d v="2023-01-15T00:00:00"/>
    <x v="0"/>
    <d v="1900-01-01T00:00:00"/>
    <x v="0"/>
    <s v="Yes"/>
    <s v="Yes"/>
    <s v="MLK Day Promotion"/>
    <x v="3"/>
    <x v="5"/>
    <n v="25"/>
    <n v="243"/>
    <n v="49"/>
    <n v="194"/>
    <n v="0.79835390946502061"/>
    <n v="9.7200000000000006"/>
    <n v="143.72445255474452"/>
  </r>
  <r>
    <n v="47"/>
    <d v="2023-01-16T00:00:00"/>
    <x v="0"/>
    <d v="1900-01-02T00:00:00"/>
    <x v="0"/>
    <s v="No"/>
    <s v="No"/>
    <s v="None"/>
    <x v="0"/>
    <x v="1"/>
    <n v="24"/>
    <n v="264"/>
    <n v="18"/>
    <n v="246"/>
    <n v="0.93181818181818177"/>
    <n v="11"/>
    <n v="143.72445255474452"/>
  </r>
  <r>
    <n v="48"/>
    <d v="2023-01-16T00:00:00"/>
    <x v="0"/>
    <d v="1900-01-02T00:00:00"/>
    <x v="0"/>
    <s v="No"/>
    <s v="No"/>
    <s v="None"/>
    <x v="1"/>
    <x v="1"/>
    <n v="18"/>
    <n v="198"/>
    <n v="1"/>
    <n v="197"/>
    <n v="0.99494949494949492"/>
    <n v="11"/>
    <n v="143.72445255474452"/>
  </r>
  <r>
    <n v="49"/>
    <d v="2023-01-16T00:00:00"/>
    <x v="0"/>
    <d v="1900-01-02T00:00:00"/>
    <x v="0"/>
    <s v="No"/>
    <s v="No"/>
    <s v="None"/>
    <x v="2"/>
    <x v="2"/>
    <n v="12"/>
    <n v="132"/>
    <n v="49"/>
    <n v="83"/>
    <n v="0.62878787878787878"/>
    <n v="11"/>
    <n v="143.72445255474452"/>
  </r>
  <r>
    <n v="50"/>
    <d v="2023-01-16T00:00:00"/>
    <x v="0"/>
    <d v="1900-01-02T00:00:00"/>
    <x v="0"/>
    <s v="No"/>
    <s v="No"/>
    <s v="None"/>
    <x v="3"/>
    <x v="3"/>
    <n v="19"/>
    <n v="209"/>
    <n v="18"/>
    <n v="191"/>
    <n v="0.9138755980861244"/>
    <n v="11"/>
    <n v="143.72445255474452"/>
  </r>
  <r>
    <n v="51"/>
    <d v="2023-01-17T00:00:00"/>
    <x v="0"/>
    <d v="1900-01-03T00:00:00"/>
    <x v="0"/>
    <s v="No"/>
    <s v="No"/>
    <s v="None"/>
    <x v="0"/>
    <x v="4"/>
    <n v="22"/>
    <n v="242"/>
    <n v="35"/>
    <n v="207"/>
    <n v="0.85537190082644632"/>
    <n v="11"/>
    <n v="143.72445255474452"/>
  </r>
  <r>
    <n v="52"/>
    <d v="2023-01-17T00:00:00"/>
    <x v="0"/>
    <d v="1900-01-03T00:00:00"/>
    <x v="0"/>
    <s v="No"/>
    <s v="No"/>
    <s v="None"/>
    <x v="1"/>
    <x v="5"/>
    <n v="13"/>
    <n v="143"/>
    <n v="23"/>
    <n v="120"/>
    <n v="0.83916083916083917"/>
    <n v="11"/>
    <n v="143.72445255474452"/>
  </r>
  <r>
    <n v="53"/>
    <d v="2023-01-17T00:00:00"/>
    <x v="0"/>
    <d v="1900-01-03T00:00:00"/>
    <x v="0"/>
    <s v="No"/>
    <s v="No"/>
    <s v="None"/>
    <x v="2"/>
    <x v="5"/>
    <n v="11"/>
    <n v="121"/>
    <n v="7"/>
    <n v="114"/>
    <n v="0.94214876033057848"/>
    <n v="11"/>
    <n v="143.72445255474452"/>
  </r>
  <r>
    <n v="54"/>
    <d v="2023-01-17T00:00:00"/>
    <x v="0"/>
    <d v="1900-01-03T00:00:00"/>
    <x v="0"/>
    <s v="No"/>
    <s v="No"/>
    <s v="None"/>
    <x v="3"/>
    <x v="5"/>
    <n v="15"/>
    <n v="165"/>
    <n v="44"/>
    <n v="121"/>
    <n v="0.73333333333333328"/>
    <n v="11"/>
    <n v="143.72445255474452"/>
  </r>
  <r>
    <n v="55"/>
    <d v="2023-01-18T00:00:00"/>
    <x v="0"/>
    <d v="1900-01-04T00:00:00"/>
    <x v="0"/>
    <s v="No"/>
    <s v="No"/>
    <s v="None"/>
    <x v="0"/>
    <x v="1"/>
    <n v="23"/>
    <n v="253"/>
    <n v="31"/>
    <n v="222"/>
    <n v="0.87747035573122534"/>
    <n v="11"/>
    <n v="143.72445255474452"/>
  </r>
  <r>
    <n v="56"/>
    <d v="2023-01-18T00:00:00"/>
    <x v="0"/>
    <d v="1900-01-04T00:00:00"/>
    <x v="0"/>
    <s v="No"/>
    <s v="No"/>
    <s v="None"/>
    <x v="1"/>
    <x v="1"/>
    <n v="16"/>
    <n v="176"/>
    <n v="19"/>
    <n v="157"/>
    <n v="0.89204545454545459"/>
    <n v="11"/>
    <n v="143.72445255474452"/>
  </r>
  <r>
    <n v="57"/>
    <d v="2023-01-18T00:00:00"/>
    <x v="0"/>
    <d v="1900-01-04T00:00:00"/>
    <x v="0"/>
    <s v="No"/>
    <s v="No"/>
    <s v="None"/>
    <x v="2"/>
    <x v="2"/>
    <n v="12"/>
    <n v="132"/>
    <n v="16"/>
    <n v="116"/>
    <n v="0.87878787878787878"/>
    <n v="11"/>
    <n v="143.72445255474452"/>
  </r>
  <r>
    <n v="58"/>
    <d v="2023-01-18T00:00:00"/>
    <x v="0"/>
    <d v="1900-01-04T00:00:00"/>
    <x v="0"/>
    <s v="No"/>
    <s v="No"/>
    <s v="None"/>
    <x v="3"/>
    <x v="3"/>
    <n v="18"/>
    <n v="198"/>
    <n v="4"/>
    <n v="194"/>
    <n v="0.97979797979797978"/>
    <n v="11"/>
    <n v="143.72445255474452"/>
  </r>
  <r>
    <n v="59"/>
    <d v="2023-01-19T00:00:00"/>
    <x v="0"/>
    <d v="1900-01-05T00:00:00"/>
    <x v="0"/>
    <s v="No"/>
    <s v="No"/>
    <s v="None"/>
    <x v="0"/>
    <x v="4"/>
    <n v="31"/>
    <n v="341"/>
    <n v="41"/>
    <n v="300"/>
    <n v="0.87976539589442815"/>
    <n v="11"/>
    <n v="143.72445255474452"/>
  </r>
  <r>
    <n v="60"/>
    <d v="2023-01-19T00:00:00"/>
    <x v="0"/>
    <d v="1900-01-05T00:00:00"/>
    <x v="0"/>
    <s v="No"/>
    <s v="No"/>
    <s v="None"/>
    <x v="1"/>
    <x v="2"/>
    <n v="18"/>
    <n v="198"/>
    <n v="46"/>
    <n v="152"/>
    <n v="0.76767676767676762"/>
    <n v="11"/>
    <n v="143.72445255474452"/>
  </r>
  <r>
    <n v="61"/>
    <d v="2023-01-19T00:00:00"/>
    <x v="0"/>
    <d v="1900-01-05T00:00:00"/>
    <x v="0"/>
    <s v="No"/>
    <s v="No"/>
    <s v="None"/>
    <x v="2"/>
    <x v="2"/>
    <n v="14"/>
    <n v="154"/>
    <n v="4"/>
    <n v="150"/>
    <n v="0.97402597402597402"/>
    <n v="11"/>
    <n v="143.72445255474452"/>
  </r>
  <r>
    <n v="62"/>
    <d v="2023-01-19T00:00:00"/>
    <x v="0"/>
    <d v="1900-01-05T00:00:00"/>
    <x v="0"/>
    <s v="No"/>
    <s v="No"/>
    <s v="None"/>
    <x v="3"/>
    <x v="3"/>
    <n v="25"/>
    <n v="275"/>
    <n v="41"/>
    <n v="234"/>
    <n v="0.85090909090909095"/>
    <n v="11"/>
    <n v="143.72445255474452"/>
  </r>
  <r>
    <n v="63"/>
    <d v="2023-01-20T00:00:00"/>
    <x v="0"/>
    <d v="1900-01-06T00:00:00"/>
    <x v="0"/>
    <s v="No"/>
    <s v="No"/>
    <s v="None"/>
    <x v="0"/>
    <x v="1"/>
    <n v="29"/>
    <n v="319"/>
    <n v="47"/>
    <n v="272"/>
    <n v="0.85266457680250785"/>
    <n v="11"/>
    <n v="143.72445255474452"/>
  </r>
  <r>
    <n v="64"/>
    <d v="2023-01-22T00:00:00"/>
    <x v="0"/>
    <d v="1900-01-01T00:00:00"/>
    <x v="0"/>
    <s v="No"/>
    <s v="No"/>
    <s v="None"/>
    <x v="0"/>
    <x v="4"/>
    <n v="26"/>
    <n v="286"/>
    <n v="38"/>
    <n v="248"/>
    <n v="0.86713286713286708"/>
    <n v="11"/>
    <n v="143.72445255474452"/>
  </r>
  <r>
    <n v="65"/>
    <d v="2023-01-22T00:00:00"/>
    <x v="0"/>
    <d v="1900-01-01T00:00:00"/>
    <x v="0"/>
    <s v="No"/>
    <s v="No"/>
    <s v="None"/>
    <x v="1"/>
    <x v="5"/>
    <n v="13"/>
    <n v="143"/>
    <n v="2"/>
    <n v="141"/>
    <n v="0.98601398601398604"/>
    <n v="11"/>
    <n v="143.72445255474452"/>
  </r>
  <r>
    <n v="66"/>
    <d v="2023-01-22T00:00:00"/>
    <x v="0"/>
    <d v="1900-01-01T00:00:00"/>
    <x v="0"/>
    <s v="No"/>
    <s v="No"/>
    <s v="None"/>
    <x v="2"/>
    <x v="5"/>
    <n v="13"/>
    <n v="143"/>
    <n v="35"/>
    <n v="108"/>
    <n v="0.75524475524475521"/>
    <n v="11"/>
    <n v="143.72445255474452"/>
  </r>
  <r>
    <n v="67"/>
    <d v="2023-01-22T00:00:00"/>
    <x v="0"/>
    <d v="1900-01-01T00:00:00"/>
    <x v="0"/>
    <s v="No"/>
    <s v="No"/>
    <s v="None"/>
    <x v="3"/>
    <x v="5"/>
    <n v="22"/>
    <n v="242"/>
    <n v="17"/>
    <n v="225"/>
    <n v="0.92975206611570249"/>
    <n v="11"/>
    <n v="143.72445255474452"/>
  </r>
  <r>
    <n v="68"/>
    <d v="2023-01-23T00:00:00"/>
    <x v="0"/>
    <d v="1900-01-02T00:00:00"/>
    <x v="0"/>
    <s v="No"/>
    <s v="No"/>
    <s v="None"/>
    <x v="0"/>
    <x v="1"/>
    <n v="23"/>
    <n v="253"/>
    <n v="28"/>
    <n v="225"/>
    <n v="0.88932806324110669"/>
    <n v="11"/>
    <n v="143.72445255474452"/>
  </r>
  <r>
    <n v="69"/>
    <d v="2023-01-23T00:00:00"/>
    <x v="0"/>
    <d v="1900-01-02T00:00:00"/>
    <x v="0"/>
    <s v="No"/>
    <s v="No"/>
    <s v="None"/>
    <x v="1"/>
    <x v="1"/>
    <n v="14"/>
    <n v="154"/>
    <n v="37"/>
    <n v="117"/>
    <n v="0.75974025974025972"/>
    <n v="11"/>
    <n v="143.72445255474452"/>
  </r>
  <r>
    <n v="70"/>
    <d v="2023-01-23T00:00:00"/>
    <x v="0"/>
    <d v="1900-01-02T00:00:00"/>
    <x v="0"/>
    <s v="No"/>
    <s v="No"/>
    <s v="None"/>
    <x v="2"/>
    <x v="2"/>
    <n v="8"/>
    <n v="88"/>
    <n v="12"/>
    <n v="76"/>
    <n v="0.86363636363636365"/>
    <n v="11"/>
    <n v="143.72445255474452"/>
  </r>
  <r>
    <n v="71"/>
    <d v="2023-01-23T00:00:00"/>
    <x v="0"/>
    <d v="1900-01-02T00:00:00"/>
    <x v="0"/>
    <s v="No"/>
    <s v="No"/>
    <s v="None"/>
    <x v="3"/>
    <x v="3"/>
    <n v="14"/>
    <n v="154"/>
    <n v="23"/>
    <n v="131"/>
    <n v="0.85064935064935066"/>
    <n v="11"/>
    <n v="143.72445255474452"/>
  </r>
  <r>
    <n v="72"/>
    <d v="2023-01-24T00:00:00"/>
    <x v="0"/>
    <d v="1900-01-03T00:00:00"/>
    <x v="0"/>
    <s v="No"/>
    <s v="No"/>
    <s v="None"/>
    <x v="0"/>
    <x v="4"/>
    <n v="21"/>
    <n v="231"/>
    <n v="40"/>
    <n v="191"/>
    <n v="0.82683982683982682"/>
    <n v="11"/>
    <n v="143.72445255474452"/>
  </r>
  <r>
    <n v="73"/>
    <d v="2023-01-24T00:00:00"/>
    <x v="0"/>
    <d v="1900-01-03T00:00:00"/>
    <x v="0"/>
    <s v="No"/>
    <s v="No"/>
    <s v="None"/>
    <x v="1"/>
    <x v="5"/>
    <n v="11"/>
    <n v="121"/>
    <n v="7"/>
    <n v="114"/>
    <n v="0.94214876033057848"/>
    <n v="11"/>
    <n v="143.72445255474452"/>
  </r>
  <r>
    <n v="74"/>
    <d v="2023-01-24T00:00:00"/>
    <x v="0"/>
    <d v="1900-01-03T00:00:00"/>
    <x v="0"/>
    <s v="No"/>
    <s v="No"/>
    <s v="None"/>
    <x v="2"/>
    <x v="5"/>
    <n v="10"/>
    <n v="110"/>
    <n v="3"/>
    <n v="107"/>
    <n v="0.97272727272727277"/>
    <n v="11"/>
    <n v="143.72445255474452"/>
  </r>
  <r>
    <n v="75"/>
    <d v="2023-01-24T00:00:00"/>
    <x v="0"/>
    <d v="1900-01-03T00:00:00"/>
    <x v="0"/>
    <s v="No"/>
    <s v="No"/>
    <s v="None"/>
    <x v="3"/>
    <x v="5"/>
    <n v="13"/>
    <n v="143"/>
    <n v="14"/>
    <n v="129"/>
    <n v="0.90209790209790208"/>
    <n v="11"/>
    <n v="143.72445255474452"/>
  </r>
  <r>
    <n v="76"/>
    <d v="2023-01-25T00:00:00"/>
    <x v="0"/>
    <d v="1900-01-04T00:00:00"/>
    <x v="0"/>
    <s v="No"/>
    <s v="No"/>
    <s v="None"/>
    <x v="0"/>
    <x v="1"/>
    <n v="25"/>
    <n v="275"/>
    <n v="14"/>
    <n v="261"/>
    <n v="0.9490909090909091"/>
    <n v="11"/>
    <n v="143.72445255474452"/>
  </r>
  <r>
    <n v="77"/>
    <d v="2023-01-25T00:00:00"/>
    <x v="0"/>
    <d v="1900-01-04T00:00:00"/>
    <x v="0"/>
    <s v="No"/>
    <s v="No"/>
    <s v="None"/>
    <x v="1"/>
    <x v="1"/>
    <n v="12"/>
    <n v="132"/>
    <n v="20"/>
    <n v="112"/>
    <n v="0.84848484848484851"/>
    <n v="11"/>
    <n v="143.72445255474452"/>
  </r>
  <r>
    <n v="78"/>
    <d v="2023-01-25T00:00:00"/>
    <x v="0"/>
    <d v="1900-01-04T00:00:00"/>
    <x v="0"/>
    <s v="No"/>
    <s v="No"/>
    <s v="None"/>
    <x v="2"/>
    <x v="2"/>
    <n v="12"/>
    <n v="132"/>
    <n v="7"/>
    <n v="125"/>
    <n v="0.94696969696969702"/>
    <n v="11"/>
    <n v="143.72445255474452"/>
  </r>
  <r>
    <n v="79"/>
    <d v="2023-01-25T00:00:00"/>
    <x v="0"/>
    <d v="1900-01-04T00:00:00"/>
    <x v="0"/>
    <s v="No"/>
    <s v="No"/>
    <s v="None"/>
    <x v="3"/>
    <x v="3"/>
    <n v="18"/>
    <n v="198"/>
    <n v="46"/>
    <n v="152"/>
    <n v="0.76767676767676762"/>
    <n v="11"/>
    <n v="143.72445255474452"/>
  </r>
  <r>
    <n v="80"/>
    <d v="2023-01-26T00:00:00"/>
    <x v="0"/>
    <d v="1900-01-05T00:00:00"/>
    <x v="0"/>
    <s v="No"/>
    <s v="No"/>
    <s v="None"/>
    <x v="0"/>
    <x v="4"/>
    <n v="23"/>
    <n v="253"/>
    <n v="4"/>
    <n v="249"/>
    <n v="0.98418972332015808"/>
    <n v="11"/>
    <n v="143.72445255474452"/>
  </r>
  <r>
    <n v="81"/>
    <d v="2023-01-26T00:00:00"/>
    <x v="0"/>
    <d v="1900-01-05T00:00:00"/>
    <x v="0"/>
    <s v="No"/>
    <s v="No"/>
    <s v="None"/>
    <x v="1"/>
    <x v="2"/>
    <n v="15"/>
    <n v="165"/>
    <n v="28"/>
    <n v="137"/>
    <n v="0.83030303030303032"/>
    <n v="11"/>
    <n v="143.72445255474452"/>
  </r>
  <r>
    <n v="82"/>
    <d v="2023-01-26T00:00:00"/>
    <x v="0"/>
    <d v="1900-01-05T00:00:00"/>
    <x v="0"/>
    <s v="No"/>
    <s v="No"/>
    <s v="None"/>
    <x v="2"/>
    <x v="2"/>
    <n v="15"/>
    <n v="165"/>
    <n v="36"/>
    <n v="129"/>
    <n v="0.78181818181818186"/>
    <n v="11"/>
    <n v="143.72445255474452"/>
  </r>
  <r>
    <n v="83"/>
    <d v="2023-01-26T00:00:00"/>
    <x v="0"/>
    <d v="1900-01-05T00:00:00"/>
    <x v="0"/>
    <s v="No"/>
    <s v="No"/>
    <s v="None"/>
    <x v="3"/>
    <x v="3"/>
    <n v="23"/>
    <n v="253"/>
    <n v="3"/>
    <n v="250"/>
    <n v="0.98814229249011853"/>
    <n v="11"/>
    <n v="143.72445255474452"/>
  </r>
  <r>
    <n v="84"/>
    <d v="2023-01-27T00:00:00"/>
    <x v="0"/>
    <d v="1900-01-06T00:00:00"/>
    <x v="0"/>
    <s v="No"/>
    <s v="No"/>
    <s v="None"/>
    <x v="0"/>
    <x v="1"/>
    <n v="29"/>
    <n v="319"/>
    <n v="24"/>
    <n v="295"/>
    <n v="0.92476489028213171"/>
    <n v="11"/>
    <n v="143.72445255474452"/>
  </r>
  <r>
    <n v="85"/>
    <d v="2023-01-29T00:00:00"/>
    <x v="0"/>
    <d v="1900-01-01T00:00:00"/>
    <x v="0"/>
    <s v="No"/>
    <s v="No"/>
    <s v="None"/>
    <x v="0"/>
    <x v="4"/>
    <n v="25"/>
    <n v="275"/>
    <n v="27"/>
    <n v="248"/>
    <n v="0.90181818181818185"/>
    <n v="11"/>
    <n v="143.72445255474452"/>
  </r>
  <r>
    <n v="86"/>
    <d v="2023-01-29T00:00:00"/>
    <x v="0"/>
    <d v="1900-01-01T00:00:00"/>
    <x v="0"/>
    <s v="No"/>
    <s v="No"/>
    <s v="None"/>
    <x v="1"/>
    <x v="5"/>
    <n v="13"/>
    <n v="143"/>
    <n v="13"/>
    <n v="130"/>
    <n v="0.90909090909090906"/>
    <n v="11"/>
    <n v="143.72445255474452"/>
  </r>
  <r>
    <n v="87"/>
    <d v="2023-01-29T00:00:00"/>
    <x v="0"/>
    <d v="1900-01-01T00:00:00"/>
    <x v="0"/>
    <s v="No"/>
    <s v="No"/>
    <s v="None"/>
    <x v="2"/>
    <x v="5"/>
    <n v="17"/>
    <n v="187"/>
    <n v="19"/>
    <n v="168"/>
    <n v="0.89839572192513373"/>
    <n v="11"/>
    <n v="143.72445255474452"/>
  </r>
  <r>
    <n v="88"/>
    <d v="2023-01-29T00:00:00"/>
    <x v="0"/>
    <d v="1900-01-01T00:00:00"/>
    <x v="0"/>
    <s v="No"/>
    <s v="No"/>
    <s v="None"/>
    <x v="3"/>
    <x v="5"/>
    <n v="19"/>
    <n v="209"/>
    <n v="4"/>
    <n v="205"/>
    <n v="0.98086124401913877"/>
    <n v="11"/>
    <n v="143.72445255474452"/>
  </r>
  <r>
    <n v="89"/>
    <d v="2023-01-30T00:00:00"/>
    <x v="0"/>
    <d v="1900-01-02T00:00:00"/>
    <x v="0"/>
    <s v="No"/>
    <s v="No"/>
    <s v="None"/>
    <x v="0"/>
    <x v="1"/>
    <n v="21"/>
    <n v="231"/>
    <n v="4"/>
    <n v="227"/>
    <n v="0.98268398268398272"/>
    <n v="11"/>
    <n v="143.72445255474452"/>
  </r>
  <r>
    <n v="90"/>
    <d v="2023-01-30T00:00:00"/>
    <x v="0"/>
    <d v="1900-01-02T00:00:00"/>
    <x v="0"/>
    <s v="No"/>
    <s v="No"/>
    <s v="None"/>
    <x v="1"/>
    <x v="1"/>
    <n v="15"/>
    <n v="165"/>
    <n v="13"/>
    <n v="152"/>
    <n v="0.92121212121212126"/>
    <n v="11"/>
    <n v="143.72445255474452"/>
  </r>
  <r>
    <n v="91"/>
    <d v="2023-01-30T00:00:00"/>
    <x v="0"/>
    <d v="1900-01-02T00:00:00"/>
    <x v="0"/>
    <s v="No"/>
    <s v="No"/>
    <s v="None"/>
    <x v="2"/>
    <x v="2"/>
    <n v="10"/>
    <n v="110"/>
    <n v="18"/>
    <n v="92"/>
    <n v="0.83636363636363631"/>
    <n v="11"/>
    <n v="143.72445255474452"/>
  </r>
  <r>
    <n v="92"/>
    <d v="2023-01-30T00:00:00"/>
    <x v="0"/>
    <d v="1900-01-02T00:00:00"/>
    <x v="0"/>
    <s v="No"/>
    <s v="No"/>
    <s v="None"/>
    <x v="3"/>
    <x v="3"/>
    <n v="18"/>
    <n v="198"/>
    <n v="33"/>
    <n v="165"/>
    <n v="0.83333333333333337"/>
    <n v="11"/>
    <n v="143.72445255474452"/>
  </r>
  <r>
    <n v="93"/>
    <d v="2023-01-31T00:00:00"/>
    <x v="0"/>
    <d v="1900-01-03T00:00:00"/>
    <x v="0"/>
    <s v="No"/>
    <s v="No"/>
    <s v="None"/>
    <x v="0"/>
    <x v="4"/>
    <n v="21"/>
    <n v="231"/>
    <n v="14"/>
    <n v="217"/>
    <n v="0.93939393939393945"/>
    <n v="11"/>
    <n v="143.72445255474452"/>
  </r>
  <r>
    <n v="94"/>
    <d v="2023-01-31T00:00:00"/>
    <x v="0"/>
    <d v="1900-01-03T00:00:00"/>
    <x v="0"/>
    <s v="No"/>
    <s v="No"/>
    <s v="None"/>
    <x v="1"/>
    <x v="5"/>
    <n v="12"/>
    <n v="132"/>
    <n v="8"/>
    <n v="124"/>
    <n v="0.93939393939393945"/>
    <n v="11"/>
    <n v="143.72445255474452"/>
  </r>
  <r>
    <n v="95"/>
    <d v="2023-01-31T00:00:00"/>
    <x v="0"/>
    <d v="1900-01-03T00:00:00"/>
    <x v="0"/>
    <s v="No"/>
    <s v="No"/>
    <s v="None"/>
    <x v="2"/>
    <x v="5"/>
    <n v="9"/>
    <n v="99"/>
    <n v="6"/>
    <n v="93"/>
    <n v="0.93939393939393945"/>
    <n v="11"/>
    <n v="143.72445255474452"/>
  </r>
  <r>
    <n v="96"/>
    <d v="2023-01-31T00:00:00"/>
    <x v="0"/>
    <d v="1900-01-03T00:00:00"/>
    <x v="0"/>
    <s v="No"/>
    <s v="No"/>
    <s v="None"/>
    <x v="3"/>
    <x v="5"/>
    <n v="14"/>
    <n v="154"/>
    <n v="35"/>
    <n v="119"/>
    <n v="0.77272727272727271"/>
    <n v="11"/>
    <n v="143.72445255474452"/>
  </r>
  <r>
    <n v="97"/>
    <d v="2023-02-01T00:00:00"/>
    <x v="1"/>
    <d v="1900-01-04T00:00:00"/>
    <x v="0"/>
    <s v="No"/>
    <s v="No"/>
    <s v="None"/>
    <x v="0"/>
    <x v="1"/>
    <n v="15"/>
    <n v="165"/>
    <n v="7"/>
    <n v="158"/>
    <n v="0.95757575757575752"/>
    <n v="11"/>
    <n v="144.25091575091574"/>
  </r>
  <r>
    <n v="98"/>
    <d v="2023-02-01T00:00:00"/>
    <x v="1"/>
    <d v="1900-01-04T00:00:00"/>
    <x v="0"/>
    <s v="No"/>
    <s v="No"/>
    <s v="None"/>
    <x v="1"/>
    <x v="1"/>
    <n v="11"/>
    <n v="121"/>
    <n v="18"/>
    <n v="103"/>
    <n v="0.85123966942148765"/>
    <n v="11"/>
    <n v="144.25091575091574"/>
  </r>
  <r>
    <n v="99"/>
    <d v="2023-02-01T00:00:00"/>
    <x v="1"/>
    <d v="1900-01-04T00:00:00"/>
    <x v="0"/>
    <s v="No"/>
    <s v="No"/>
    <s v="None"/>
    <x v="2"/>
    <x v="2"/>
    <n v="5"/>
    <n v="55"/>
    <n v="37"/>
    <n v="18"/>
    <n v="0.32727272727272727"/>
    <n v="11"/>
    <n v="144.25091575091574"/>
  </r>
  <r>
    <n v="100"/>
    <d v="2023-02-01T00:00:00"/>
    <x v="1"/>
    <d v="1900-01-04T00:00:00"/>
    <x v="0"/>
    <s v="No"/>
    <s v="No"/>
    <s v="None"/>
    <x v="3"/>
    <x v="3"/>
    <n v="13"/>
    <n v="143"/>
    <n v="14"/>
    <n v="129"/>
    <n v="0.90209790209790208"/>
    <n v="11"/>
    <n v="144.25091575091574"/>
  </r>
  <r>
    <n v="101"/>
    <d v="2023-02-02T00:00:00"/>
    <x v="1"/>
    <d v="1900-01-05T00:00:00"/>
    <x v="0"/>
    <s v="No"/>
    <s v="Yes"/>
    <s v="Groundhog Day Promotion"/>
    <x v="0"/>
    <x v="4"/>
    <n v="25"/>
    <n v="235"/>
    <n v="18"/>
    <n v="217"/>
    <n v="0.92340425531914894"/>
    <n v="9.4"/>
    <n v="143.97058823529412"/>
  </r>
  <r>
    <n v="102"/>
    <d v="2023-02-02T00:00:00"/>
    <x v="1"/>
    <d v="1900-01-05T00:00:00"/>
    <x v="0"/>
    <s v="No"/>
    <s v="Yes"/>
    <s v="Groundhog Day Promotion"/>
    <x v="1"/>
    <x v="2"/>
    <n v="19"/>
    <n v="153"/>
    <n v="18"/>
    <n v="135"/>
    <n v="0.88235294117647056"/>
    <n v="8.0526315789473681"/>
    <n v="143.97058823529412"/>
  </r>
  <r>
    <n v="103"/>
    <d v="2023-02-02T00:00:00"/>
    <x v="1"/>
    <d v="1900-01-05T00:00:00"/>
    <x v="0"/>
    <s v="No"/>
    <s v="Yes"/>
    <s v="Groundhog Day Promotion"/>
    <x v="2"/>
    <x v="2"/>
    <n v="15"/>
    <n v="109"/>
    <n v="34"/>
    <n v="75"/>
    <n v="0.68807339449541283"/>
    <n v="7.2666666666666666"/>
    <n v="143.97058823529412"/>
  </r>
  <r>
    <n v="104"/>
    <d v="2023-02-02T00:00:00"/>
    <x v="1"/>
    <d v="1900-01-05T00:00:00"/>
    <x v="0"/>
    <s v="No"/>
    <s v="Yes"/>
    <s v="Groundhog Day Promotion"/>
    <x v="3"/>
    <x v="3"/>
    <n v="21"/>
    <n v="199"/>
    <n v="6"/>
    <n v="193"/>
    <n v="0.96984924623115576"/>
    <n v="9.4761904761904763"/>
    <n v="143.97058823529412"/>
  </r>
  <r>
    <n v="105"/>
    <d v="2023-02-03T00:00:00"/>
    <x v="1"/>
    <d v="1900-01-06T00:00:00"/>
    <x v="0"/>
    <s v="No"/>
    <s v="No"/>
    <s v="None"/>
    <x v="0"/>
    <x v="1"/>
    <n v="19"/>
    <n v="209"/>
    <n v="5"/>
    <n v="204"/>
    <n v="0.97607655502392343"/>
    <n v="11"/>
    <n v="143.78413284132841"/>
  </r>
  <r>
    <n v="106"/>
    <d v="2023-02-05T00:00:00"/>
    <x v="1"/>
    <d v="1900-01-01T00:00:00"/>
    <x v="0"/>
    <s v="No"/>
    <s v="No"/>
    <s v="None"/>
    <x v="0"/>
    <x v="4"/>
    <n v="22"/>
    <n v="242"/>
    <n v="39"/>
    <n v="203"/>
    <n v="0.83884297520661155"/>
    <n v="11"/>
    <n v="143.12639405204462"/>
  </r>
  <r>
    <n v="107"/>
    <d v="2023-02-05T00:00:00"/>
    <x v="1"/>
    <d v="1900-01-01T00:00:00"/>
    <x v="0"/>
    <s v="No"/>
    <s v="No"/>
    <s v="None"/>
    <x v="1"/>
    <x v="5"/>
    <n v="12"/>
    <n v="132"/>
    <n v="37"/>
    <n v="95"/>
    <n v="0.71969696969696972"/>
    <n v="11"/>
    <n v="143.12639405204462"/>
  </r>
  <r>
    <n v="108"/>
    <d v="2023-02-05T00:00:00"/>
    <x v="1"/>
    <d v="1900-01-01T00:00:00"/>
    <x v="0"/>
    <s v="No"/>
    <s v="No"/>
    <s v="None"/>
    <x v="2"/>
    <x v="5"/>
    <n v="8"/>
    <n v="88"/>
    <n v="48"/>
    <n v="40"/>
    <n v="0.45454545454545453"/>
    <n v="11"/>
    <n v="143.12639405204462"/>
  </r>
  <r>
    <n v="109"/>
    <d v="2023-02-05T00:00:00"/>
    <x v="1"/>
    <d v="1900-01-01T00:00:00"/>
    <x v="0"/>
    <s v="No"/>
    <s v="No"/>
    <s v="None"/>
    <x v="3"/>
    <x v="5"/>
    <n v="14"/>
    <n v="154"/>
    <n v="20"/>
    <n v="134"/>
    <n v="0.87012987012987009"/>
    <n v="11"/>
    <n v="143.12639405204462"/>
  </r>
  <r>
    <n v="110"/>
    <d v="2023-02-06T00:00:00"/>
    <x v="1"/>
    <d v="1900-01-02T00:00:00"/>
    <x v="0"/>
    <s v="No"/>
    <s v="No"/>
    <s v="None"/>
    <x v="0"/>
    <x v="1"/>
    <n v="19"/>
    <n v="209"/>
    <n v="40"/>
    <n v="169"/>
    <n v="0.80861244019138756"/>
    <n v="11"/>
    <n v="142.9106976744186"/>
  </r>
  <r>
    <n v="111"/>
    <d v="2023-02-06T00:00:00"/>
    <x v="1"/>
    <d v="1900-01-02T00:00:00"/>
    <x v="0"/>
    <s v="No"/>
    <s v="No"/>
    <s v="None"/>
    <x v="1"/>
    <x v="1"/>
    <n v="11"/>
    <n v="121"/>
    <n v="50"/>
    <n v="71"/>
    <n v="0.58677685950413228"/>
    <n v="11"/>
    <n v="142.9106976744186"/>
  </r>
  <r>
    <n v="112"/>
    <d v="2023-02-06T00:00:00"/>
    <x v="1"/>
    <d v="1900-01-02T00:00:00"/>
    <x v="0"/>
    <s v="No"/>
    <s v="No"/>
    <s v="None"/>
    <x v="2"/>
    <x v="2"/>
    <n v="5"/>
    <n v="55"/>
    <n v="41"/>
    <n v="14"/>
    <n v="0.25454545454545452"/>
    <n v="11"/>
    <n v="142.9106976744186"/>
  </r>
  <r>
    <n v="113"/>
    <d v="2023-02-06T00:00:00"/>
    <x v="1"/>
    <d v="1900-01-02T00:00:00"/>
    <x v="0"/>
    <s v="No"/>
    <s v="No"/>
    <s v="None"/>
    <x v="3"/>
    <x v="3"/>
    <n v="14"/>
    <n v="154"/>
    <n v="50"/>
    <n v="104"/>
    <n v="0.67532467532467533"/>
    <n v="11"/>
    <n v="142.9106976744186"/>
  </r>
  <r>
    <n v="114"/>
    <d v="2023-02-07T00:00:00"/>
    <x v="1"/>
    <d v="1900-01-03T00:00:00"/>
    <x v="0"/>
    <s v="No"/>
    <s v="No"/>
    <s v="None"/>
    <x v="0"/>
    <x v="4"/>
    <n v="16"/>
    <n v="176"/>
    <n v="14"/>
    <n v="162"/>
    <n v="0.92045454545454541"/>
    <n v="11"/>
    <n v="142.9106976744186"/>
  </r>
  <r>
    <n v="115"/>
    <d v="2023-02-07T00:00:00"/>
    <x v="1"/>
    <d v="1900-01-03T00:00:00"/>
    <x v="0"/>
    <s v="No"/>
    <s v="No"/>
    <s v="None"/>
    <x v="1"/>
    <x v="5"/>
    <n v="6"/>
    <n v="66"/>
    <n v="43"/>
    <n v="23"/>
    <n v="0.34848484848484851"/>
    <n v="11"/>
    <n v="142.9106976744186"/>
  </r>
  <r>
    <n v="116"/>
    <d v="2023-02-07T00:00:00"/>
    <x v="1"/>
    <d v="1900-01-03T00:00:00"/>
    <x v="0"/>
    <s v="No"/>
    <s v="No"/>
    <s v="None"/>
    <x v="2"/>
    <x v="5"/>
    <n v="5"/>
    <n v="55"/>
    <n v="17"/>
    <n v="38"/>
    <n v="0.69090909090909092"/>
    <n v="11"/>
    <n v="142.9106976744186"/>
  </r>
  <r>
    <n v="117"/>
    <d v="2023-02-07T00:00:00"/>
    <x v="1"/>
    <d v="1900-01-03T00:00:00"/>
    <x v="0"/>
    <s v="No"/>
    <s v="No"/>
    <s v="None"/>
    <x v="3"/>
    <x v="5"/>
    <n v="10"/>
    <n v="110"/>
    <n v="16"/>
    <n v="94"/>
    <n v="0.8545454545454545"/>
    <n v="11"/>
    <n v="142.9106976744186"/>
  </r>
  <r>
    <n v="118"/>
    <d v="2023-02-08T00:00:00"/>
    <x v="1"/>
    <d v="1900-01-04T00:00:00"/>
    <x v="0"/>
    <s v="No"/>
    <s v="No"/>
    <s v="None"/>
    <x v="0"/>
    <x v="1"/>
    <n v="16"/>
    <n v="176"/>
    <n v="39"/>
    <n v="137"/>
    <n v="0.77840909090909094"/>
    <n v="11"/>
    <n v="142.54061624649859"/>
  </r>
  <r>
    <n v="119"/>
    <d v="2023-02-08T00:00:00"/>
    <x v="1"/>
    <d v="1900-01-04T00:00:00"/>
    <x v="0"/>
    <s v="No"/>
    <s v="No"/>
    <s v="None"/>
    <x v="1"/>
    <x v="1"/>
    <n v="13"/>
    <n v="143"/>
    <n v="45"/>
    <n v="98"/>
    <n v="0.68531468531468531"/>
    <n v="11"/>
    <n v="142.54061624649859"/>
  </r>
  <r>
    <n v="120"/>
    <d v="2023-02-08T00:00:00"/>
    <x v="1"/>
    <d v="1900-01-04T00:00:00"/>
    <x v="0"/>
    <s v="No"/>
    <s v="No"/>
    <s v="None"/>
    <x v="2"/>
    <x v="2"/>
    <n v="5"/>
    <n v="55"/>
    <n v="17"/>
    <n v="38"/>
    <n v="0.69090909090909092"/>
    <n v="11"/>
    <n v="142.54061624649859"/>
  </r>
  <r>
    <n v="121"/>
    <d v="2023-02-08T00:00:00"/>
    <x v="1"/>
    <d v="1900-01-04T00:00:00"/>
    <x v="0"/>
    <s v="No"/>
    <s v="No"/>
    <s v="None"/>
    <x v="3"/>
    <x v="3"/>
    <n v="11"/>
    <n v="121"/>
    <n v="29"/>
    <n v="92"/>
    <n v="0.76033057851239672"/>
    <n v="11"/>
    <n v="142.54061624649859"/>
  </r>
  <r>
    <n v="122"/>
    <d v="2023-02-09T00:00:00"/>
    <x v="1"/>
    <d v="1900-01-05T00:00:00"/>
    <x v="0"/>
    <s v="No"/>
    <s v="No"/>
    <s v="None"/>
    <x v="0"/>
    <x v="4"/>
    <n v="19"/>
    <n v="209"/>
    <n v="19"/>
    <n v="190"/>
    <n v="0.90909090909090906"/>
    <n v="11"/>
    <n v="142.30178069353326"/>
  </r>
  <r>
    <n v="123"/>
    <d v="2023-02-09T00:00:00"/>
    <x v="1"/>
    <d v="1900-01-05T00:00:00"/>
    <x v="0"/>
    <s v="No"/>
    <s v="No"/>
    <s v="None"/>
    <x v="1"/>
    <x v="2"/>
    <n v="11"/>
    <n v="121"/>
    <n v="3"/>
    <n v="118"/>
    <n v="0.97520661157024791"/>
    <n v="11"/>
    <n v="142.30178069353326"/>
  </r>
  <r>
    <n v="124"/>
    <d v="2023-02-09T00:00:00"/>
    <x v="1"/>
    <d v="1900-01-05T00:00:00"/>
    <x v="0"/>
    <s v="No"/>
    <s v="No"/>
    <s v="None"/>
    <x v="2"/>
    <x v="2"/>
    <n v="8"/>
    <n v="88"/>
    <n v="38"/>
    <n v="50"/>
    <n v="0.56818181818181823"/>
    <n v="11"/>
    <n v="142.30178069353326"/>
  </r>
  <r>
    <n v="125"/>
    <d v="2023-02-09T00:00:00"/>
    <x v="1"/>
    <d v="1900-01-05T00:00:00"/>
    <x v="0"/>
    <s v="No"/>
    <s v="No"/>
    <s v="None"/>
    <x v="3"/>
    <x v="3"/>
    <n v="17"/>
    <n v="187"/>
    <n v="3"/>
    <n v="184"/>
    <n v="0.98395721925133695"/>
    <n v="11"/>
    <n v="142.30178069353326"/>
  </r>
  <r>
    <n v="126"/>
    <d v="2023-02-10T00:00:00"/>
    <x v="1"/>
    <d v="1900-01-06T00:00:00"/>
    <x v="0"/>
    <s v="No"/>
    <s v="No"/>
    <s v="None"/>
    <x v="0"/>
    <x v="1"/>
    <n v="23"/>
    <n v="253"/>
    <n v="2"/>
    <n v="251"/>
    <n v="0.9920948616600791"/>
    <n v="11"/>
    <n v="142.15428033866417"/>
  </r>
  <r>
    <n v="127"/>
    <d v="2023-02-12T00:00:00"/>
    <x v="1"/>
    <d v="1900-01-01T00:00:00"/>
    <x v="0"/>
    <s v="No"/>
    <s v="No"/>
    <s v="None"/>
    <x v="0"/>
    <x v="4"/>
    <n v="21"/>
    <n v="231"/>
    <n v="21"/>
    <n v="210"/>
    <n v="0.90909090909090906"/>
    <n v="11"/>
    <n v="141.48056872037915"/>
  </r>
  <r>
    <n v="128"/>
    <d v="2023-02-12T00:00:00"/>
    <x v="1"/>
    <d v="1900-01-01T00:00:00"/>
    <x v="0"/>
    <s v="No"/>
    <s v="No"/>
    <s v="None"/>
    <x v="1"/>
    <x v="5"/>
    <n v="9"/>
    <n v="99"/>
    <n v="35"/>
    <n v="64"/>
    <n v="0.64646464646464652"/>
    <n v="11"/>
    <n v="141.48056872037915"/>
  </r>
  <r>
    <n v="129"/>
    <d v="2023-02-12T00:00:00"/>
    <x v="1"/>
    <d v="1900-01-01T00:00:00"/>
    <x v="0"/>
    <s v="No"/>
    <s v="No"/>
    <s v="None"/>
    <x v="2"/>
    <x v="5"/>
    <n v="8"/>
    <n v="88"/>
    <n v="35"/>
    <n v="53"/>
    <n v="0.60227272727272729"/>
    <n v="11"/>
    <n v="141.48056872037915"/>
  </r>
  <r>
    <n v="130"/>
    <d v="2023-02-12T00:00:00"/>
    <x v="1"/>
    <d v="1900-01-01T00:00:00"/>
    <x v="0"/>
    <s v="No"/>
    <s v="No"/>
    <s v="None"/>
    <x v="3"/>
    <x v="5"/>
    <n v="16"/>
    <n v="176"/>
    <n v="47"/>
    <n v="129"/>
    <n v="0.73295454545454541"/>
    <n v="11"/>
    <n v="141.48056872037915"/>
  </r>
  <r>
    <n v="131"/>
    <d v="2023-02-13T00:00:00"/>
    <x v="1"/>
    <d v="1900-01-02T00:00:00"/>
    <x v="0"/>
    <s v="No"/>
    <s v="No"/>
    <s v="None"/>
    <x v="0"/>
    <x v="1"/>
    <n v="16"/>
    <n v="176"/>
    <n v="41"/>
    <n v="135"/>
    <n v="0.76704545454545459"/>
    <n v="11"/>
    <n v="141.30170777988616"/>
  </r>
  <r>
    <n v="132"/>
    <d v="2023-02-13T00:00:00"/>
    <x v="1"/>
    <d v="1900-01-02T00:00:00"/>
    <x v="0"/>
    <s v="No"/>
    <s v="No"/>
    <s v="None"/>
    <x v="1"/>
    <x v="1"/>
    <n v="11"/>
    <n v="121"/>
    <n v="5"/>
    <n v="116"/>
    <n v="0.95867768595041325"/>
    <n v="11"/>
    <n v="141.30170777988616"/>
  </r>
  <r>
    <n v="133"/>
    <d v="2023-02-13T00:00:00"/>
    <x v="1"/>
    <d v="1900-01-02T00:00:00"/>
    <x v="0"/>
    <s v="No"/>
    <s v="No"/>
    <s v="None"/>
    <x v="2"/>
    <x v="2"/>
    <n v="5"/>
    <n v="55"/>
    <n v="31"/>
    <n v="24"/>
    <n v="0.43636363636363634"/>
    <n v="11"/>
    <n v="141.30170777988616"/>
  </r>
  <r>
    <n v="134"/>
    <d v="2023-02-13T00:00:00"/>
    <x v="1"/>
    <d v="1900-01-02T00:00:00"/>
    <x v="0"/>
    <s v="No"/>
    <s v="No"/>
    <s v="None"/>
    <x v="3"/>
    <x v="3"/>
    <n v="13"/>
    <n v="143"/>
    <n v="48"/>
    <n v="95"/>
    <n v="0.66433566433566438"/>
    <n v="11"/>
    <n v="141.30170777988616"/>
  </r>
  <r>
    <n v="135"/>
    <d v="2023-02-14T00:00:00"/>
    <x v="1"/>
    <d v="1900-01-03T00:00:00"/>
    <x v="0"/>
    <s v="No"/>
    <s v="No"/>
    <s v="None"/>
    <x v="0"/>
    <x v="4"/>
    <n v="18"/>
    <n v="198"/>
    <n v="47"/>
    <n v="151"/>
    <n v="0.76262626262626265"/>
    <n v="11"/>
    <n v="141.30170777988616"/>
  </r>
  <r>
    <n v="136"/>
    <d v="2023-02-14T00:00:00"/>
    <x v="1"/>
    <d v="1900-01-03T00:00:00"/>
    <x v="0"/>
    <s v="No"/>
    <s v="No"/>
    <s v="None"/>
    <x v="1"/>
    <x v="5"/>
    <n v="8"/>
    <n v="88"/>
    <n v="48"/>
    <n v="40"/>
    <n v="0.45454545454545453"/>
    <n v="11"/>
    <n v="141.30170777988616"/>
  </r>
  <r>
    <n v="137"/>
    <d v="2023-02-14T00:00:00"/>
    <x v="1"/>
    <d v="1900-01-03T00:00:00"/>
    <x v="0"/>
    <s v="No"/>
    <s v="No"/>
    <s v="None"/>
    <x v="2"/>
    <x v="5"/>
    <n v="5"/>
    <n v="55"/>
    <n v="19"/>
    <n v="36"/>
    <n v="0.65454545454545454"/>
    <n v="11"/>
    <n v="141.30170777988616"/>
  </r>
  <r>
    <n v="138"/>
    <d v="2023-02-14T00:00:00"/>
    <x v="1"/>
    <d v="1900-01-03T00:00:00"/>
    <x v="0"/>
    <s v="No"/>
    <s v="No"/>
    <s v="None"/>
    <x v="3"/>
    <x v="5"/>
    <n v="9"/>
    <n v="99"/>
    <n v="28"/>
    <n v="71"/>
    <n v="0.71717171717171713"/>
    <n v="11"/>
    <n v="141.30170777988616"/>
  </r>
  <r>
    <n v="139"/>
    <d v="2023-02-15T00:00:00"/>
    <x v="1"/>
    <d v="1900-01-04T00:00:00"/>
    <x v="0"/>
    <s v="No"/>
    <s v="No"/>
    <s v="None"/>
    <x v="0"/>
    <x v="1"/>
    <n v="15"/>
    <n v="165"/>
    <n v="18"/>
    <n v="147"/>
    <n v="0.89090909090909087"/>
    <n v="11"/>
    <n v="140.92666666666668"/>
  </r>
  <r>
    <n v="140"/>
    <d v="2023-02-15T00:00:00"/>
    <x v="1"/>
    <d v="1900-01-04T00:00:00"/>
    <x v="0"/>
    <s v="No"/>
    <s v="No"/>
    <s v="None"/>
    <x v="1"/>
    <x v="1"/>
    <n v="8"/>
    <n v="88"/>
    <n v="48"/>
    <n v="40"/>
    <n v="0.45454545454545453"/>
    <n v="11"/>
    <n v="140.92666666666668"/>
  </r>
  <r>
    <n v="141"/>
    <d v="2023-02-15T00:00:00"/>
    <x v="1"/>
    <d v="1900-01-04T00:00:00"/>
    <x v="0"/>
    <s v="No"/>
    <s v="No"/>
    <s v="None"/>
    <x v="2"/>
    <x v="2"/>
    <n v="5"/>
    <n v="55"/>
    <n v="38"/>
    <n v="17"/>
    <n v="0.30909090909090908"/>
    <n v="11"/>
    <n v="140.92666666666668"/>
  </r>
  <r>
    <n v="142"/>
    <d v="2023-02-15T00:00:00"/>
    <x v="1"/>
    <d v="1900-01-04T00:00:00"/>
    <x v="0"/>
    <s v="No"/>
    <s v="No"/>
    <s v="None"/>
    <x v="3"/>
    <x v="3"/>
    <n v="13"/>
    <n v="143"/>
    <n v="42"/>
    <n v="101"/>
    <n v="0.70629370629370625"/>
    <n v="11"/>
    <n v="140.92666666666668"/>
  </r>
  <r>
    <n v="143"/>
    <d v="2023-02-16T00:00:00"/>
    <x v="1"/>
    <d v="1900-01-05T00:00:00"/>
    <x v="0"/>
    <s v="No"/>
    <s v="No"/>
    <s v="None"/>
    <x v="0"/>
    <x v="4"/>
    <n v="21"/>
    <n v="231"/>
    <n v="36"/>
    <n v="195"/>
    <n v="0.8441558441558441"/>
    <n v="11"/>
    <n v="140.69789674952199"/>
  </r>
  <r>
    <n v="144"/>
    <d v="2023-02-16T00:00:00"/>
    <x v="1"/>
    <d v="1900-01-05T00:00:00"/>
    <x v="0"/>
    <s v="No"/>
    <s v="No"/>
    <s v="None"/>
    <x v="1"/>
    <x v="2"/>
    <n v="10"/>
    <n v="110"/>
    <n v="27"/>
    <n v="83"/>
    <n v="0.75454545454545452"/>
    <n v="11"/>
    <n v="140.69789674952199"/>
  </r>
  <r>
    <n v="145"/>
    <d v="2023-02-16T00:00:00"/>
    <x v="1"/>
    <d v="1900-01-05T00:00:00"/>
    <x v="0"/>
    <s v="No"/>
    <s v="No"/>
    <s v="None"/>
    <x v="2"/>
    <x v="2"/>
    <n v="9"/>
    <n v="99"/>
    <n v="32"/>
    <n v="67"/>
    <n v="0.6767676767676768"/>
    <n v="11"/>
    <n v="140.69789674952199"/>
  </r>
  <r>
    <n v="146"/>
    <d v="2023-02-16T00:00:00"/>
    <x v="1"/>
    <d v="1900-01-05T00:00:00"/>
    <x v="0"/>
    <s v="No"/>
    <s v="No"/>
    <s v="None"/>
    <x v="3"/>
    <x v="3"/>
    <n v="18"/>
    <n v="198"/>
    <n v="9"/>
    <n v="189"/>
    <n v="0.95454545454545459"/>
    <n v="11"/>
    <n v="140.69789674952199"/>
  </r>
  <r>
    <n v="147"/>
    <d v="2023-02-17T00:00:00"/>
    <x v="1"/>
    <d v="1900-01-06T00:00:00"/>
    <x v="0"/>
    <s v="No"/>
    <s v="No"/>
    <s v="None"/>
    <x v="0"/>
    <x v="1"/>
    <n v="21"/>
    <n v="231"/>
    <n v="23"/>
    <n v="208"/>
    <n v="0.90043290043290047"/>
    <n v="11"/>
    <n v="140.5940499040307"/>
  </r>
  <r>
    <n v="148"/>
    <d v="2023-02-19T00:00:00"/>
    <x v="1"/>
    <d v="1900-01-01T00:00:00"/>
    <x v="0"/>
    <s v="Yes"/>
    <s v="No"/>
    <s v="Presidents' Day"/>
    <x v="0"/>
    <x v="4"/>
    <n v="21"/>
    <n v="231"/>
    <n v="17"/>
    <n v="214"/>
    <n v="0.92640692640692646"/>
    <n v="11"/>
    <n v="140.01160541586074"/>
  </r>
  <r>
    <n v="149"/>
    <d v="2023-02-19T00:00:00"/>
    <x v="1"/>
    <d v="1900-01-01T00:00:00"/>
    <x v="0"/>
    <s v="Yes"/>
    <s v="No"/>
    <s v="Presidents' Day"/>
    <x v="1"/>
    <x v="5"/>
    <n v="10"/>
    <n v="110"/>
    <n v="36"/>
    <n v="74"/>
    <n v="0.67272727272727273"/>
    <n v="11"/>
    <n v="140.01160541586074"/>
  </r>
  <r>
    <n v="150"/>
    <d v="2023-02-19T00:00:00"/>
    <x v="1"/>
    <d v="1900-01-01T00:00:00"/>
    <x v="0"/>
    <s v="Yes"/>
    <s v="No"/>
    <s v="Presidents' Day"/>
    <x v="2"/>
    <x v="5"/>
    <n v="9"/>
    <n v="99"/>
    <n v="19"/>
    <n v="80"/>
    <n v="0.80808080808080807"/>
    <n v="11"/>
    <n v="140.01160541586074"/>
  </r>
  <r>
    <n v="151"/>
    <d v="2023-02-19T00:00:00"/>
    <x v="1"/>
    <d v="1900-01-01T00:00:00"/>
    <x v="0"/>
    <s v="Yes"/>
    <s v="No"/>
    <s v="Presidents' Day"/>
    <x v="3"/>
    <x v="5"/>
    <n v="15"/>
    <n v="165"/>
    <n v="44"/>
    <n v="121"/>
    <n v="0.73333333333333328"/>
    <n v="11"/>
    <n v="140.01160541586074"/>
  </r>
  <r>
    <n v="152"/>
    <d v="2023-02-20T00:00:00"/>
    <x v="1"/>
    <d v="1900-01-02T00:00:00"/>
    <x v="0"/>
    <s v="No"/>
    <s v="No"/>
    <s v="None"/>
    <x v="0"/>
    <x v="1"/>
    <n v="18"/>
    <n v="198"/>
    <n v="4"/>
    <n v="194"/>
    <n v="0.97979797979797978"/>
    <n v="11"/>
    <n v="139.83833494675702"/>
  </r>
  <r>
    <n v="153"/>
    <d v="2023-02-20T00:00:00"/>
    <x v="1"/>
    <d v="1900-01-02T00:00:00"/>
    <x v="0"/>
    <s v="No"/>
    <s v="No"/>
    <s v="None"/>
    <x v="1"/>
    <x v="1"/>
    <n v="11"/>
    <n v="121"/>
    <n v="45"/>
    <n v="76"/>
    <n v="0.62809917355371903"/>
    <n v="11"/>
    <n v="139.83833494675702"/>
  </r>
  <r>
    <n v="154"/>
    <d v="2023-02-20T00:00:00"/>
    <x v="1"/>
    <d v="1900-01-02T00:00:00"/>
    <x v="0"/>
    <s v="No"/>
    <s v="No"/>
    <s v="None"/>
    <x v="2"/>
    <x v="2"/>
    <n v="5"/>
    <n v="55"/>
    <n v="7"/>
    <n v="48"/>
    <n v="0.87272727272727268"/>
    <n v="11"/>
    <n v="139.83833494675702"/>
  </r>
  <r>
    <n v="155"/>
    <d v="2023-02-20T00:00:00"/>
    <x v="1"/>
    <d v="1900-01-02T00:00:00"/>
    <x v="0"/>
    <s v="No"/>
    <s v="No"/>
    <s v="None"/>
    <x v="3"/>
    <x v="3"/>
    <n v="11"/>
    <n v="121"/>
    <n v="5"/>
    <n v="116"/>
    <n v="0.95867768595041325"/>
    <n v="11"/>
    <n v="139.83833494675702"/>
  </r>
  <r>
    <n v="156"/>
    <d v="2023-02-21T00:00:00"/>
    <x v="1"/>
    <d v="1900-01-03T00:00:00"/>
    <x v="0"/>
    <s v="No"/>
    <s v="No"/>
    <s v="None"/>
    <x v="0"/>
    <x v="4"/>
    <n v="16"/>
    <n v="176"/>
    <n v="20"/>
    <n v="156"/>
    <n v="0.88636363636363635"/>
    <n v="11"/>
    <n v="139.83833494675702"/>
  </r>
  <r>
    <n v="157"/>
    <d v="2023-02-21T00:00:00"/>
    <x v="1"/>
    <d v="1900-01-03T00:00:00"/>
    <x v="0"/>
    <s v="No"/>
    <s v="No"/>
    <s v="None"/>
    <x v="1"/>
    <x v="5"/>
    <n v="7"/>
    <n v="77"/>
    <n v="34"/>
    <n v="43"/>
    <n v="0.55844155844155841"/>
    <n v="11"/>
    <n v="139.83833494675702"/>
  </r>
  <r>
    <n v="158"/>
    <d v="2023-02-21T00:00:00"/>
    <x v="1"/>
    <d v="1900-01-03T00:00:00"/>
    <x v="0"/>
    <s v="No"/>
    <s v="No"/>
    <s v="None"/>
    <x v="2"/>
    <x v="5"/>
    <n v="5"/>
    <n v="55"/>
    <n v="46"/>
    <n v="9"/>
    <n v="0.16363636363636364"/>
    <n v="11"/>
    <n v="139.83833494675702"/>
  </r>
  <r>
    <n v="159"/>
    <d v="2023-02-21T00:00:00"/>
    <x v="1"/>
    <d v="1900-01-03T00:00:00"/>
    <x v="0"/>
    <s v="No"/>
    <s v="No"/>
    <s v="None"/>
    <x v="3"/>
    <x v="5"/>
    <n v="11"/>
    <n v="121"/>
    <n v="31"/>
    <n v="90"/>
    <n v="0.74380165289256195"/>
    <n v="11"/>
    <n v="139.83833494675702"/>
  </r>
  <r>
    <n v="160"/>
    <d v="2023-02-22T00:00:00"/>
    <x v="1"/>
    <d v="1900-01-04T00:00:00"/>
    <x v="0"/>
    <s v="No"/>
    <s v="No"/>
    <s v="None"/>
    <x v="0"/>
    <x v="1"/>
    <n v="14"/>
    <n v="154"/>
    <n v="30"/>
    <n v="124"/>
    <n v="0.80519480519480524"/>
    <n v="11"/>
    <n v="139.59086491739552"/>
  </r>
  <r>
    <n v="161"/>
    <d v="2023-02-22T00:00:00"/>
    <x v="1"/>
    <d v="1900-01-04T00:00:00"/>
    <x v="0"/>
    <s v="No"/>
    <s v="No"/>
    <s v="None"/>
    <x v="1"/>
    <x v="1"/>
    <n v="11"/>
    <n v="121"/>
    <n v="50"/>
    <n v="71"/>
    <n v="0.58677685950413228"/>
    <n v="11"/>
    <n v="139.59086491739552"/>
  </r>
  <r>
    <n v="162"/>
    <d v="2023-02-22T00:00:00"/>
    <x v="1"/>
    <d v="1900-01-04T00:00:00"/>
    <x v="0"/>
    <s v="No"/>
    <s v="No"/>
    <s v="None"/>
    <x v="2"/>
    <x v="2"/>
    <n v="5"/>
    <n v="55"/>
    <n v="38"/>
    <n v="17"/>
    <n v="0.30909090909090908"/>
    <n v="11"/>
    <n v="139.59086491739552"/>
  </r>
  <r>
    <n v="163"/>
    <d v="2023-02-22T00:00:00"/>
    <x v="1"/>
    <d v="1900-01-04T00:00:00"/>
    <x v="0"/>
    <s v="No"/>
    <s v="No"/>
    <s v="None"/>
    <x v="3"/>
    <x v="3"/>
    <n v="15"/>
    <n v="165"/>
    <n v="22"/>
    <n v="143"/>
    <n v="0.8666666666666667"/>
    <n v="11"/>
    <n v="139.59086491739552"/>
  </r>
  <r>
    <n v="164"/>
    <d v="2023-02-23T00:00:00"/>
    <x v="1"/>
    <d v="1900-01-05T00:00:00"/>
    <x v="0"/>
    <s v="No"/>
    <s v="No"/>
    <s v="None"/>
    <x v="0"/>
    <x v="4"/>
    <n v="21"/>
    <n v="231"/>
    <n v="27"/>
    <n v="204"/>
    <n v="0.88311688311688308"/>
    <n v="11"/>
    <n v="139.50243902439024"/>
  </r>
  <r>
    <n v="165"/>
    <d v="2023-02-23T00:00:00"/>
    <x v="1"/>
    <d v="1900-01-05T00:00:00"/>
    <x v="0"/>
    <s v="No"/>
    <s v="No"/>
    <s v="None"/>
    <x v="1"/>
    <x v="2"/>
    <n v="10"/>
    <n v="110"/>
    <n v="27"/>
    <n v="83"/>
    <n v="0.75454545454545452"/>
    <n v="11"/>
    <n v="139.50243902439024"/>
  </r>
  <r>
    <n v="166"/>
    <d v="2023-02-23T00:00:00"/>
    <x v="1"/>
    <d v="1900-01-05T00:00:00"/>
    <x v="0"/>
    <s v="No"/>
    <s v="No"/>
    <s v="None"/>
    <x v="2"/>
    <x v="2"/>
    <n v="9"/>
    <n v="99"/>
    <n v="32"/>
    <n v="67"/>
    <n v="0.6767676767676768"/>
    <n v="11"/>
    <n v="139.50243902439024"/>
  </r>
  <r>
    <n v="167"/>
    <d v="2023-02-23T00:00:00"/>
    <x v="1"/>
    <d v="1900-01-05T00:00:00"/>
    <x v="0"/>
    <s v="No"/>
    <s v="No"/>
    <s v="None"/>
    <x v="3"/>
    <x v="3"/>
    <n v="19"/>
    <n v="209"/>
    <n v="19"/>
    <n v="190"/>
    <n v="0.90909090909090906"/>
    <n v="11"/>
    <n v="139.50243902439024"/>
  </r>
  <r>
    <n v="168"/>
    <d v="2023-02-24T00:00:00"/>
    <x v="1"/>
    <d v="1900-01-06T00:00:00"/>
    <x v="0"/>
    <s v="No"/>
    <s v="No"/>
    <s v="None"/>
    <x v="0"/>
    <x v="1"/>
    <n v="18"/>
    <n v="198"/>
    <n v="46"/>
    <n v="152"/>
    <n v="0.76767676767676762"/>
    <n v="11"/>
    <n v="139.4564152791381"/>
  </r>
  <r>
    <n v="169"/>
    <d v="2023-02-26T00:00:00"/>
    <x v="1"/>
    <d v="1900-01-01T00:00:00"/>
    <x v="0"/>
    <s v="No"/>
    <s v="No"/>
    <s v="None"/>
    <x v="0"/>
    <x v="4"/>
    <n v="20"/>
    <n v="220"/>
    <n v="22"/>
    <n v="198"/>
    <n v="0.9"/>
    <n v="11"/>
    <n v="139.00493583415596"/>
  </r>
  <r>
    <n v="170"/>
    <d v="2023-02-26T00:00:00"/>
    <x v="1"/>
    <d v="1900-01-01T00:00:00"/>
    <x v="0"/>
    <s v="No"/>
    <s v="No"/>
    <s v="None"/>
    <x v="1"/>
    <x v="5"/>
    <n v="9"/>
    <n v="99"/>
    <n v="13"/>
    <n v="86"/>
    <n v="0.86868686868686873"/>
    <n v="11"/>
    <n v="139.00493583415596"/>
  </r>
  <r>
    <n v="171"/>
    <d v="2023-02-26T00:00:00"/>
    <x v="1"/>
    <d v="1900-01-01T00:00:00"/>
    <x v="0"/>
    <s v="No"/>
    <s v="No"/>
    <s v="None"/>
    <x v="2"/>
    <x v="5"/>
    <n v="8"/>
    <n v="88"/>
    <n v="33"/>
    <n v="55"/>
    <n v="0.625"/>
    <n v="11"/>
    <n v="139.00493583415596"/>
  </r>
  <r>
    <n v="172"/>
    <d v="2023-02-26T00:00:00"/>
    <x v="1"/>
    <d v="1900-01-01T00:00:00"/>
    <x v="0"/>
    <s v="No"/>
    <s v="No"/>
    <s v="None"/>
    <x v="3"/>
    <x v="5"/>
    <n v="17"/>
    <n v="187"/>
    <n v="24"/>
    <n v="163"/>
    <n v="0.87165775401069523"/>
    <n v="11"/>
    <n v="139.00493583415596"/>
  </r>
  <r>
    <n v="173"/>
    <d v="2023-02-27T00:00:00"/>
    <x v="1"/>
    <d v="1900-01-02T00:00:00"/>
    <x v="0"/>
    <s v="No"/>
    <s v="No"/>
    <s v="None"/>
    <x v="0"/>
    <x v="1"/>
    <n v="16"/>
    <n v="176"/>
    <n v="8"/>
    <n v="168"/>
    <n v="0.95454545454545459"/>
    <n v="11"/>
    <n v="138.82707509881422"/>
  </r>
  <r>
    <n v="174"/>
    <d v="2023-02-27T00:00:00"/>
    <x v="1"/>
    <d v="1900-01-02T00:00:00"/>
    <x v="0"/>
    <s v="No"/>
    <s v="No"/>
    <s v="None"/>
    <x v="1"/>
    <x v="1"/>
    <n v="9"/>
    <n v="99"/>
    <n v="30"/>
    <n v="69"/>
    <n v="0.69696969696969702"/>
    <n v="11"/>
    <n v="138.82707509881422"/>
  </r>
  <r>
    <n v="175"/>
    <d v="2023-02-27T00:00:00"/>
    <x v="1"/>
    <d v="1900-01-02T00:00:00"/>
    <x v="0"/>
    <s v="No"/>
    <s v="No"/>
    <s v="None"/>
    <x v="2"/>
    <x v="2"/>
    <n v="5"/>
    <n v="55"/>
    <n v="14"/>
    <n v="41"/>
    <n v="0.74545454545454548"/>
    <n v="11"/>
    <n v="138.82707509881422"/>
  </r>
  <r>
    <n v="176"/>
    <d v="2023-02-27T00:00:00"/>
    <x v="1"/>
    <d v="1900-01-02T00:00:00"/>
    <x v="0"/>
    <s v="No"/>
    <s v="No"/>
    <s v="None"/>
    <x v="3"/>
    <x v="3"/>
    <n v="14"/>
    <n v="154"/>
    <n v="17"/>
    <n v="137"/>
    <n v="0.88961038961038963"/>
    <n v="11"/>
    <n v="138.82707509881422"/>
  </r>
  <r>
    <n v="177"/>
    <d v="2023-02-28T00:00:00"/>
    <x v="1"/>
    <d v="1900-01-03T00:00:00"/>
    <x v="0"/>
    <s v="No"/>
    <s v="No"/>
    <s v="None"/>
    <x v="0"/>
    <x v="4"/>
    <n v="18"/>
    <n v="198"/>
    <n v="49"/>
    <n v="149"/>
    <n v="0.75252525252525249"/>
    <n v="11"/>
    <n v="138.82707509881422"/>
  </r>
  <r>
    <n v="178"/>
    <d v="2023-02-28T00:00:00"/>
    <x v="1"/>
    <d v="1900-01-03T00:00:00"/>
    <x v="0"/>
    <s v="No"/>
    <s v="No"/>
    <s v="None"/>
    <x v="1"/>
    <x v="5"/>
    <n v="6"/>
    <n v="66"/>
    <n v="33"/>
    <n v="33"/>
    <n v="0.5"/>
    <n v="11"/>
    <n v="138.82707509881422"/>
  </r>
  <r>
    <n v="179"/>
    <d v="2023-02-28T00:00:00"/>
    <x v="1"/>
    <d v="1900-01-03T00:00:00"/>
    <x v="0"/>
    <s v="No"/>
    <s v="No"/>
    <s v="None"/>
    <x v="2"/>
    <x v="5"/>
    <n v="5"/>
    <n v="55"/>
    <n v="13"/>
    <n v="42"/>
    <n v="0.76363636363636367"/>
    <n v="11"/>
    <n v="138.82707509881422"/>
  </r>
  <r>
    <n v="180"/>
    <d v="2023-02-28T00:00:00"/>
    <x v="1"/>
    <d v="1900-01-03T00:00:00"/>
    <x v="0"/>
    <s v="No"/>
    <s v="No"/>
    <s v="None"/>
    <x v="3"/>
    <x v="5"/>
    <n v="10"/>
    <n v="110"/>
    <n v="25"/>
    <n v="85"/>
    <n v="0.77272727272727271"/>
    <n v="11"/>
    <n v="138.82707509881422"/>
  </r>
  <r>
    <n v="181"/>
    <d v="2023-03-01T00:00:00"/>
    <x v="2"/>
    <d v="1900-01-04T00:00:00"/>
    <x v="0"/>
    <s v="No"/>
    <s v="No"/>
    <s v="None"/>
    <x v="0"/>
    <x v="1"/>
    <n v="16"/>
    <n v="176"/>
    <n v="37"/>
    <n v="139"/>
    <n v="0.78977272727272729"/>
    <n v="11"/>
    <n v="138.57043650793651"/>
  </r>
  <r>
    <n v="182"/>
    <d v="2023-03-01T00:00:00"/>
    <x v="2"/>
    <d v="1900-01-04T00:00:00"/>
    <x v="0"/>
    <s v="No"/>
    <s v="No"/>
    <s v="None"/>
    <x v="1"/>
    <x v="1"/>
    <n v="8"/>
    <n v="88"/>
    <n v="28"/>
    <n v="60"/>
    <n v="0.68181818181818177"/>
    <n v="11"/>
    <n v="138.57043650793651"/>
  </r>
  <r>
    <n v="183"/>
    <d v="2023-03-01T00:00:00"/>
    <x v="2"/>
    <d v="1900-01-04T00:00:00"/>
    <x v="0"/>
    <s v="No"/>
    <s v="No"/>
    <s v="None"/>
    <x v="2"/>
    <x v="2"/>
    <n v="5"/>
    <n v="55"/>
    <n v="24"/>
    <n v="31"/>
    <n v="0.5636363636363636"/>
    <n v="11"/>
    <n v="138.57043650793651"/>
  </r>
  <r>
    <n v="184"/>
    <d v="2023-03-01T00:00:00"/>
    <x v="2"/>
    <d v="1900-01-04T00:00:00"/>
    <x v="0"/>
    <s v="No"/>
    <s v="No"/>
    <s v="None"/>
    <x v="3"/>
    <x v="3"/>
    <n v="13"/>
    <n v="143"/>
    <n v="25"/>
    <n v="118"/>
    <n v="0.82517482517482521"/>
    <n v="11"/>
    <n v="138.57043650793651"/>
  </r>
  <r>
    <n v="185"/>
    <d v="2023-03-02T00:00:00"/>
    <x v="2"/>
    <d v="1900-01-05T00:00:00"/>
    <x v="0"/>
    <s v="No"/>
    <s v="No"/>
    <s v="None"/>
    <x v="0"/>
    <x v="4"/>
    <n v="24"/>
    <n v="264"/>
    <n v="10"/>
    <n v="254"/>
    <n v="0.96212121212121215"/>
    <n v="11"/>
    <n v="138.42131474103584"/>
  </r>
  <r>
    <n v="186"/>
    <d v="2023-03-02T00:00:00"/>
    <x v="2"/>
    <d v="1900-01-05T00:00:00"/>
    <x v="0"/>
    <s v="No"/>
    <s v="No"/>
    <s v="None"/>
    <x v="1"/>
    <x v="2"/>
    <n v="10"/>
    <n v="110"/>
    <n v="37"/>
    <n v="73"/>
    <n v="0.66363636363636369"/>
    <n v="11"/>
    <n v="138.42131474103584"/>
  </r>
  <r>
    <n v="187"/>
    <d v="2023-03-02T00:00:00"/>
    <x v="2"/>
    <d v="1900-01-05T00:00:00"/>
    <x v="0"/>
    <s v="No"/>
    <s v="No"/>
    <s v="None"/>
    <x v="2"/>
    <x v="2"/>
    <n v="10"/>
    <n v="110"/>
    <n v="38"/>
    <n v="72"/>
    <n v="0.65454545454545454"/>
    <n v="11"/>
    <n v="138.42131474103584"/>
  </r>
  <r>
    <n v="188"/>
    <d v="2023-03-02T00:00:00"/>
    <x v="2"/>
    <d v="1900-01-05T00:00:00"/>
    <x v="0"/>
    <s v="No"/>
    <s v="No"/>
    <s v="None"/>
    <x v="3"/>
    <x v="3"/>
    <n v="18"/>
    <n v="198"/>
    <n v="17"/>
    <n v="181"/>
    <n v="0.91414141414141414"/>
    <n v="11"/>
    <n v="138.42131474103584"/>
  </r>
  <r>
    <n v="189"/>
    <d v="2023-03-03T00:00:00"/>
    <x v="2"/>
    <d v="1900-01-06T00:00:00"/>
    <x v="0"/>
    <s v="No"/>
    <s v="No"/>
    <s v="None"/>
    <x v="0"/>
    <x v="1"/>
    <n v="18"/>
    <n v="198"/>
    <n v="40"/>
    <n v="158"/>
    <n v="0.79797979797979801"/>
    <n v="11"/>
    <n v="138.35900000000001"/>
  </r>
  <r>
    <n v="190"/>
    <d v="2023-03-05T00:00:00"/>
    <x v="2"/>
    <d v="1900-01-01T00:00:00"/>
    <x v="0"/>
    <s v="No"/>
    <s v="No"/>
    <s v="None"/>
    <x v="0"/>
    <x v="4"/>
    <n v="22"/>
    <n v="242"/>
    <n v="19"/>
    <n v="223"/>
    <n v="0.92148760330578516"/>
    <n v="11"/>
    <n v="138.28528225806451"/>
  </r>
  <r>
    <n v="191"/>
    <d v="2023-03-05T00:00:00"/>
    <x v="2"/>
    <d v="1900-01-01T00:00:00"/>
    <x v="0"/>
    <s v="No"/>
    <s v="No"/>
    <s v="None"/>
    <x v="1"/>
    <x v="5"/>
    <n v="11"/>
    <n v="121"/>
    <n v="27"/>
    <n v="94"/>
    <n v="0.77685950413223137"/>
    <n v="11"/>
    <n v="138.28528225806451"/>
  </r>
  <r>
    <n v="192"/>
    <d v="2023-03-05T00:00:00"/>
    <x v="2"/>
    <d v="1900-01-01T00:00:00"/>
    <x v="0"/>
    <s v="No"/>
    <s v="No"/>
    <s v="None"/>
    <x v="2"/>
    <x v="5"/>
    <n v="10"/>
    <n v="110"/>
    <n v="35"/>
    <n v="75"/>
    <n v="0.68181818181818177"/>
    <n v="11"/>
    <n v="138.28528225806451"/>
  </r>
  <r>
    <n v="193"/>
    <d v="2023-03-05T00:00:00"/>
    <x v="2"/>
    <d v="1900-01-01T00:00:00"/>
    <x v="0"/>
    <s v="No"/>
    <s v="No"/>
    <s v="None"/>
    <x v="3"/>
    <x v="5"/>
    <n v="16"/>
    <n v="176"/>
    <n v="45"/>
    <n v="131"/>
    <n v="0.74431818181818177"/>
    <n v="11"/>
    <n v="138.28528225806451"/>
  </r>
  <r>
    <n v="194"/>
    <d v="2023-03-06T00:00:00"/>
    <x v="2"/>
    <d v="1900-01-02T00:00:00"/>
    <x v="0"/>
    <s v="No"/>
    <s v="No"/>
    <s v="None"/>
    <x v="0"/>
    <x v="1"/>
    <n v="17"/>
    <n v="187"/>
    <n v="42"/>
    <n v="145"/>
    <n v="0.77540106951871657"/>
    <n v="11"/>
    <n v="138.21392532795156"/>
  </r>
  <r>
    <n v="195"/>
    <d v="2023-03-06T00:00:00"/>
    <x v="2"/>
    <d v="1900-01-02T00:00:00"/>
    <x v="0"/>
    <s v="No"/>
    <s v="No"/>
    <s v="None"/>
    <x v="1"/>
    <x v="1"/>
    <n v="10"/>
    <n v="110"/>
    <n v="45"/>
    <n v="65"/>
    <n v="0.59090909090909094"/>
    <n v="11"/>
    <n v="138.21392532795156"/>
  </r>
  <r>
    <n v="196"/>
    <d v="2023-03-06T00:00:00"/>
    <x v="2"/>
    <d v="1900-01-02T00:00:00"/>
    <x v="0"/>
    <s v="No"/>
    <s v="No"/>
    <s v="None"/>
    <x v="2"/>
    <x v="2"/>
    <n v="5"/>
    <n v="55"/>
    <n v="8"/>
    <n v="47"/>
    <n v="0.8545454545454545"/>
    <n v="11"/>
    <n v="138.21392532795156"/>
  </r>
  <r>
    <n v="197"/>
    <d v="2023-03-06T00:00:00"/>
    <x v="2"/>
    <d v="1900-01-02T00:00:00"/>
    <x v="0"/>
    <s v="No"/>
    <s v="No"/>
    <s v="None"/>
    <x v="3"/>
    <x v="3"/>
    <n v="14"/>
    <n v="154"/>
    <n v="31"/>
    <n v="123"/>
    <n v="0.79870129870129869"/>
    <n v="11"/>
    <n v="138.21392532795156"/>
  </r>
  <r>
    <n v="198"/>
    <d v="2023-03-07T00:00:00"/>
    <x v="2"/>
    <d v="1900-01-03T00:00:00"/>
    <x v="0"/>
    <s v="No"/>
    <s v="No"/>
    <s v="None"/>
    <x v="0"/>
    <x v="4"/>
    <n v="16"/>
    <n v="176"/>
    <n v="46"/>
    <n v="130"/>
    <n v="0.73863636363636365"/>
    <n v="11"/>
    <n v="138.21392532795156"/>
  </r>
  <r>
    <n v="199"/>
    <d v="2023-03-07T00:00:00"/>
    <x v="2"/>
    <d v="1900-01-03T00:00:00"/>
    <x v="0"/>
    <s v="No"/>
    <s v="No"/>
    <s v="None"/>
    <x v="1"/>
    <x v="5"/>
    <n v="6"/>
    <n v="66"/>
    <n v="36"/>
    <n v="30"/>
    <n v="0.45454545454545453"/>
    <n v="11"/>
    <n v="138.21392532795156"/>
  </r>
  <r>
    <n v="200"/>
    <d v="2023-03-07T00:00:00"/>
    <x v="2"/>
    <d v="1900-01-03T00:00:00"/>
    <x v="0"/>
    <s v="No"/>
    <s v="No"/>
    <s v="None"/>
    <x v="2"/>
    <x v="5"/>
    <n v="5"/>
    <n v="55"/>
    <n v="9"/>
    <n v="46"/>
    <n v="0.83636363636363631"/>
    <n v="11"/>
    <n v="138.21392532795156"/>
  </r>
  <r>
    <n v="201"/>
    <d v="2023-03-07T00:00:00"/>
    <x v="2"/>
    <d v="1900-01-03T00:00:00"/>
    <x v="0"/>
    <s v="No"/>
    <s v="No"/>
    <s v="None"/>
    <x v="3"/>
    <x v="5"/>
    <n v="10"/>
    <n v="110"/>
    <n v="28"/>
    <n v="82"/>
    <n v="0.74545454545454548"/>
    <n v="11"/>
    <n v="138.21392532795156"/>
  </r>
  <r>
    <n v="202"/>
    <d v="2023-03-08T00:00:00"/>
    <x v="2"/>
    <d v="1900-01-04T00:00:00"/>
    <x v="0"/>
    <s v="No"/>
    <s v="No"/>
    <s v="None"/>
    <x v="0"/>
    <x v="1"/>
    <n v="15"/>
    <n v="165"/>
    <n v="38"/>
    <n v="127"/>
    <n v="0.76969696969696966"/>
    <n v="11"/>
    <n v="138.14994934143871"/>
  </r>
  <r>
    <n v="203"/>
    <d v="2023-03-08T00:00:00"/>
    <x v="2"/>
    <d v="1900-01-04T00:00:00"/>
    <x v="0"/>
    <s v="No"/>
    <s v="No"/>
    <s v="None"/>
    <x v="1"/>
    <x v="1"/>
    <n v="11"/>
    <n v="121"/>
    <n v="41"/>
    <n v="80"/>
    <n v="0.66115702479338845"/>
    <n v="11"/>
    <n v="138.14994934143871"/>
  </r>
  <r>
    <n v="204"/>
    <d v="2023-03-08T00:00:00"/>
    <x v="2"/>
    <d v="1900-01-04T00:00:00"/>
    <x v="0"/>
    <s v="No"/>
    <s v="No"/>
    <s v="None"/>
    <x v="2"/>
    <x v="2"/>
    <n v="5"/>
    <n v="55"/>
    <n v="47"/>
    <n v="8"/>
    <n v="0.14545454545454545"/>
    <n v="11"/>
    <n v="138.14994934143871"/>
  </r>
  <r>
    <n v="205"/>
    <d v="2023-03-08T00:00:00"/>
    <x v="2"/>
    <d v="1900-01-04T00:00:00"/>
    <x v="0"/>
    <s v="No"/>
    <s v="No"/>
    <s v="None"/>
    <x v="3"/>
    <x v="3"/>
    <n v="12"/>
    <n v="132"/>
    <n v="39"/>
    <n v="93"/>
    <n v="0.70454545454545459"/>
    <n v="11"/>
    <n v="138.14994934143871"/>
  </r>
  <r>
    <n v="206"/>
    <d v="2023-03-09T00:00:00"/>
    <x v="2"/>
    <d v="1900-01-05T00:00:00"/>
    <x v="0"/>
    <s v="No"/>
    <s v="No"/>
    <s v="None"/>
    <x v="0"/>
    <x v="4"/>
    <n v="20"/>
    <n v="220"/>
    <n v="1"/>
    <n v="219"/>
    <n v="0.99545454545454548"/>
    <n v="11"/>
    <n v="138.16378433367242"/>
  </r>
  <r>
    <n v="207"/>
    <d v="2023-03-09T00:00:00"/>
    <x v="2"/>
    <d v="1900-01-05T00:00:00"/>
    <x v="0"/>
    <s v="No"/>
    <s v="No"/>
    <s v="None"/>
    <x v="1"/>
    <x v="2"/>
    <n v="11"/>
    <n v="121"/>
    <n v="49"/>
    <n v="72"/>
    <n v="0.5950413223140496"/>
    <n v="11"/>
    <n v="138.16378433367242"/>
  </r>
  <r>
    <n v="208"/>
    <d v="2023-03-09T00:00:00"/>
    <x v="2"/>
    <d v="1900-01-05T00:00:00"/>
    <x v="0"/>
    <s v="No"/>
    <s v="No"/>
    <s v="None"/>
    <x v="2"/>
    <x v="2"/>
    <n v="10"/>
    <n v="110"/>
    <n v="29"/>
    <n v="81"/>
    <n v="0.73636363636363633"/>
    <n v="11"/>
    <n v="138.16378433367242"/>
  </r>
  <r>
    <n v="209"/>
    <d v="2023-03-09T00:00:00"/>
    <x v="2"/>
    <d v="1900-01-05T00:00:00"/>
    <x v="0"/>
    <s v="No"/>
    <s v="No"/>
    <s v="None"/>
    <x v="3"/>
    <x v="3"/>
    <n v="16"/>
    <n v="176"/>
    <n v="15"/>
    <n v="161"/>
    <n v="0.91477272727272729"/>
    <n v="11"/>
    <n v="138.16378433367242"/>
  </r>
  <r>
    <n v="210"/>
    <d v="2023-03-10T00:00:00"/>
    <x v="2"/>
    <d v="1900-01-06T00:00:00"/>
    <x v="0"/>
    <s v="No"/>
    <s v="No"/>
    <s v="None"/>
    <x v="0"/>
    <x v="1"/>
    <n v="24"/>
    <n v="264"/>
    <n v="11"/>
    <n v="253"/>
    <n v="0.95833333333333337"/>
    <n v="11"/>
    <n v="138.31256384065372"/>
  </r>
  <r>
    <n v="211"/>
    <d v="2023-03-12T00:00:00"/>
    <x v="2"/>
    <d v="1900-01-01T00:00:00"/>
    <x v="0"/>
    <s v="No"/>
    <s v="No"/>
    <s v="None"/>
    <x v="0"/>
    <x v="4"/>
    <n v="19"/>
    <n v="209"/>
    <n v="37"/>
    <n v="172"/>
    <n v="0.82296650717703346"/>
    <n v="11"/>
    <n v="138.31925849639546"/>
  </r>
  <r>
    <n v="212"/>
    <d v="2023-03-12T00:00:00"/>
    <x v="2"/>
    <d v="1900-01-01T00:00:00"/>
    <x v="0"/>
    <s v="No"/>
    <s v="No"/>
    <s v="None"/>
    <x v="1"/>
    <x v="5"/>
    <n v="12"/>
    <n v="132"/>
    <n v="10"/>
    <n v="122"/>
    <n v="0.9242424242424242"/>
    <n v="11"/>
    <n v="138.31925849639546"/>
  </r>
  <r>
    <n v="213"/>
    <d v="2023-03-12T00:00:00"/>
    <x v="2"/>
    <d v="1900-01-01T00:00:00"/>
    <x v="0"/>
    <s v="No"/>
    <s v="No"/>
    <s v="None"/>
    <x v="2"/>
    <x v="5"/>
    <n v="9"/>
    <n v="99"/>
    <n v="50"/>
    <n v="49"/>
    <n v="0.49494949494949497"/>
    <n v="11"/>
    <n v="138.31925849639546"/>
  </r>
  <r>
    <n v="214"/>
    <d v="2023-03-12T00:00:00"/>
    <x v="2"/>
    <d v="1900-01-01T00:00:00"/>
    <x v="0"/>
    <s v="No"/>
    <s v="No"/>
    <s v="None"/>
    <x v="3"/>
    <x v="5"/>
    <n v="16"/>
    <n v="176"/>
    <n v="3"/>
    <n v="173"/>
    <n v="0.98295454545454541"/>
    <n v="11"/>
    <n v="138.31925849639546"/>
  </r>
  <r>
    <n v="215"/>
    <d v="2023-03-13T00:00:00"/>
    <x v="2"/>
    <d v="1900-01-02T00:00:00"/>
    <x v="0"/>
    <s v="No"/>
    <s v="No"/>
    <s v="None"/>
    <x v="0"/>
    <x v="1"/>
    <n v="15"/>
    <n v="165"/>
    <n v="36"/>
    <n v="129"/>
    <n v="0.78181818181818186"/>
    <n v="11"/>
    <n v="138.20103092783506"/>
  </r>
  <r>
    <n v="216"/>
    <d v="2023-03-13T00:00:00"/>
    <x v="2"/>
    <d v="1900-01-02T00:00:00"/>
    <x v="0"/>
    <s v="No"/>
    <s v="No"/>
    <s v="None"/>
    <x v="1"/>
    <x v="1"/>
    <n v="13"/>
    <n v="143"/>
    <n v="39"/>
    <n v="104"/>
    <n v="0.72727272727272729"/>
    <n v="11"/>
    <n v="138.20103092783506"/>
  </r>
  <r>
    <n v="217"/>
    <d v="2023-03-13T00:00:00"/>
    <x v="2"/>
    <d v="1900-01-02T00:00:00"/>
    <x v="0"/>
    <s v="No"/>
    <s v="No"/>
    <s v="None"/>
    <x v="2"/>
    <x v="2"/>
    <n v="5"/>
    <n v="55"/>
    <n v="18"/>
    <n v="37"/>
    <n v="0.67272727272727273"/>
    <n v="11"/>
    <n v="138.20103092783506"/>
  </r>
  <r>
    <n v="218"/>
    <d v="2023-03-13T00:00:00"/>
    <x v="2"/>
    <d v="1900-01-02T00:00:00"/>
    <x v="0"/>
    <s v="No"/>
    <s v="No"/>
    <s v="None"/>
    <x v="3"/>
    <x v="3"/>
    <n v="11"/>
    <n v="121"/>
    <n v="21"/>
    <n v="100"/>
    <n v="0.82644628099173556"/>
    <n v="11"/>
    <n v="138.20103092783506"/>
  </r>
  <r>
    <n v="219"/>
    <d v="2023-03-14T00:00:00"/>
    <x v="2"/>
    <d v="1900-01-03T00:00:00"/>
    <x v="0"/>
    <s v="No"/>
    <s v="No"/>
    <s v="None"/>
    <x v="0"/>
    <x v="4"/>
    <n v="14"/>
    <n v="154"/>
    <n v="6"/>
    <n v="148"/>
    <n v="0.96103896103896103"/>
    <n v="11"/>
    <n v="138.20103092783506"/>
  </r>
  <r>
    <n v="220"/>
    <d v="2023-03-14T00:00:00"/>
    <x v="2"/>
    <d v="1900-01-03T00:00:00"/>
    <x v="0"/>
    <s v="No"/>
    <s v="No"/>
    <s v="None"/>
    <x v="1"/>
    <x v="5"/>
    <n v="6"/>
    <n v="66"/>
    <n v="20"/>
    <n v="46"/>
    <n v="0.69696969696969702"/>
    <n v="11"/>
    <n v="138.20103092783506"/>
  </r>
  <r>
    <n v="221"/>
    <d v="2023-03-14T00:00:00"/>
    <x v="2"/>
    <d v="1900-01-03T00:00:00"/>
    <x v="0"/>
    <s v="No"/>
    <s v="No"/>
    <s v="None"/>
    <x v="2"/>
    <x v="5"/>
    <n v="5"/>
    <n v="55"/>
    <n v="32"/>
    <n v="23"/>
    <n v="0.41818181818181815"/>
    <n v="11"/>
    <n v="138.20103092783506"/>
  </r>
  <r>
    <n v="222"/>
    <d v="2023-03-14T00:00:00"/>
    <x v="2"/>
    <d v="1900-01-03T00:00:00"/>
    <x v="0"/>
    <s v="No"/>
    <s v="No"/>
    <s v="None"/>
    <x v="3"/>
    <x v="5"/>
    <n v="9"/>
    <n v="99"/>
    <n v="44"/>
    <n v="55"/>
    <n v="0.55555555555555558"/>
    <n v="11"/>
    <n v="138.20103092783506"/>
  </r>
  <r>
    <n v="223"/>
    <d v="2023-03-15T00:00:00"/>
    <x v="2"/>
    <d v="1900-01-04T00:00:00"/>
    <x v="0"/>
    <s v="No"/>
    <s v="No"/>
    <s v="None"/>
    <x v="0"/>
    <x v="1"/>
    <n v="14"/>
    <n v="154"/>
    <n v="45"/>
    <n v="109"/>
    <n v="0.70779220779220775"/>
    <n v="11"/>
    <n v="138.15838509316771"/>
  </r>
  <r>
    <n v="224"/>
    <d v="2023-03-15T00:00:00"/>
    <x v="2"/>
    <d v="1900-01-04T00:00:00"/>
    <x v="0"/>
    <s v="No"/>
    <s v="No"/>
    <s v="None"/>
    <x v="1"/>
    <x v="1"/>
    <n v="8"/>
    <n v="88"/>
    <n v="32"/>
    <n v="56"/>
    <n v="0.63636363636363635"/>
    <n v="11"/>
    <n v="138.15838509316771"/>
  </r>
  <r>
    <n v="225"/>
    <d v="2023-03-15T00:00:00"/>
    <x v="2"/>
    <d v="1900-01-04T00:00:00"/>
    <x v="0"/>
    <s v="No"/>
    <s v="No"/>
    <s v="None"/>
    <x v="2"/>
    <x v="2"/>
    <n v="5"/>
    <n v="55"/>
    <n v="8"/>
    <n v="47"/>
    <n v="0.8545454545454545"/>
    <n v="11"/>
    <n v="138.15838509316771"/>
  </r>
  <r>
    <n v="226"/>
    <d v="2023-03-15T00:00:00"/>
    <x v="2"/>
    <d v="1900-01-04T00:00:00"/>
    <x v="0"/>
    <s v="No"/>
    <s v="No"/>
    <s v="None"/>
    <x v="3"/>
    <x v="3"/>
    <n v="13"/>
    <n v="143"/>
    <n v="26"/>
    <n v="117"/>
    <n v="0.81818181818181823"/>
    <n v="11"/>
    <n v="138.15838509316771"/>
  </r>
  <r>
    <n v="227"/>
    <d v="2023-03-16T00:00:00"/>
    <x v="2"/>
    <d v="1900-01-05T00:00:00"/>
    <x v="0"/>
    <s v="No"/>
    <s v="No"/>
    <s v="None"/>
    <x v="0"/>
    <x v="4"/>
    <n v="19"/>
    <n v="209"/>
    <n v="24"/>
    <n v="185"/>
    <n v="0.88516746411483249"/>
    <n v="11"/>
    <n v="138.21829521829522"/>
  </r>
  <r>
    <n v="228"/>
    <d v="2023-03-16T00:00:00"/>
    <x v="2"/>
    <d v="1900-01-05T00:00:00"/>
    <x v="0"/>
    <s v="No"/>
    <s v="No"/>
    <s v="None"/>
    <x v="1"/>
    <x v="2"/>
    <n v="10"/>
    <n v="110"/>
    <n v="14"/>
    <n v="96"/>
    <n v="0.87272727272727268"/>
    <n v="11"/>
    <n v="138.21829521829522"/>
  </r>
  <r>
    <n v="229"/>
    <d v="2023-03-16T00:00:00"/>
    <x v="2"/>
    <d v="1900-01-05T00:00:00"/>
    <x v="0"/>
    <s v="No"/>
    <s v="No"/>
    <s v="None"/>
    <x v="2"/>
    <x v="2"/>
    <n v="10"/>
    <n v="110"/>
    <n v="44"/>
    <n v="66"/>
    <n v="0.6"/>
    <n v="11"/>
    <n v="138.21829521829522"/>
  </r>
  <r>
    <n v="230"/>
    <d v="2023-03-16T00:00:00"/>
    <x v="2"/>
    <d v="1900-01-05T00:00:00"/>
    <x v="0"/>
    <s v="No"/>
    <s v="No"/>
    <s v="None"/>
    <x v="3"/>
    <x v="3"/>
    <n v="18"/>
    <n v="198"/>
    <n v="29"/>
    <n v="169"/>
    <n v="0.85353535353535348"/>
    <n v="11"/>
    <n v="138.21829521829522"/>
  </r>
  <r>
    <n v="231"/>
    <d v="2023-03-17T00:00:00"/>
    <x v="2"/>
    <d v="1900-01-06T00:00:00"/>
    <x v="0"/>
    <s v="No"/>
    <s v="No"/>
    <s v="None"/>
    <x v="0"/>
    <x v="1"/>
    <n v="21"/>
    <n v="231"/>
    <n v="50"/>
    <n v="181"/>
    <n v="0.78354978354978355"/>
    <n v="11"/>
    <n v="138.33611691022963"/>
  </r>
  <r>
    <n v="232"/>
    <d v="2023-03-19T00:00:00"/>
    <x v="2"/>
    <d v="1900-01-01T00:00:00"/>
    <x v="0"/>
    <s v="No"/>
    <s v="No"/>
    <s v="None"/>
    <x v="0"/>
    <x v="4"/>
    <n v="21"/>
    <n v="231"/>
    <n v="42"/>
    <n v="189"/>
    <n v="0.81818181818181823"/>
    <n v="11"/>
    <n v="138.35473684210527"/>
  </r>
  <r>
    <n v="233"/>
    <d v="2023-03-19T00:00:00"/>
    <x v="2"/>
    <d v="1900-01-01T00:00:00"/>
    <x v="0"/>
    <s v="No"/>
    <s v="No"/>
    <s v="None"/>
    <x v="1"/>
    <x v="5"/>
    <n v="9"/>
    <n v="99"/>
    <n v="43"/>
    <n v="56"/>
    <n v="0.56565656565656564"/>
    <n v="11"/>
    <n v="138.35473684210527"/>
  </r>
  <r>
    <n v="234"/>
    <d v="2023-03-19T00:00:00"/>
    <x v="2"/>
    <d v="1900-01-01T00:00:00"/>
    <x v="0"/>
    <s v="No"/>
    <s v="No"/>
    <s v="None"/>
    <x v="2"/>
    <x v="5"/>
    <n v="9"/>
    <n v="99"/>
    <n v="3"/>
    <n v="96"/>
    <n v="0.96969696969696972"/>
    <n v="11"/>
    <n v="138.35473684210527"/>
  </r>
  <r>
    <n v="235"/>
    <d v="2023-03-19T00:00:00"/>
    <x v="2"/>
    <d v="1900-01-01T00:00:00"/>
    <x v="0"/>
    <s v="No"/>
    <s v="No"/>
    <s v="None"/>
    <x v="3"/>
    <x v="5"/>
    <n v="13"/>
    <n v="143"/>
    <n v="29"/>
    <n v="114"/>
    <n v="0.79720279720279719"/>
    <n v="11"/>
    <n v="138.35473684210527"/>
  </r>
  <r>
    <n v="236"/>
    <d v="2023-03-20T00:00:00"/>
    <x v="2"/>
    <d v="1900-01-02T00:00:00"/>
    <x v="0"/>
    <s v="No"/>
    <s v="Yes"/>
    <s v="First Day of Spring Promotion"/>
    <x v="0"/>
    <x v="1"/>
    <n v="26"/>
    <n v="230"/>
    <n v="46"/>
    <n v="184"/>
    <n v="0.8"/>
    <n v="8.8461538461538467"/>
    <n v="138.25711275026345"/>
  </r>
  <r>
    <n v="237"/>
    <d v="2023-03-20T00:00:00"/>
    <x v="2"/>
    <d v="1900-01-02T00:00:00"/>
    <x v="0"/>
    <s v="No"/>
    <s v="Yes"/>
    <s v="First Day of Spring Promotion"/>
    <x v="1"/>
    <x v="1"/>
    <n v="16"/>
    <n v="152"/>
    <n v="44"/>
    <n v="108"/>
    <n v="0.71052631578947367"/>
    <n v="9.5"/>
    <n v="138.25711275026345"/>
  </r>
  <r>
    <n v="238"/>
    <d v="2023-03-20T00:00:00"/>
    <x v="2"/>
    <d v="1900-01-02T00:00:00"/>
    <x v="0"/>
    <s v="No"/>
    <s v="Yes"/>
    <s v="First Day of Spring Promotion"/>
    <x v="2"/>
    <x v="2"/>
    <n v="12"/>
    <n v="76"/>
    <n v="45"/>
    <n v="31"/>
    <n v="0.40789473684210525"/>
    <n v="6.333333333333333"/>
    <n v="138.25711275026345"/>
  </r>
  <r>
    <n v="239"/>
    <d v="2023-03-20T00:00:00"/>
    <x v="2"/>
    <d v="1900-01-02T00:00:00"/>
    <x v="0"/>
    <s v="No"/>
    <s v="Yes"/>
    <s v="First Day of Spring Promotion"/>
    <x v="3"/>
    <x v="3"/>
    <n v="18"/>
    <n v="134"/>
    <n v="25"/>
    <n v="109"/>
    <n v="0.81343283582089554"/>
    <n v="7.4444444444444446"/>
    <n v="138.25711275026345"/>
  </r>
  <r>
    <n v="240"/>
    <d v="2023-03-21T00:00:00"/>
    <x v="2"/>
    <d v="1900-01-03T00:00:00"/>
    <x v="0"/>
    <s v="No"/>
    <s v="Yes"/>
    <s v="Spring Promotion"/>
    <x v="0"/>
    <x v="4"/>
    <n v="20"/>
    <n v="172"/>
    <n v="24"/>
    <n v="148"/>
    <n v="0.86046511627906974"/>
    <n v="8.6"/>
    <n v="138.25711275026345"/>
  </r>
  <r>
    <n v="241"/>
    <d v="2023-03-21T00:00:00"/>
    <x v="2"/>
    <d v="1900-01-03T00:00:00"/>
    <x v="0"/>
    <s v="No"/>
    <s v="Yes"/>
    <s v="Spring Promotion"/>
    <x v="1"/>
    <x v="5"/>
    <n v="23"/>
    <n v="197"/>
    <n v="46"/>
    <n v="151"/>
    <n v="0.76649746192893398"/>
    <n v="8.5652173913043477"/>
    <n v="138.25711275026345"/>
  </r>
  <r>
    <n v="242"/>
    <d v="2023-03-21T00:00:00"/>
    <x v="2"/>
    <d v="1900-01-03T00:00:00"/>
    <x v="0"/>
    <s v="No"/>
    <s v="Yes"/>
    <s v="Spring Promotion"/>
    <x v="2"/>
    <x v="5"/>
    <n v="21"/>
    <n v="191"/>
    <n v="39"/>
    <n v="152"/>
    <n v="0.79581151832460728"/>
    <n v="9.0952380952380949"/>
    <n v="138.25711275026345"/>
  </r>
  <r>
    <n v="243"/>
    <d v="2023-03-21T00:00:00"/>
    <x v="2"/>
    <d v="1900-01-03T00:00:00"/>
    <x v="0"/>
    <s v="No"/>
    <s v="Yes"/>
    <s v="Spring Promotion"/>
    <x v="3"/>
    <x v="5"/>
    <n v="24"/>
    <n v="216"/>
    <n v="21"/>
    <n v="195"/>
    <n v="0.90277777777777779"/>
    <n v="9"/>
    <n v="138.25711275026345"/>
  </r>
  <r>
    <n v="244"/>
    <d v="2023-03-22T00:00:00"/>
    <x v="2"/>
    <d v="1900-01-04T00:00:00"/>
    <x v="0"/>
    <s v="No"/>
    <s v="Yes"/>
    <s v="Spring Promotion"/>
    <x v="0"/>
    <x v="1"/>
    <n v="26"/>
    <n v="222"/>
    <n v="6"/>
    <n v="216"/>
    <n v="0.97297297297297303"/>
    <n v="8.5384615384615383"/>
    <n v="138.20211640211639"/>
  </r>
  <r>
    <n v="245"/>
    <d v="2023-03-22T00:00:00"/>
    <x v="2"/>
    <d v="1900-01-04T00:00:00"/>
    <x v="0"/>
    <s v="No"/>
    <s v="Yes"/>
    <s v="Spring Promotion"/>
    <x v="1"/>
    <x v="1"/>
    <n v="22"/>
    <n v="186"/>
    <n v="9"/>
    <n v="177"/>
    <n v="0.95161290322580649"/>
    <n v="8.454545454545455"/>
    <n v="138.20211640211639"/>
  </r>
  <r>
    <n v="246"/>
    <d v="2023-03-22T00:00:00"/>
    <x v="2"/>
    <d v="1900-01-04T00:00:00"/>
    <x v="0"/>
    <s v="No"/>
    <s v="Yes"/>
    <s v="Spring Promotion"/>
    <x v="2"/>
    <x v="2"/>
    <n v="19"/>
    <n v="185"/>
    <n v="14"/>
    <n v="171"/>
    <n v="0.92432432432432432"/>
    <n v="9.7368421052631575"/>
    <n v="138.20211640211639"/>
  </r>
  <r>
    <n v="247"/>
    <d v="2023-03-22T00:00:00"/>
    <x v="2"/>
    <d v="1900-01-04T00:00:00"/>
    <x v="0"/>
    <s v="No"/>
    <s v="Yes"/>
    <s v="Spring Promotion"/>
    <x v="3"/>
    <x v="3"/>
    <n v="20"/>
    <n v="196"/>
    <n v="35"/>
    <n v="161"/>
    <n v="0.8214285714285714"/>
    <n v="9.8000000000000007"/>
    <n v="138.20211640211639"/>
  </r>
  <r>
    <n v="248"/>
    <d v="2023-03-23T00:00:00"/>
    <x v="2"/>
    <d v="1900-01-05T00:00:00"/>
    <x v="0"/>
    <s v="No"/>
    <s v="Yes"/>
    <s v="Spring Promotion"/>
    <x v="0"/>
    <x v="4"/>
    <n v="29"/>
    <n v="263"/>
    <n v="19"/>
    <n v="244"/>
    <n v="0.92775665399239549"/>
    <n v="9.068965517241379"/>
    <n v="138.2635494155154"/>
  </r>
  <r>
    <n v="249"/>
    <d v="2023-03-23T00:00:00"/>
    <x v="2"/>
    <d v="1900-01-05T00:00:00"/>
    <x v="0"/>
    <s v="No"/>
    <s v="Yes"/>
    <s v="Spring Promotion"/>
    <x v="1"/>
    <x v="2"/>
    <n v="30"/>
    <n v="266"/>
    <n v="2"/>
    <n v="264"/>
    <n v="0.99248120300751874"/>
    <n v="8.8666666666666671"/>
    <n v="138.2635494155154"/>
  </r>
  <r>
    <n v="250"/>
    <d v="2023-03-23T00:00:00"/>
    <x v="2"/>
    <d v="1900-01-05T00:00:00"/>
    <x v="0"/>
    <s v="No"/>
    <s v="Yes"/>
    <s v="Spring Promotion"/>
    <x v="2"/>
    <x v="2"/>
    <n v="24"/>
    <n v="248"/>
    <n v="17"/>
    <n v="231"/>
    <n v="0.93145161290322576"/>
    <n v="10.333333333333334"/>
    <n v="138.2635494155154"/>
  </r>
  <r>
    <n v="251"/>
    <d v="2023-03-23T00:00:00"/>
    <x v="2"/>
    <d v="1900-01-05T00:00:00"/>
    <x v="0"/>
    <s v="No"/>
    <s v="Yes"/>
    <s v="Spring Promotion"/>
    <x v="3"/>
    <x v="3"/>
    <n v="26"/>
    <n v="230"/>
    <n v="15"/>
    <n v="215"/>
    <n v="0.93478260869565222"/>
    <n v="8.8461538461538467"/>
    <n v="138.2635494155154"/>
  </r>
  <r>
    <n v="252"/>
    <d v="2023-03-24T00:00:00"/>
    <x v="2"/>
    <d v="1900-01-06T00:00:00"/>
    <x v="0"/>
    <s v="No"/>
    <s v="Yes"/>
    <s v="Spring Promotion"/>
    <x v="0"/>
    <x v="1"/>
    <n v="30"/>
    <n v="274"/>
    <n v="18"/>
    <n v="256"/>
    <n v="0.93430656934306566"/>
    <n v="9.1333333333333329"/>
    <n v="138.39594450373534"/>
  </r>
  <r>
    <n v="253"/>
    <d v="2023-03-26T00:00:00"/>
    <x v="2"/>
    <d v="1900-01-01T00:00:00"/>
    <x v="0"/>
    <s v="No"/>
    <s v="No"/>
    <s v="None"/>
    <x v="0"/>
    <x v="4"/>
    <n v="24"/>
    <n v="264"/>
    <n v="28"/>
    <n v="236"/>
    <n v="0.89393939393939392"/>
    <n v="11"/>
    <n v="138.35629709364909"/>
  </r>
  <r>
    <n v="254"/>
    <d v="2023-03-26T00:00:00"/>
    <x v="2"/>
    <d v="1900-01-01T00:00:00"/>
    <x v="0"/>
    <s v="No"/>
    <s v="No"/>
    <s v="None"/>
    <x v="1"/>
    <x v="5"/>
    <n v="10"/>
    <n v="110"/>
    <n v="28"/>
    <n v="82"/>
    <n v="0.74545454545454548"/>
    <n v="11"/>
    <n v="138.35629709364909"/>
  </r>
  <r>
    <n v="255"/>
    <d v="2023-03-26T00:00:00"/>
    <x v="2"/>
    <d v="1900-01-01T00:00:00"/>
    <x v="0"/>
    <s v="No"/>
    <s v="No"/>
    <s v="None"/>
    <x v="2"/>
    <x v="5"/>
    <n v="8"/>
    <n v="88"/>
    <n v="22"/>
    <n v="66"/>
    <n v="0.75"/>
    <n v="11"/>
    <n v="138.35629709364909"/>
  </r>
  <r>
    <n v="256"/>
    <d v="2023-03-26T00:00:00"/>
    <x v="2"/>
    <d v="1900-01-01T00:00:00"/>
    <x v="0"/>
    <s v="No"/>
    <s v="No"/>
    <s v="None"/>
    <x v="3"/>
    <x v="5"/>
    <n v="14"/>
    <n v="154"/>
    <n v="17"/>
    <n v="137"/>
    <n v="0.88961038961038963"/>
    <n v="11"/>
    <n v="138.35629709364909"/>
  </r>
  <r>
    <n v="257"/>
    <d v="2023-03-27T00:00:00"/>
    <x v="2"/>
    <d v="1900-01-02T00:00:00"/>
    <x v="0"/>
    <s v="No"/>
    <s v="No"/>
    <s v="None"/>
    <x v="0"/>
    <x v="1"/>
    <n v="18"/>
    <n v="198"/>
    <n v="38"/>
    <n v="160"/>
    <n v="0.80808080808080807"/>
    <n v="11"/>
    <n v="138.29202586206895"/>
  </r>
  <r>
    <n v="258"/>
    <d v="2023-03-27T00:00:00"/>
    <x v="2"/>
    <d v="1900-01-02T00:00:00"/>
    <x v="0"/>
    <s v="No"/>
    <s v="No"/>
    <s v="None"/>
    <x v="1"/>
    <x v="1"/>
    <n v="11"/>
    <n v="121"/>
    <n v="22"/>
    <n v="99"/>
    <n v="0.81818181818181823"/>
    <n v="11"/>
    <n v="138.29202586206895"/>
  </r>
  <r>
    <n v="259"/>
    <d v="2023-03-27T00:00:00"/>
    <x v="2"/>
    <d v="1900-01-02T00:00:00"/>
    <x v="0"/>
    <s v="No"/>
    <s v="No"/>
    <s v="None"/>
    <x v="2"/>
    <x v="2"/>
    <n v="5"/>
    <n v="55"/>
    <n v="17"/>
    <n v="38"/>
    <n v="0.69090909090909092"/>
    <n v="11"/>
    <n v="138.29202586206895"/>
  </r>
  <r>
    <n v="260"/>
    <d v="2023-03-27T00:00:00"/>
    <x v="2"/>
    <d v="1900-01-02T00:00:00"/>
    <x v="0"/>
    <s v="No"/>
    <s v="No"/>
    <s v="None"/>
    <x v="3"/>
    <x v="3"/>
    <n v="13"/>
    <n v="143"/>
    <n v="41"/>
    <n v="102"/>
    <n v="0.71328671328671334"/>
    <n v="11"/>
    <n v="138.29202586206895"/>
  </r>
  <r>
    <n v="261"/>
    <d v="2023-03-28T00:00:00"/>
    <x v="2"/>
    <d v="1900-01-03T00:00:00"/>
    <x v="0"/>
    <s v="No"/>
    <s v="No"/>
    <s v="None"/>
    <x v="0"/>
    <x v="4"/>
    <n v="16"/>
    <n v="176"/>
    <n v="13"/>
    <n v="163"/>
    <n v="0.92613636363636365"/>
    <n v="11"/>
    <n v="138.29202586206895"/>
  </r>
  <r>
    <n v="262"/>
    <d v="2023-03-28T00:00:00"/>
    <x v="2"/>
    <d v="1900-01-03T00:00:00"/>
    <x v="0"/>
    <s v="No"/>
    <s v="No"/>
    <s v="None"/>
    <x v="1"/>
    <x v="5"/>
    <n v="5"/>
    <n v="55"/>
    <n v="50"/>
    <n v="5"/>
    <n v="9.0909090909090912E-2"/>
    <n v="11"/>
    <n v="138.29202586206895"/>
  </r>
  <r>
    <n v="263"/>
    <d v="2023-03-28T00:00:00"/>
    <x v="2"/>
    <d v="1900-01-03T00:00:00"/>
    <x v="0"/>
    <s v="No"/>
    <s v="No"/>
    <s v="None"/>
    <x v="2"/>
    <x v="5"/>
    <n v="5"/>
    <n v="55"/>
    <n v="13"/>
    <n v="42"/>
    <n v="0.76363636363636367"/>
    <n v="11"/>
    <n v="138.29202586206895"/>
  </r>
  <r>
    <n v="264"/>
    <d v="2023-03-28T00:00:00"/>
    <x v="2"/>
    <d v="1900-01-03T00:00:00"/>
    <x v="0"/>
    <s v="No"/>
    <s v="No"/>
    <s v="None"/>
    <x v="3"/>
    <x v="5"/>
    <n v="10"/>
    <n v="110"/>
    <n v="46"/>
    <n v="64"/>
    <n v="0.58181818181818179"/>
    <n v="11"/>
    <n v="138.29202586206895"/>
  </r>
  <r>
    <n v="265"/>
    <d v="2023-03-29T00:00:00"/>
    <x v="2"/>
    <d v="1900-01-04T00:00:00"/>
    <x v="0"/>
    <s v="No"/>
    <s v="No"/>
    <s v="None"/>
    <x v="0"/>
    <x v="1"/>
    <n v="16"/>
    <n v="176"/>
    <n v="24"/>
    <n v="152"/>
    <n v="0.86363636363636365"/>
    <n v="11"/>
    <n v="138.2478354978355"/>
  </r>
  <r>
    <n v="266"/>
    <d v="2023-03-29T00:00:00"/>
    <x v="2"/>
    <d v="1900-01-04T00:00:00"/>
    <x v="0"/>
    <s v="No"/>
    <s v="No"/>
    <s v="None"/>
    <x v="1"/>
    <x v="1"/>
    <n v="10"/>
    <n v="110"/>
    <n v="3"/>
    <n v="107"/>
    <n v="0.97272727272727277"/>
    <n v="11"/>
    <n v="138.2478354978355"/>
  </r>
  <r>
    <n v="267"/>
    <d v="2023-03-29T00:00:00"/>
    <x v="2"/>
    <d v="1900-01-04T00:00:00"/>
    <x v="0"/>
    <s v="No"/>
    <s v="No"/>
    <s v="None"/>
    <x v="2"/>
    <x v="2"/>
    <n v="5"/>
    <n v="55"/>
    <n v="9"/>
    <n v="46"/>
    <n v="0.83636363636363631"/>
    <n v="11"/>
    <n v="138.2478354978355"/>
  </r>
  <r>
    <n v="268"/>
    <d v="2023-03-29T00:00:00"/>
    <x v="2"/>
    <d v="1900-01-04T00:00:00"/>
    <x v="0"/>
    <s v="No"/>
    <s v="No"/>
    <s v="None"/>
    <x v="3"/>
    <x v="3"/>
    <n v="12"/>
    <n v="132"/>
    <n v="6"/>
    <n v="126"/>
    <n v="0.95454545454545459"/>
    <n v="11"/>
    <n v="138.2478354978355"/>
  </r>
  <r>
    <n v="269"/>
    <d v="2023-03-30T00:00:00"/>
    <x v="2"/>
    <d v="1900-01-05T00:00:00"/>
    <x v="0"/>
    <s v="No"/>
    <s v="No"/>
    <s v="None"/>
    <x v="0"/>
    <x v="4"/>
    <n v="21"/>
    <n v="231"/>
    <n v="44"/>
    <n v="187"/>
    <n v="0.80952380952380953"/>
    <n v="11"/>
    <n v="138.32282608695652"/>
  </r>
  <r>
    <n v="270"/>
    <d v="2023-03-30T00:00:00"/>
    <x v="2"/>
    <d v="1900-01-05T00:00:00"/>
    <x v="0"/>
    <s v="No"/>
    <s v="No"/>
    <s v="None"/>
    <x v="1"/>
    <x v="2"/>
    <n v="12"/>
    <n v="132"/>
    <n v="23"/>
    <n v="109"/>
    <n v="0.8257575757575758"/>
    <n v="11"/>
    <n v="138.32282608695652"/>
  </r>
  <r>
    <n v="271"/>
    <d v="2023-03-30T00:00:00"/>
    <x v="2"/>
    <d v="1900-01-05T00:00:00"/>
    <x v="0"/>
    <s v="No"/>
    <s v="No"/>
    <s v="None"/>
    <x v="2"/>
    <x v="2"/>
    <n v="8"/>
    <n v="88"/>
    <n v="33"/>
    <n v="55"/>
    <n v="0.625"/>
    <n v="11"/>
    <n v="138.32282608695652"/>
  </r>
  <r>
    <n v="272"/>
    <d v="2023-03-30T00:00:00"/>
    <x v="2"/>
    <d v="1900-01-05T00:00:00"/>
    <x v="0"/>
    <s v="No"/>
    <s v="No"/>
    <s v="None"/>
    <x v="3"/>
    <x v="3"/>
    <n v="17"/>
    <n v="187"/>
    <n v="3"/>
    <n v="184"/>
    <n v="0.98395721925133695"/>
    <n v="11"/>
    <n v="138.32282608695652"/>
  </r>
  <r>
    <n v="273"/>
    <d v="2023-03-31T00:00:00"/>
    <x v="2"/>
    <d v="1900-01-06T00:00:00"/>
    <x v="0"/>
    <s v="No"/>
    <s v="No"/>
    <s v="None"/>
    <x v="0"/>
    <x v="1"/>
    <n v="24"/>
    <n v="264"/>
    <n v="22"/>
    <n v="242"/>
    <n v="0.91666666666666663"/>
    <n v="11"/>
    <n v="138.45851528384279"/>
  </r>
  <r>
    <n v="274"/>
    <d v="2023-04-02T00:00:00"/>
    <x v="3"/>
    <d v="1900-01-01T00:00:00"/>
    <x v="1"/>
    <s v="No"/>
    <s v="No"/>
    <s v="None"/>
    <x v="0"/>
    <x v="4"/>
    <n v="19"/>
    <n v="209"/>
    <n v="34"/>
    <n v="175"/>
    <n v="0.83732057416267947"/>
    <n v="11"/>
    <n v="138.41850220264317"/>
  </r>
  <r>
    <n v="275"/>
    <d v="2023-04-02T00:00:00"/>
    <x v="3"/>
    <d v="1900-01-01T00:00:00"/>
    <x v="1"/>
    <s v="No"/>
    <s v="No"/>
    <s v="None"/>
    <x v="1"/>
    <x v="5"/>
    <n v="13"/>
    <n v="143"/>
    <n v="20"/>
    <n v="123"/>
    <n v="0.8601398601398601"/>
    <n v="11"/>
    <n v="138.41850220264317"/>
  </r>
  <r>
    <n v="276"/>
    <d v="2023-04-02T00:00:00"/>
    <x v="3"/>
    <d v="1900-01-01T00:00:00"/>
    <x v="1"/>
    <s v="No"/>
    <s v="No"/>
    <s v="None"/>
    <x v="2"/>
    <x v="5"/>
    <n v="10"/>
    <n v="110"/>
    <n v="17"/>
    <n v="93"/>
    <n v="0.84545454545454546"/>
    <n v="11"/>
    <n v="138.41850220264317"/>
  </r>
  <r>
    <n v="277"/>
    <d v="2023-04-02T00:00:00"/>
    <x v="3"/>
    <d v="1900-01-01T00:00:00"/>
    <x v="1"/>
    <s v="No"/>
    <s v="No"/>
    <s v="None"/>
    <x v="3"/>
    <x v="5"/>
    <n v="12"/>
    <n v="132"/>
    <n v="24"/>
    <n v="108"/>
    <n v="0.81818181818181823"/>
    <n v="11"/>
    <n v="138.41850220264317"/>
  </r>
  <r>
    <n v="278"/>
    <d v="2023-04-03T00:00:00"/>
    <x v="3"/>
    <d v="1900-01-02T00:00:00"/>
    <x v="1"/>
    <s v="No"/>
    <s v="No"/>
    <s v="None"/>
    <x v="0"/>
    <x v="1"/>
    <n v="17"/>
    <n v="187"/>
    <n v="25"/>
    <n v="162"/>
    <n v="0.86631016042780751"/>
    <n v="11"/>
    <n v="138.35281146637266"/>
  </r>
  <r>
    <n v="279"/>
    <d v="2023-04-03T00:00:00"/>
    <x v="3"/>
    <d v="1900-01-02T00:00:00"/>
    <x v="1"/>
    <s v="No"/>
    <s v="No"/>
    <s v="None"/>
    <x v="1"/>
    <x v="1"/>
    <n v="11"/>
    <n v="121"/>
    <n v="7"/>
    <n v="114"/>
    <n v="0.94214876033057848"/>
    <n v="11"/>
    <n v="138.35281146637266"/>
  </r>
  <r>
    <n v="280"/>
    <d v="2023-04-03T00:00:00"/>
    <x v="3"/>
    <d v="1900-01-02T00:00:00"/>
    <x v="1"/>
    <s v="No"/>
    <s v="No"/>
    <s v="None"/>
    <x v="2"/>
    <x v="2"/>
    <n v="5"/>
    <n v="55"/>
    <n v="4"/>
    <n v="51"/>
    <n v="0.92727272727272725"/>
    <n v="11"/>
    <n v="138.35281146637266"/>
  </r>
  <r>
    <n v="281"/>
    <d v="2023-04-03T00:00:00"/>
    <x v="3"/>
    <d v="1900-01-02T00:00:00"/>
    <x v="1"/>
    <s v="No"/>
    <s v="No"/>
    <s v="None"/>
    <x v="3"/>
    <x v="3"/>
    <n v="14"/>
    <n v="154"/>
    <n v="1"/>
    <n v="153"/>
    <n v="0.99350649350649356"/>
    <n v="11"/>
    <n v="138.35281146637266"/>
  </r>
  <r>
    <n v="282"/>
    <d v="2023-04-04T00:00:00"/>
    <x v="3"/>
    <d v="1900-01-03T00:00:00"/>
    <x v="1"/>
    <s v="No"/>
    <s v="No"/>
    <s v="None"/>
    <x v="0"/>
    <x v="4"/>
    <n v="15"/>
    <n v="165"/>
    <n v="29"/>
    <n v="136"/>
    <n v="0.82424242424242422"/>
    <n v="11"/>
    <n v="138.35281146637266"/>
  </r>
  <r>
    <n v="283"/>
    <d v="2023-04-04T00:00:00"/>
    <x v="3"/>
    <d v="1900-01-03T00:00:00"/>
    <x v="1"/>
    <s v="No"/>
    <s v="No"/>
    <s v="None"/>
    <x v="1"/>
    <x v="5"/>
    <n v="6"/>
    <n v="66"/>
    <n v="20"/>
    <n v="46"/>
    <n v="0.69696969696969702"/>
    <n v="11"/>
    <n v="138.35281146637266"/>
  </r>
  <r>
    <n v="284"/>
    <d v="2023-04-04T00:00:00"/>
    <x v="3"/>
    <d v="1900-01-03T00:00:00"/>
    <x v="1"/>
    <s v="No"/>
    <s v="No"/>
    <s v="None"/>
    <x v="2"/>
    <x v="5"/>
    <n v="5"/>
    <n v="55"/>
    <n v="14"/>
    <n v="41"/>
    <n v="0.74545454545454548"/>
    <n v="11"/>
    <n v="138.35281146637266"/>
  </r>
  <r>
    <n v="285"/>
    <d v="2023-04-04T00:00:00"/>
    <x v="3"/>
    <d v="1900-01-03T00:00:00"/>
    <x v="1"/>
    <s v="No"/>
    <s v="No"/>
    <s v="None"/>
    <x v="3"/>
    <x v="5"/>
    <n v="9"/>
    <n v="99"/>
    <n v="50"/>
    <n v="49"/>
    <n v="0.49494949494949497"/>
    <n v="11"/>
    <n v="138.35281146637266"/>
  </r>
  <r>
    <n v="286"/>
    <d v="2023-04-05T00:00:00"/>
    <x v="3"/>
    <d v="1900-01-04T00:00:00"/>
    <x v="1"/>
    <s v="No"/>
    <s v="No"/>
    <s v="None"/>
    <x v="0"/>
    <x v="1"/>
    <n v="16"/>
    <n v="176"/>
    <n v="12"/>
    <n v="164"/>
    <n v="0.93181818181818177"/>
    <n v="11"/>
    <n v="138.24695459579181"/>
  </r>
  <r>
    <n v="287"/>
    <d v="2023-04-05T00:00:00"/>
    <x v="3"/>
    <d v="1900-01-04T00:00:00"/>
    <x v="1"/>
    <s v="No"/>
    <s v="No"/>
    <s v="None"/>
    <x v="1"/>
    <x v="1"/>
    <n v="11"/>
    <n v="121"/>
    <n v="12"/>
    <n v="109"/>
    <n v="0.90082644628099173"/>
    <n v="11"/>
    <n v="138.24695459579181"/>
  </r>
  <r>
    <n v="288"/>
    <d v="2023-04-05T00:00:00"/>
    <x v="3"/>
    <d v="1900-01-04T00:00:00"/>
    <x v="1"/>
    <s v="No"/>
    <s v="No"/>
    <s v="None"/>
    <x v="2"/>
    <x v="2"/>
    <n v="5"/>
    <n v="55"/>
    <n v="40"/>
    <n v="15"/>
    <n v="0.27272727272727271"/>
    <n v="11"/>
    <n v="138.24695459579181"/>
  </r>
  <r>
    <n v="289"/>
    <d v="2023-04-05T00:00:00"/>
    <x v="3"/>
    <d v="1900-01-04T00:00:00"/>
    <x v="1"/>
    <s v="No"/>
    <s v="No"/>
    <s v="None"/>
    <x v="3"/>
    <x v="3"/>
    <n v="12"/>
    <n v="132"/>
    <n v="30"/>
    <n v="102"/>
    <n v="0.77272727272727271"/>
    <n v="11"/>
    <n v="138.24695459579181"/>
  </r>
  <r>
    <n v="290"/>
    <d v="2023-04-06T00:00:00"/>
    <x v="3"/>
    <d v="1900-01-05T00:00:00"/>
    <x v="1"/>
    <s v="No"/>
    <s v="No"/>
    <s v="None"/>
    <x v="0"/>
    <x v="4"/>
    <n v="18"/>
    <n v="198"/>
    <n v="13"/>
    <n v="185"/>
    <n v="0.93434343434343436"/>
    <n v="11"/>
    <n v="138.2992213570634"/>
  </r>
  <r>
    <n v="291"/>
    <d v="2023-04-06T00:00:00"/>
    <x v="3"/>
    <d v="1900-01-05T00:00:00"/>
    <x v="1"/>
    <s v="No"/>
    <s v="No"/>
    <s v="None"/>
    <x v="1"/>
    <x v="2"/>
    <n v="12"/>
    <n v="132"/>
    <n v="23"/>
    <n v="109"/>
    <n v="0.8257575757575758"/>
    <n v="11"/>
    <n v="138.2992213570634"/>
  </r>
  <r>
    <n v="292"/>
    <d v="2023-04-06T00:00:00"/>
    <x v="3"/>
    <d v="1900-01-05T00:00:00"/>
    <x v="1"/>
    <s v="No"/>
    <s v="No"/>
    <s v="None"/>
    <x v="2"/>
    <x v="2"/>
    <n v="9"/>
    <n v="99"/>
    <n v="13"/>
    <n v="86"/>
    <n v="0.86868686868686873"/>
    <n v="11"/>
    <n v="138.2992213570634"/>
  </r>
  <r>
    <n v="293"/>
    <d v="2023-04-06T00:00:00"/>
    <x v="3"/>
    <d v="1900-01-05T00:00:00"/>
    <x v="1"/>
    <s v="No"/>
    <s v="No"/>
    <s v="None"/>
    <x v="3"/>
    <x v="3"/>
    <n v="16"/>
    <n v="176"/>
    <n v="47"/>
    <n v="129"/>
    <n v="0.73295454545454541"/>
    <n v="11"/>
    <n v="138.2992213570634"/>
  </r>
  <r>
    <n v="294"/>
    <d v="2023-04-07T00:00:00"/>
    <x v="3"/>
    <d v="1900-01-06T00:00:00"/>
    <x v="1"/>
    <s v="No"/>
    <s v="No"/>
    <s v="None"/>
    <x v="0"/>
    <x v="1"/>
    <n v="21"/>
    <n v="231"/>
    <n v="3"/>
    <n v="228"/>
    <n v="0.98701298701298701"/>
    <n v="11"/>
    <n v="138.46256983240224"/>
  </r>
  <r>
    <n v="295"/>
    <d v="2023-04-09T00:00:00"/>
    <x v="3"/>
    <d v="1900-01-01T00:00:00"/>
    <x v="1"/>
    <s v="No"/>
    <s v="No"/>
    <s v="None"/>
    <x v="0"/>
    <x v="4"/>
    <n v="24"/>
    <n v="264"/>
    <n v="37"/>
    <n v="227"/>
    <n v="0.85984848484848486"/>
    <n v="11"/>
    <n v="138.47125140924464"/>
  </r>
  <r>
    <n v="296"/>
    <d v="2023-04-09T00:00:00"/>
    <x v="3"/>
    <d v="1900-01-01T00:00:00"/>
    <x v="1"/>
    <s v="No"/>
    <s v="No"/>
    <s v="None"/>
    <x v="1"/>
    <x v="5"/>
    <n v="10"/>
    <n v="110"/>
    <n v="50"/>
    <n v="60"/>
    <n v="0.54545454545454541"/>
    <n v="11"/>
    <n v="138.47125140924464"/>
  </r>
  <r>
    <n v="297"/>
    <d v="2023-04-09T00:00:00"/>
    <x v="3"/>
    <d v="1900-01-01T00:00:00"/>
    <x v="1"/>
    <s v="No"/>
    <s v="No"/>
    <s v="None"/>
    <x v="2"/>
    <x v="5"/>
    <n v="8"/>
    <n v="88"/>
    <n v="14"/>
    <n v="74"/>
    <n v="0.84090909090909094"/>
    <n v="11"/>
    <n v="138.47125140924464"/>
  </r>
  <r>
    <n v="298"/>
    <d v="2023-04-09T00:00:00"/>
    <x v="3"/>
    <d v="1900-01-01T00:00:00"/>
    <x v="1"/>
    <s v="No"/>
    <s v="No"/>
    <s v="None"/>
    <x v="3"/>
    <x v="5"/>
    <n v="14"/>
    <n v="154"/>
    <n v="40"/>
    <n v="114"/>
    <n v="0.74025974025974028"/>
    <n v="11"/>
    <n v="138.47125140924464"/>
  </r>
  <r>
    <n v="299"/>
    <d v="2023-04-10T00:00:00"/>
    <x v="3"/>
    <d v="1900-01-02T00:00:00"/>
    <x v="1"/>
    <s v="No"/>
    <s v="No"/>
    <s v="None"/>
    <x v="0"/>
    <x v="1"/>
    <n v="18"/>
    <n v="198"/>
    <n v="38"/>
    <n v="160"/>
    <n v="0.80808080808080807"/>
    <n v="11"/>
    <n v="138.32957110609482"/>
  </r>
  <r>
    <n v="300"/>
    <d v="2023-04-10T00:00:00"/>
    <x v="3"/>
    <d v="1900-01-02T00:00:00"/>
    <x v="1"/>
    <s v="No"/>
    <s v="No"/>
    <s v="None"/>
    <x v="1"/>
    <x v="1"/>
    <n v="11"/>
    <n v="121"/>
    <n v="14"/>
    <n v="107"/>
    <n v="0.88429752066115708"/>
    <n v="11"/>
    <n v="138.32957110609482"/>
  </r>
  <r>
    <n v="301"/>
    <d v="2023-04-10T00:00:00"/>
    <x v="3"/>
    <d v="1900-01-02T00:00:00"/>
    <x v="1"/>
    <s v="No"/>
    <s v="No"/>
    <s v="None"/>
    <x v="2"/>
    <x v="2"/>
    <n v="5"/>
    <n v="55"/>
    <n v="22"/>
    <n v="33"/>
    <n v="0.6"/>
    <n v="11"/>
    <n v="138.32957110609482"/>
  </r>
  <r>
    <n v="302"/>
    <d v="2023-04-10T00:00:00"/>
    <x v="3"/>
    <d v="1900-01-02T00:00:00"/>
    <x v="1"/>
    <s v="No"/>
    <s v="No"/>
    <s v="None"/>
    <x v="3"/>
    <x v="3"/>
    <n v="12"/>
    <n v="132"/>
    <n v="43"/>
    <n v="89"/>
    <n v="0.6742424242424242"/>
    <n v="11"/>
    <n v="138.32957110609482"/>
  </r>
  <r>
    <n v="303"/>
    <d v="2023-04-11T00:00:00"/>
    <x v="3"/>
    <d v="1900-01-03T00:00:00"/>
    <x v="1"/>
    <s v="No"/>
    <s v="No"/>
    <s v="None"/>
    <x v="0"/>
    <x v="4"/>
    <n v="16"/>
    <n v="176"/>
    <n v="9"/>
    <n v="167"/>
    <n v="0.94886363636363635"/>
    <n v="11"/>
    <n v="138.32957110609482"/>
  </r>
  <r>
    <n v="304"/>
    <d v="2023-04-11T00:00:00"/>
    <x v="3"/>
    <d v="1900-01-03T00:00:00"/>
    <x v="1"/>
    <s v="No"/>
    <s v="No"/>
    <s v="None"/>
    <x v="1"/>
    <x v="5"/>
    <n v="6"/>
    <n v="66"/>
    <n v="50"/>
    <n v="16"/>
    <n v="0.24242424242424243"/>
    <n v="11"/>
    <n v="138.32957110609482"/>
  </r>
  <r>
    <n v="305"/>
    <d v="2023-04-11T00:00:00"/>
    <x v="3"/>
    <d v="1900-01-03T00:00:00"/>
    <x v="1"/>
    <s v="No"/>
    <s v="No"/>
    <s v="None"/>
    <x v="2"/>
    <x v="5"/>
    <n v="5"/>
    <n v="55"/>
    <n v="10"/>
    <n v="45"/>
    <n v="0.81818181818181823"/>
    <n v="11"/>
    <n v="138.32957110609482"/>
  </r>
  <r>
    <n v="306"/>
    <d v="2023-04-11T00:00:00"/>
    <x v="3"/>
    <d v="1900-01-03T00:00:00"/>
    <x v="1"/>
    <s v="No"/>
    <s v="No"/>
    <s v="None"/>
    <x v="3"/>
    <x v="5"/>
    <n v="12"/>
    <n v="132"/>
    <n v="29"/>
    <n v="103"/>
    <n v="0.78030303030303028"/>
    <n v="11"/>
    <n v="138.32957110609482"/>
  </r>
  <r>
    <n v="307"/>
    <d v="2023-04-12T00:00:00"/>
    <x v="3"/>
    <d v="1900-01-04T00:00:00"/>
    <x v="1"/>
    <s v="No"/>
    <s v="No"/>
    <s v="None"/>
    <x v="0"/>
    <x v="1"/>
    <n v="19"/>
    <n v="209"/>
    <n v="15"/>
    <n v="194"/>
    <n v="0.92822966507177029"/>
    <n v="11"/>
    <n v="138.25850340136054"/>
  </r>
  <r>
    <n v="308"/>
    <d v="2023-04-12T00:00:00"/>
    <x v="3"/>
    <d v="1900-01-04T00:00:00"/>
    <x v="1"/>
    <s v="No"/>
    <s v="No"/>
    <s v="None"/>
    <x v="1"/>
    <x v="1"/>
    <n v="8"/>
    <n v="88"/>
    <n v="46"/>
    <n v="42"/>
    <n v="0.47727272727272729"/>
    <n v="11"/>
    <n v="138.25850340136054"/>
  </r>
  <r>
    <n v="309"/>
    <d v="2023-04-12T00:00:00"/>
    <x v="3"/>
    <d v="1900-01-04T00:00:00"/>
    <x v="1"/>
    <s v="No"/>
    <s v="No"/>
    <s v="None"/>
    <x v="2"/>
    <x v="2"/>
    <n v="5"/>
    <n v="55"/>
    <n v="49"/>
    <n v="6"/>
    <n v="0.10909090909090909"/>
    <n v="11"/>
    <n v="138.25850340136054"/>
  </r>
  <r>
    <n v="310"/>
    <d v="2023-04-12T00:00:00"/>
    <x v="3"/>
    <d v="1900-01-04T00:00:00"/>
    <x v="1"/>
    <s v="No"/>
    <s v="No"/>
    <s v="None"/>
    <x v="3"/>
    <x v="3"/>
    <n v="12"/>
    <n v="132"/>
    <n v="19"/>
    <n v="113"/>
    <n v="0.85606060606060608"/>
    <n v="11"/>
    <n v="138.25850340136054"/>
  </r>
  <r>
    <n v="311"/>
    <d v="2023-04-13T00:00:00"/>
    <x v="3"/>
    <d v="1900-01-05T00:00:00"/>
    <x v="1"/>
    <s v="No"/>
    <s v="No"/>
    <s v="None"/>
    <x v="0"/>
    <x v="4"/>
    <n v="18"/>
    <n v="198"/>
    <n v="45"/>
    <n v="153"/>
    <n v="0.77272727272727271"/>
    <n v="11"/>
    <n v="138.33712984054671"/>
  </r>
  <r>
    <n v="312"/>
    <d v="2023-04-13T00:00:00"/>
    <x v="3"/>
    <d v="1900-01-05T00:00:00"/>
    <x v="1"/>
    <s v="No"/>
    <s v="No"/>
    <s v="None"/>
    <x v="1"/>
    <x v="2"/>
    <n v="12"/>
    <n v="132"/>
    <n v="21"/>
    <n v="111"/>
    <n v="0.84090909090909094"/>
    <n v="11"/>
    <n v="138.33712984054671"/>
  </r>
  <r>
    <n v="313"/>
    <d v="2023-04-13T00:00:00"/>
    <x v="3"/>
    <d v="1900-01-05T00:00:00"/>
    <x v="1"/>
    <s v="No"/>
    <s v="No"/>
    <s v="None"/>
    <x v="2"/>
    <x v="2"/>
    <n v="8"/>
    <n v="88"/>
    <n v="23"/>
    <n v="65"/>
    <n v="0.73863636363636365"/>
    <n v="11"/>
    <n v="138.33712984054671"/>
  </r>
  <r>
    <n v="314"/>
    <d v="2023-04-13T00:00:00"/>
    <x v="3"/>
    <d v="1900-01-05T00:00:00"/>
    <x v="1"/>
    <s v="No"/>
    <s v="No"/>
    <s v="None"/>
    <x v="3"/>
    <x v="3"/>
    <n v="16"/>
    <n v="176"/>
    <n v="1"/>
    <n v="175"/>
    <n v="0.99431818181818177"/>
    <n v="11"/>
    <n v="138.33712984054671"/>
  </r>
  <r>
    <n v="315"/>
    <d v="2023-04-14T00:00:00"/>
    <x v="3"/>
    <d v="1900-01-06T00:00:00"/>
    <x v="1"/>
    <s v="No"/>
    <s v="No"/>
    <s v="None"/>
    <x v="0"/>
    <x v="1"/>
    <n v="23"/>
    <n v="253"/>
    <n v="28"/>
    <n v="225"/>
    <n v="0.88932806324110669"/>
    <n v="11"/>
    <n v="138.54233409610984"/>
  </r>
  <r>
    <n v="316"/>
    <d v="2023-04-16T00:00:00"/>
    <x v="3"/>
    <d v="1900-01-01T00:00:00"/>
    <x v="1"/>
    <s v="No"/>
    <s v="No"/>
    <s v="None"/>
    <x v="0"/>
    <x v="4"/>
    <n v="18"/>
    <n v="198"/>
    <n v="38"/>
    <n v="160"/>
    <n v="0.80808080808080807"/>
    <n v="11"/>
    <n v="138.59006928406467"/>
  </r>
  <r>
    <n v="317"/>
    <d v="2023-04-16T00:00:00"/>
    <x v="3"/>
    <d v="1900-01-01T00:00:00"/>
    <x v="1"/>
    <s v="No"/>
    <s v="No"/>
    <s v="None"/>
    <x v="1"/>
    <x v="5"/>
    <n v="10"/>
    <n v="110"/>
    <n v="8"/>
    <n v="102"/>
    <n v="0.92727272727272725"/>
    <n v="11"/>
    <n v="138.59006928406467"/>
  </r>
  <r>
    <n v="318"/>
    <d v="2023-04-16T00:00:00"/>
    <x v="3"/>
    <d v="1900-01-01T00:00:00"/>
    <x v="1"/>
    <s v="No"/>
    <s v="No"/>
    <s v="None"/>
    <x v="2"/>
    <x v="5"/>
    <n v="8"/>
    <n v="88"/>
    <n v="16"/>
    <n v="72"/>
    <n v="0.81818181818181823"/>
    <n v="11"/>
    <n v="138.59006928406467"/>
  </r>
  <r>
    <n v="319"/>
    <d v="2023-04-16T00:00:00"/>
    <x v="3"/>
    <d v="1900-01-01T00:00:00"/>
    <x v="1"/>
    <s v="No"/>
    <s v="No"/>
    <s v="None"/>
    <x v="3"/>
    <x v="5"/>
    <n v="14"/>
    <n v="154"/>
    <n v="32"/>
    <n v="122"/>
    <n v="0.79220779220779225"/>
    <n v="11"/>
    <n v="138.59006928406467"/>
  </r>
  <r>
    <n v="320"/>
    <d v="2023-04-17T00:00:00"/>
    <x v="3"/>
    <d v="1900-01-02T00:00:00"/>
    <x v="1"/>
    <s v="No"/>
    <s v="No"/>
    <s v="None"/>
    <x v="0"/>
    <x v="1"/>
    <n v="16"/>
    <n v="176"/>
    <n v="34"/>
    <n v="142"/>
    <n v="0.80681818181818177"/>
    <n v="11"/>
    <n v="138.48323699421965"/>
  </r>
  <r>
    <n v="321"/>
    <d v="2023-04-17T00:00:00"/>
    <x v="3"/>
    <d v="1900-01-02T00:00:00"/>
    <x v="1"/>
    <s v="No"/>
    <s v="No"/>
    <s v="None"/>
    <x v="1"/>
    <x v="1"/>
    <n v="13"/>
    <n v="143"/>
    <n v="42"/>
    <n v="101"/>
    <n v="0.70629370629370625"/>
    <n v="11"/>
    <n v="138.48323699421965"/>
  </r>
  <r>
    <n v="322"/>
    <d v="2023-04-17T00:00:00"/>
    <x v="3"/>
    <d v="1900-01-02T00:00:00"/>
    <x v="1"/>
    <s v="No"/>
    <s v="No"/>
    <s v="None"/>
    <x v="2"/>
    <x v="2"/>
    <n v="5"/>
    <n v="55"/>
    <n v="47"/>
    <n v="8"/>
    <n v="0.14545454545454545"/>
    <n v="11"/>
    <n v="138.48323699421965"/>
  </r>
  <r>
    <n v="323"/>
    <d v="2023-04-17T00:00:00"/>
    <x v="3"/>
    <d v="1900-01-02T00:00:00"/>
    <x v="1"/>
    <s v="No"/>
    <s v="No"/>
    <s v="None"/>
    <x v="3"/>
    <x v="3"/>
    <n v="10"/>
    <n v="110"/>
    <n v="15"/>
    <n v="95"/>
    <n v="0.86363636363636365"/>
    <n v="11"/>
    <n v="138.48323699421965"/>
  </r>
  <r>
    <n v="324"/>
    <d v="2023-04-18T00:00:00"/>
    <x v="3"/>
    <d v="1900-01-03T00:00:00"/>
    <x v="1"/>
    <s v="No"/>
    <s v="No"/>
    <s v="None"/>
    <x v="0"/>
    <x v="4"/>
    <n v="15"/>
    <n v="165"/>
    <n v="37"/>
    <n v="128"/>
    <n v="0.77575757575757576"/>
    <n v="11"/>
    <n v="138.48323699421965"/>
  </r>
  <r>
    <n v="325"/>
    <d v="2023-04-18T00:00:00"/>
    <x v="3"/>
    <d v="1900-01-03T00:00:00"/>
    <x v="1"/>
    <s v="No"/>
    <s v="No"/>
    <s v="None"/>
    <x v="1"/>
    <x v="5"/>
    <n v="6"/>
    <n v="66"/>
    <n v="37"/>
    <n v="29"/>
    <n v="0.43939393939393939"/>
    <n v="11"/>
    <n v="138.48323699421965"/>
  </r>
  <r>
    <n v="326"/>
    <d v="2023-04-18T00:00:00"/>
    <x v="3"/>
    <d v="1900-01-03T00:00:00"/>
    <x v="1"/>
    <s v="No"/>
    <s v="No"/>
    <s v="None"/>
    <x v="2"/>
    <x v="5"/>
    <n v="5"/>
    <n v="55"/>
    <n v="22"/>
    <n v="33"/>
    <n v="0.6"/>
    <n v="11"/>
    <n v="138.48323699421965"/>
  </r>
  <r>
    <n v="327"/>
    <d v="2023-04-18T00:00:00"/>
    <x v="3"/>
    <d v="1900-01-03T00:00:00"/>
    <x v="1"/>
    <s v="No"/>
    <s v="No"/>
    <s v="None"/>
    <x v="3"/>
    <x v="5"/>
    <n v="10"/>
    <n v="110"/>
    <n v="24"/>
    <n v="86"/>
    <n v="0.78181818181818186"/>
    <n v="11"/>
    <n v="138.48323699421965"/>
  </r>
  <r>
    <n v="328"/>
    <d v="2023-04-19T00:00:00"/>
    <x v="3"/>
    <d v="1900-01-04T00:00:00"/>
    <x v="1"/>
    <s v="No"/>
    <s v="No"/>
    <s v="None"/>
    <x v="0"/>
    <x v="1"/>
    <n v="16"/>
    <n v="176"/>
    <n v="17"/>
    <n v="159"/>
    <n v="0.90340909090909094"/>
    <n v="11"/>
    <n v="138.46225319396052"/>
  </r>
  <r>
    <n v="329"/>
    <d v="2023-04-19T00:00:00"/>
    <x v="3"/>
    <d v="1900-01-04T00:00:00"/>
    <x v="1"/>
    <s v="No"/>
    <s v="No"/>
    <s v="None"/>
    <x v="1"/>
    <x v="1"/>
    <n v="10"/>
    <n v="110"/>
    <n v="40"/>
    <n v="70"/>
    <n v="0.63636363636363635"/>
    <n v="11"/>
    <n v="138.46225319396052"/>
  </r>
  <r>
    <n v="330"/>
    <d v="2023-04-19T00:00:00"/>
    <x v="3"/>
    <d v="1900-01-04T00:00:00"/>
    <x v="1"/>
    <s v="No"/>
    <s v="No"/>
    <s v="None"/>
    <x v="2"/>
    <x v="2"/>
    <n v="5"/>
    <n v="55"/>
    <n v="42"/>
    <n v="13"/>
    <n v="0.23636363636363636"/>
    <n v="11"/>
    <n v="138.46225319396052"/>
  </r>
  <r>
    <n v="331"/>
    <d v="2023-04-19T00:00:00"/>
    <x v="3"/>
    <d v="1900-01-04T00:00:00"/>
    <x v="1"/>
    <s v="No"/>
    <s v="No"/>
    <s v="None"/>
    <x v="3"/>
    <x v="3"/>
    <n v="12"/>
    <n v="132"/>
    <n v="6"/>
    <n v="126"/>
    <n v="0.95454545454545459"/>
    <n v="11"/>
    <n v="138.46225319396052"/>
  </r>
  <r>
    <n v="332"/>
    <d v="2023-04-20T00:00:00"/>
    <x v="3"/>
    <d v="1900-01-05T00:00:00"/>
    <x v="1"/>
    <s v="No"/>
    <s v="No"/>
    <s v="None"/>
    <x v="0"/>
    <x v="4"/>
    <n v="19"/>
    <n v="209"/>
    <n v="2"/>
    <n v="207"/>
    <n v="0.99043062200956933"/>
    <n v="11"/>
    <n v="138.41773628938157"/>
  </r>
  <r>
    <n v="333"/>
    <d v="2023-04-20T00:00:00"/>
    <x v="3"/>
    <d v="1900-01-05T00:00:00"/>
    <x v="1"/>
    <s v="No"/>
    <s v="No"/>
    <s v="None"/>
    <x v="1"/>
    <x v="2"/>
    <n v="12"/>
    <n v="132"/>
    <n v="16"/>
    <n v="116"/>
    <n v="0.87878787878787878"/>
    <n v="11"/>
    <n v="138.41773628938157"/>
  </r>
  <r>
    <n v="334"/>
    <d v="2023-04-20T00:00:00"/>
    <x v="3"/>
    <d v="1900-01-05T00:00:00"/>
    <x v="1"/>
    <s v="No"/>
    <s v="No"/>
    <s v="None"/>
    <x v="2"/>
    <x v="2"/>
    <n v="9"/>
    <n v="99"/>
    <n v="20"/>
    <n v="79"/>
    <n v="0.79797979797979801"/>
    <n v="11"/>
    <n v="138.41773628938157"/>
  </r>
  <r>
    <n v="335"/>
    <d v="2023-04-20T00:00:00"/>
    <x v="3"/>
    <d v="1900-01-05T00:00:00"/>
    <x v="1"/>
    <s v="No"/>
    <s v="No"/>
    <s v="None"/>
    <x v="3"/>
    <x v="3"/>
    <n v="15"/>
    <n v="165"/>
    <n v="44"/>
    <n v="121"/>
    <n v="0.73333333333333328"/>
    <n v="11"/>
    <n v="138.41773628938157"/>
  </r>
  <r>
    <n v="336"/>
    <d v="2023-04-21T00:00:00"/>
    <x v="3"/>
    <d v="1900-01-06T00:00:00"/>
    <x v="1"/>
    <s v="No"/>
    <s v="No"/>
    <s v="None"/>
    <x v="0"/>
    <x v="1"/>
    <n v="21"/>
    <n v="231"/>
    <n v="26"/>
    <n v="205"/>
    <n v="0.88744588744588748"/>
    <n v="11"/>
    <n v="138.15709261430246"/>
  </r>
  <r>
    <n v="337"/>
    <d v="2023-04-23T00:00:00"/>
    <x v="3"/>
    <d v="1900-01-01T00:00:00"/>
    <x v="1"/>
    <s v="No"/>
    <s v="No"/>
    <s v="None"/>
    <x v="0"/>
    <x v="4"/>
    <n v="20"/>
    <n v="220"/>
    <n v="16"/>
    <n v="204"/>
    <n v="0.92727272727272725"/>
    <n v="11"/>
    <n v="137.33964497041421"/>
  </r>
  <r>
    <n v="338"/>
    <d v="2023-04-23T00:00:00"/>
    <x v="3"/>
    <d v="1900-01-01T00:00:00"/>
    <x v="1"/>
    <s v="No"/>
    <s v="No"/>
    <s v="None"/>
    <x v="1"/>
    <x v="5"/>
    <n v="13"/>
    <n v="143"/>
    <n v="9"/>
    <n v="134"/>
    <n v="0.93706293706293708"/>
    <n v="11"/>
    <n v="137.33964497041421"/>
  </r>
  <r>
    <n v="339"/>
    <d v="2023-04-23T00:00:00"/>
    <x v="3"/>
    <d v="1900-01-01T00:00:00"/>
    <x v="1"/>
    <s v="No"/>
    <s v="No"/>
    <s v="None"/>
    <x v="2"/>
    <x v="5"/>
    <n v="9"/>
    <n v="99"/>
    <n v="43"/>
    <n v="56"/>
    <n v="0.56565656565656564"/>
    <n v="11"/>
    <n v="137.33964497041421"/>
  </r>
  <r>
    <n v="340"/>
    <d v="2023-04-23T00:00:00"/>
    <x v="3"/>
    <d v="1900-01-01T00:00:00"/>
    <x v="1"/>
    <s v="No"/>
    <s v="No"/>
    <s v="None"/>
    <x v="3"/>
    <x v="5"/>
    <n v="16"/>
    <n v="176"/>
    <n v="24"/>
    <n v="152"/>
    <n v="0.86363636363636365"/>
    <n v="11"/>
    <n v="137.33964497041421"/>
  </r>
  <r>
    <n v="341"/>
    <d v="2023-04-24T00:00:00"/>
    <x v="3"/>
    <d v="1900-01-02T00:00:00"/>
    <x v="1"/>
    <s v="No"/>
    <s v="No"/>
    <s v="None"/>
    <x v="0"/>
    <x v="1"/>
    <n v="19"/>
    <n v="209"/>
    <n v="18"/>
    <n v="191"/>
    <n v="0.9138755980861244"/>
    <n v="11"/>
    <n v="137.17772511848341"/>
  </r>
  <r>
    <n v="342"/>
    <d v="2023-04-24T00:00:00"/>
    <x v="3"/>
    <d v="1900-01-02T00:00:00"/>
    <x v="1"/>
    <s v="No"/>
    <s v="No"/>
    <s v="None"/>
    <x v="1"/>
    <x v="1"/>
    <n v="11"/>
    <n v="121"/>
    <n v="12"/>
    <n v="109"/>
    <n v="0.90082644628099173"/>
    <n v="11"/>
    <n v="137.17772511848341"/>
  </r>
  <r>
    <n v="343"/>
    <d v="2023-04-24T00:00:00"/>
    <x v="3"/>
    <d v="1900-01-02T00:00:00"/>
    <x v="1"/>
    <s v="No"/>
    <s v="No"/>
    <s v="None"/>
    <x v="2"/>
    <x v="2"/>
    <n v="5"/>
    <n v="55"/>
    <n v="32"/>
    <n v="23"/>
    <n v="0.41818181818181815"/>
    <n v="11"/>
    <n v="137.17772511848341"/>
  </r>
  <r>
    <n v="344"/>
    <d v="2023-04-24T00:00:00"/>
    <x v="3"/>
    <d v="1900-01-02T00:00:00"/>
    <x v="1"/>
    <s v="No"/>
    <s v="No"/>
    <s v="None"/>
    <x v="3"/>
    <x v="3"/>
    <n v="14"/>
    <n v="154"/>
    <n v="34"/>
    <n v="120"/>
    <n v="0.77922077922077926"/>
    <n v="11"/>
    <n v="137.17772511848341"/>
  </r>
  <r>
    <n v="345"/>
    <d v="2023-04-25T00:00:00"/>
    <x v="3"/>
    <d v="1900-01-03T00:00:00"/>
    <x v="1"/>
    <s v="No"/>
    <s v="No"/>
    <s v="None"/>
    <x v="0"/>
    <x v="4"/>
    <n v="17"/>
    <n v="187"/>
    <n v="48"/>
    <n v="139"/>
    <n v="0.74331550802139035"/>
    <n v="11"/>
    <n v="137.17772511848341"/>
  </r>
  <r>
    <n v="346"/>
    <d v="2023-04-25T00:00:00"/>
    <x v="3"/>
    <d v="1900-01-03T00:00:00"/>
    <x v="1"/>
    <s v="No"/>
    <s v="No"/>
    <s v="None"/>
    <x v="1"/>
    <x v="5"/>
    <n v="5"/>
    <n v="55"/>
    <n v="17"/>
    <n v="38"/>
    <n v="0.69090909090909092"/>
    <n v="11"/>
    <n v="137.17772511848341"/>
  </r>
  <r>
    <n v="347"/>
    <d v="2023-04-25T00:00:00"/>
    <x v="3"/>
    <d v="1900-01-03T00:00:00"/>
    <x v="1"/>
    <s v="No"/>
    <s v="No"/>
    <s v="None"/>
    <x v="2"/>
    <x v="5"/>
    <n v="5"/>
    <n v="55"/>
    <n v="34"/>
    <n v="21"/>
    <n v="0.38181818181818183"/>
    <n v="11"/>
    <n v="137.17772511848341"/>
  </r>
  <r>
    <n v="348"/>
    <d v="2023-04-25T00:00:00"/>
    <x v="3"/>
    <d v="1900-01-03T00:00:00"/>
    <x v="1"/>
    <s v="No"/>
    <s v="No"/>
    <s v="None"/>
    <x v="3"/>
    <x v="5"/>
    <n v="11"/>
    <n v="121"/>
    <n v="9"/>
    <n v="112"/>
    <n v="0.92561983471074383"/>
    <n v="11"/>
    <n v="137.17772511848341"/>
  </r>
  <r>
    <n v="349"/>
    <d v="2023-04-26T00:00:00"/>
    <x v="3"/>
    <d v="1900-01-04T00:00:00"/>
    <x v="1"/>
    <s v="No"/>
    <s v="No"/>
    <s v="None"/>
    <x v="0"/>
    <x v="1"/>
    <n v="17"/>
    <n v="187"/>
    <n v="8"/>
    <n v="179"/>
    <n v="0.95721925133689845"/>
    <n v="11"/>
    <n v="137.09761904761905"/>
  </r>
  <r>
    <n v="350"/>
    <d v="2023-04-26T00:00:00"/>
    <x v="3"/>
    <d v="1900-01-04T00:00:00"/>
    <x v="1"/>
    <s v="No"/>
    <s v="No"/>
    <s v="None"/>
    <x v="1"/>
    <x v="1"/>
    <n v="10"/>
    <n v="110"/>
    <n v="36"/>
    <n v="74"/>
    <n v="0.67272727272727273"/>
    <n v="11"/>
    <n v="137.09761904761905"/>
  </r>
  <r>
    <n v="351"/>
    <d v="2023-04-26T00:00:00"/>
    <x v="3"/>
    <d v="1900-01-04T00:00:00"/>
    <x v="1"/>
    <s v="No"/>
    <s v="No"/>
    <s v="None"/>
    <x v="2"/>
    <x v="2"/>
    <n v="5"/>
    <n v="55"/>
    <n v="18"/>
    <n v="37"/>
    <n v="0.67272727272727273"/>
    <n v="11"/>
    <n v="137.09761904761905"/>
  </r>
  <r>
    <n v="352"/>
    <d v="2023-04-26T00:00:00"/>
    <x v="3"/>
    <d v="1900-01-04T00:00:00"/>
    <x v="1"/>
    <s v="No"/>
    <s v="No"/>
    <s v="None"/>
    <x v="3"/>
    <x v="3"/>
    <n v="14"/>
    <n v="154"/>
    <n v="4"/>
    <n v="150"/>
    <n v="0.97402597402597402"/>
    <n v="11"/>
    <n v="137.09761904761905"/>
  </r>
  <r>
    <n v="353"/>
    <d v="2023-04-27T00:00:00"/>
    <x v="3"/>
    <d v="1900-01-05T00:00:00"/>
    <x v="1"/>
    <s v="No"/>
    <s v="No"/>
    <s v="None"/>
    <x v="0"/>
    <x v="4"/>
    <n v="20"/>
    <n v="220"/>
    <n v="19"/>
    <n v="201"/>
    <n v="0.91363636363636369"/>
    <n v="11"/>
    <n v="137.13516746411483"/>
  </r>
  <r>
    <n v="354"/>
    <d v="2023-04-27T00:00:00"/>
    <x v="3"/>
    <d v="1900-01-05T00:00:00"/>
    <x v="1"/>
    <s v="No"/>
    <s v="No"/>
    <s v="None"/>
    <x v="1"/>
    <x v="2"/>
    <n v="12"/>
    <n v="132"/>
    <n v="1"/>
    <n v="131"/>
    <n v="0.99242424242424243"/>
    <n v="11"/>
    <n v="137.13516746411483"/>
  </r>
  <r>
    <n v="355"/>
    <d v="2023-04-27T00:00:00"/>
    <x v="3"/>
    <d v="1900-01-05T00:00:00"/>
    <x v="1"/>
    <s v="No"/>
    <s v="No"/>
    <s v="None"/>
    <x v="2"/>
    <x v="2"/>
    <n v="8"/>
    <n v="88"/>
    <n v="16"/>
    <n v="72"/>
    <n v="0.81818181818181823"/>
    <n v="11"/>
    <n v="137.13516746411483"/>
  </r>
  <r>
    <n v="356"/>
    <d v="2023-04-27T00:00:00"/>
    <x v="3"/>
    <d v="1900-01-05T00:00:00"/>
    <x v="1"/>
    <s v="No"/>
    <s v="No"/>
    <s v="None"/>
    <x v="3"/>
    <x v="3"/>
    <n v="17"/>
    <n v="187"/>
    <n v="28"/>
    <n v="159"/>
    <n v="0.85026737967914434"/>
    <n v="11"/>
    <n v="137.13516746411483"/>
  </r>
  <r>
    <n v="357"/>
    <d v="2023-04-28T00:00:00"/>
    <x v="3"/>
    <d v="1900-01-06T00:00:00"/>
    <x v="1"/>
    <s v="No"/>
    <s v="No"/>
    <s v="None"/>
    <x v="0"/>
    <x v="1"/>
    <n v="22"/>
    <n v="242"/>
    <n v="6"/>
    <n v="236"/>
    <n v="0.97520661157024791"/>
    <n v="11"/>
    <n v="137.31850961538461"/>
  </r>
  <r>
    <n v="358"/>
    <d v="2023-04-30T00:00:00"/>
    <x v="3"/>
    <d v="1900-01-01T00:00:00"/>
    <x v="1"/>
    <s v="No"/>
    <s v="No"/>
    <s v="None"/>
    <x v="0"/>
    <x v="4"/>
    <n v="19"/>
    <n v="209"/>
    <n v="26"/>
    <n v="183"/>
    <n v="0.87559808612440193"/>
    <n v="11"/>
    <n v="137.30339805825244"/>
  </r>
  <r>
    <n v="359"/>
    <d v="2023-04-30T00:00:00"/>
    <x v="3"/>
    <d v="1900-01-01T00:00:00"/>
    <x v="1"/>
    <s v="No"/>
    <s v="No"/>
    <s v="None"/>
    <x v="1"/>
    <x v="5"/>
    <n v="11"/>
    <n v="121"/>
    <n v="46"/>
    <n v="75"/>
    <n v="0.6198347107438017"/>
    <n v="11"/>
    <n v="137.30339805825244"/>
  </r>
  <r>
    <n v="360"/>
    <d v="2023-04-30T00:00:00"/>
    <x v="3"/>
    <d v="1900-01-01T00:00:00"/>
    <x v="1"/>
    <s v="No"/>
    <s v="No"/>
    <s v="None"/>
    <x v="2"/>
    <x v="5"/>
    <n v="8"/>
    <n v="88"/>
    <n v="6"/>
    <n v="82"/>
    <n v="0.93181818181818177"/>
    <n v="11"/>
    <n v="137.30339805825244"/>
  </r>
  <r>
    <n v="361"/>
    <d v="2023-04-30T00:00:00"/>
    <x v="3"/>
    <d v="1900-01-01T00:00:00"/>
    <x v="1"/>
    <s v="No"/>
    <s v="No"/>
    <s v="None"/>
    <x v="3"/>
    <x v="5"/>
    <n v="15"/>
    <n v="165"/>
    <n v="2"/>
    <n v="163"/>
    <n v="0.98787878787878791"/>
    <n v="11"/>
    <n v="137.30339805825244"/>
  </r>
  <r>
    <n v="362"/>
    <d v="2023-05-01T00:00:00"/>
    <x v="4"/>
    <d v="1900-01-02T00:00:00"/>
    <x v="1"/>
    <s v="No"/>
    <s v="No"/>
    <s v="None"/>
    <x v="0"/>
    <x v="1"/>
    <n v="18"/>
    <n v="198"/>
    <n v="18"/>
    <n v="180"/>
    <n v="0.90909090909090906"/>
    <n v="11"/>
    <n v="137.1494532199271"/>
  </r>
  <r>
    <n v="363"/>
    <d v="2023-05-01T00:00:00"/>
    <x v="4"/>
    <d v="1900-01-02T00:00:00"/>
    <x v="1"/>
    <s v="No"/>
    <s v="No"/>
    <s v="None"/>
    <x v="1"/>
    <x v="1"/>
    <n v="9"/>
    <n v="99"/>
    <n v="9"/>
    <n v="90"/>
    <n v="0.90909090909090906"/>
    <n v="11"/>
    <n v="137.1494532199271"/>
  </r>
  <r>
    <n v="364"/>
    <d v="2023-05-01T00:00:00"/>
    <x v="4"/>
    <d v="1900-01-02T00:00:00"/>
    <x v="1"/>
    <s v="No"/>
    <s v="No"/>
    <s v="None"/>
    <x v="2"/>
    <x v="2"/>
    <n v="5"/>
    <n v="55"/>
    <n v="27"/>
    <n v="28"/>
    <n v="0.50909090909090904"/>
    <n v="11"/>
    <n v="137.1494532199271"/>
  </r>
  <r>
    <n v="365"/>
    <d v="2023-05-01T00:00:00"/>
    <x v="4"/>
    <d v="1900-01-02T00:00:00"/>
    <x v="1"/>
    <s v="No"/>
    <s v="No"/>
    <s v="None"/>
    <x v="3"/>
    <x v="3"/>
    <n v="14"/>
    <n v="154"/>
    <n v="27"/>
    <n v="127"/>
    <n v="0.82467532467532467"/>
    <n v="11"/>
    <n v="137.1494532199271"/>
  </r>
  <r>
    <n v="366"/>
    <d v="2023-05-02T00:00:00"/>
    <x v="4"/>
    <d v="1900-01-03T00:00:00"/>
    <x v="1"/>
    <s v="No"/>
    <s v="No"/>
    <s v="None"/>
    <x v="0"/>
    <x v="4"/>
    <n v="18"/>
    <n v="198"/>
    <n v="10"/>
    <n v="188"/>
    <n v="0.9494949494949495"/>
    <n v="11"/>
    <n v="137.1494532199271"/>
  </r>
  <r>
    <n v="367"/>
    <d v="2023-05-02T00:00:00"/>
    <x v="4"/>
    <d v="1900-01-03T00:00:00"/>
    <x v="1"/>
    <s v="No"/>
    <s v="No"/>
    <s v="None"/>
    <x v="1"/>
    <x v="5"/>
    <n v="8"/>
    <n v="88"/>
    <n v="36"/>
    <n v="52"/>
    <n v="0.59090909090909094"/>
    <n v="11"/>
    <n v="137.1494532199271"/>
  </r>
  <r>
    <n v="368"/>
    <d v="2023-05-02T00:00:00"/>
    <x v="4"/>
    <d v="1900-01-03T00:00:00"/>
    <x v="1"/>
    <s v="No"/>
    <s v="No"/>
    <s v="None"/>
    <x v="2"/>
    <x v="5"/>
    <n v="5"/>
    <n v="55"/>
    <n v="26"/>
    <n v="29"/>
    <n v="0.52727272727272723"/>
    <n v="11"/>
    <n v="137.1494532199271"/>
  </r>
  <r>
    <n v="369"/>
    <d v="2023-05-02T00:00:00"/>
    <x v="4"/>
    <d v="1900-01-03T00:00:00"/>
    <x v="1"/>
    <s v="No"/>
    <s v="No"/>
    <s v="None"/>
    <x v="3"/>
    <x v="5"/>
    <n v="12"/>
    <n v="132"/>
    <n v="26"/>
    <n v="106"/>
    <n v="0.80303030303030298"/>
    <n v="11"/>
    <n v="137.1494532199271"/>
  </r>
  <r>
    <n v="370"/>
    <d v="2023-05-03T00:00:00"/>
    <x v="4"/>
    <d v="1900-01-04T00:00:00"/>
    <x v="1"/>
    <s v="No"/>
    <s v="No"/>
    <s v="None"/>
    <x v="0"/>
    <x v="1"/>
    <n v="16"/>
    <n v="176"/>
    <n v="48"/>
    <n v="128"/>
    <n v="0.72727272727272729"/>
    <n v="11"/>
    <n v="137.09401709401709"/>
  </r>
  <r>
    <n v="371"/>
    <d v="2023-05-03T00:00:00"/>
    <x v="4"/>
    <d v="1900-01-04T00:00:00"/>
    <x v="1"/>
    <s v="No"/>
    <s v="No"/>
    <s v="None"/>
    <x v="1"/>
    <x v="1"/>
    <n v="10"/>
    <n v="110"/>
    <n v="26"/>
    <n v="84"/>
    <n v="0.76363636363636367"/>
    <n v="11"/>
    <n v="137.09401709401709"/>
  </r>
  <r>
    <n v="372"/>
    <d v="2023-05-03T00:00:00"/>
    <x v="4"/>
    <d v="1900-01-04T00:00:00"/>
    <x v="1"/>
    <s v="No"/>
    <s v="No"/>
    <s v="None"/>
    <x v="2"/>
    <x v="2"/>
    <n v="5"/>
    <n v="55"/>
    <n v="37"/>
    <n v="18"/>
    <n v="0.32727272727272727"/>
    <n v="11"/>
    <n v="137.09401709401709"/>
  </r>
  <r>
    <n v="373"/>
    <d v="2023-05-03T00:00:00"/>
    <x v="4"/>
    <d v="1900-01-04T00:00:00"/>
    <x v="1"/>
    <s v="No"/>
    <s v="No"/>
    <s v="None"/>
    <x v="3"/>
    <x v="3"/>
    <n v="11"/>
    <n v="121"/>
    <n v="12"/>
    <n v="109"/>
    <n v="0.90082644628099173"/>
    <n v="11"/>
    <n v="137.09401709401709"/>
  </r>
  <r>
    <n v="374"/>
    <d v="2023-05-04T00:00:00"/>
    <x v="4"/>
    <d v="1900-01-05T00:00:00"/>
    <x v="1"/>
    <s v="No"/>
    <s v="No"/>
    <s v="None"/>
    <x v="0"/>
    <x v="4"/>
    <n v="18"/>
    <n v="198"/>
    <n v="27"/>
    <n v="171"/>
    <n v="0.86363636363636365"/>
    <n v="11"/>
    <n v="137.13251533742331"/>
  </r>
  <r>
    <n v="375"/>
    <d v="2023-05-04T00:00:00"/>
    <x v="4"/>
    <d v="1900-01-05T00:00:00"/>
    <x v="1"/>
    <s v="No"/>
    <s v="No"/>
    <s v="None"/>
    <x v="1"/>
    <x v="2"/>
    <n v="9"/>
    <n v="99"/>
    <n v="4"/>
    <n v="95"/>
    <n v="0.95959595959595956"/>
    <n v="11"/>
    <n v="137.13251533742331"/>
  </r>
  <r>
    <n v="376"/>
    <d v="2023-05-04T00:00:00"/>
    <x v="4"/>
    <d v="1900-01-05T00:00:00"/>
    <x v="1"/>
    <s v="No"/>
    <s v="No"/>
    <s v="None"/>
    <x v="2"/>
    <x v="2"/>
    <n v="9"/>
    <n v="99"/>
    <n v="49"/>
    <n v="50"/>
    <n v="0.50505050505050508"/>
    <n v="11"/>
    <n v="137.13251533742331"/>
  </r>
  <r>
    <n v="377"/>
    <d v="2023-05-04T00:00:00"/>
    <x v="4"/>
    <d v="1900-01-05T00:00:00"/>
    <x v="1"/>
    <s v="No"/>
    <s v="No"/>
    <s v="None"/>
    <x v="3"/>
    <x v="3"/>
    <n v="19"/>
    <n v="209"/>
    <n v="38"/>
    <n v="171"/>
    <n v="0.81818181818181823"/>
    <n v="11"/>
    <n v="137.13251533742331"/>
  </r>
  <r>
    <n v="378"/>
    <d v="2023-05-05T00:00:00"/>
    <x v="4"/>
    <d v="1900-01-06T00:00:00"/>
    <x v="1"/>
    <s v="No"/>
    <s v="No"/>
    <s v="None"/>
    <x v="0"/>
    <x v="1"/>
    <n v="22"/>
    <n v="242"/>
    <n v="21"/>
    <n v="221"/>
    <n v="0.91322314049586772"/>
    <n v="11"/>
    <n v="137.33415536374847"/>
  </r>
  <r>
    <n v="379"/>
    <d v="2023-05-07T00:00:00"/>
    <x v="4"/>
    <d v="1900-01-01T00:00:00"/>
    <x v="1"/>
    <s v="No"/>
    <s v="No"/>
    <s v="None"/>
    <x v="0"/>
    <x v="4"/>
    <n v="21"/>
    <n v="231"/>
    <n v="47"/>
    <n v="184"/>
    <n v="0.79653679653679654"/>
    <n v="11"/>
    <n v="137.34620174346202"/>
  </r>
  <r>
    <n v="380"/>
    <d v="2023-05-07T00:00:00"/>
    <x v="4"/>
    <d v="1900-01-01T00:00:00"/>
    <x v="1"/>
    <s v="No"/>
    <s v="No"/>
    <s v="None"/>
    <x v="1"/>
    <x v="5"/>
    <n v="8"/>
    <n v="88"/>
    <n v="14"/>
    <n v="74"/>
    <n v="0.84090909090909094"/>
    <n v="11"/>
    <n v="137.34620174346202"/>
  </r>
  <r>
    <n v="381"/>
    <d v="2023-05-07T00:00:00"/>
    <x v="4"/>
    <d v="1900-01-01T00:00:00"/>
    <x v="1"/>
    <s v="No"/>
    <s v="No"/>
    <s v="None"/>
    <x v="2"/>
    <x v="5"/>
    <n v="8"/>
    <n v="88"/>
    <n v="48"/>
    <n v="40"/>
    <n v="0.45454545454545453"/>
    <n v="11"/>
    <n v="137.34620174346202"/>
  </r>
  <r>
    <n v="382"/>
    <d v="2023-05-07T00:00:00"/>
    <x v="4"/>
    <d v="1900-01-01T00:00:00"/>
    <x v="1"/>
    <s v="No"/>
    <s v="No"/>
    <s v="None"/>
    <x v="3"/>
    <x v="5"/>
    <n v="13"/>
    <n v="143"/>
    <n v="20"/>
    <n v="123"/>
    <n v="0.8601398601398601"/>
    <n v="11"/>
    <n v="137.34620174346202"/>
  </r>
  <r>
    <n v="383"/>
    <d v="2023-05-08T00:00:00"/>
    <x v="4"/>
    <d v="1900-01-02T00:00:00"/>
    <x v="1"/>
    <s v="No"/>
    <s v="No"/>
    <s v="None"/>
    <x v="0"/>
    <x v="1"/>
    <n v="14"/>
    <n v="154"/>
    <n v="9"/>
    <n v="145"/>
    <n v="0.94155844155844159"/>
    <n v="11"/>
    <n v="137.22942643391522"/>
  </r>
  <r>
    <n v="384"/>
    <d v="2023-05-08T00:00:00"/>
    <x v="4"/>
    <d v="1900-01-02T00:00:00"/>
    <x v="1"/>
    <s v="No"/>
    <s v="No"/>
    <s v="None"/>
    <x v="1"/>
    <x v="1"/>
    <n v="12"/>
    <n v="132"/>
    <n v="34"/>
    <n v="98"/>
    <n v="0.74242424242424243"/>
    <n v="11"/>
    <n v="137.22942643391522"/>
  </r>
  <r>
    <n v="385"/>
    <d v="2023-05-08T00:00:00"/>
    <x v="4"/>
    <d v="1900-01-02T00:00:00"/>
    <x v="1"/>
    <s v="No"/>
    <s v="No"/>
    <s v="None"/>
    <x v="2"/>
    <x v="2"/>
    <n v="5"/>
    <n v="55"/>
    <n v="14"/>
    <n v="41"/>
    <n v="0.74545454545454548"/>
    <n v="11"/>
    <n v="137.22942643391522"/>
  </r>
  <r>
    <n v="386"/>
    <d v="2023-05-08T00:00:00"/>
    <x v="4"/>
    <d v="1900-01-02T00:00:00"/>
    <x v="1"/>
    <s v="No"/>
    <s v="No"/>
    <s v="None"/>
    <x v="3"/>
    <x v="3"/>
    <n v="11"/>
    <n v="121"/>
    <n v="38"/>
    <n v="83"/>
    <n v="0.68595041322314054"/>
    <n v="11"/>
    <n v="137.22942643391522"/>
  </r>
  <r>
    <n v="387"/>
    <d v="2023-05-09T00:00:00"/>
    <x v="4"/>
    <d v="1900-01-03T00:00:00"/>
    <x v="1"/>
    <s v="No"/>
    <s v="No"/>
    <s v="None"/>
    <x v="0"/>
    <x v="4"/>
    <n v="15"/>
    <n v="165"/>
    <n v="45"/>
    <n v="120"/>
    <n v="0.72727272727272729"/>
    <n v="11"/>
    <n v="137.22942643391522"/>
  </r>
  <r>
    <n v="388"/>
    <d v="2023-05-09T00:00:00"/>
    <x v="4"/>
    <d v="1900-01-03T00:00:00"/>
    <x v="1"/>
    <s v="No"/>
    <s v="No"/>
    <s v="None"/>
    <x v="1"/>
    <x v="5"/>
    <n v="5"/>
    <n v="55"/>
    <n v="4"/>
    <n v="51"/>
    <n v="0.92727272727272725"/>
    <n v="11"/>
    <n v="137.22942643391522"/>
  </r>
  <r>
    <n v="389"/>
    <d v="2023-05-09T00:00:00"/>
    <x v="4"/>
    <d v="1900-01-03T00:00:00"/>
    <x v="1"/>
    <s v="No"/>
    <s v="No"/>
    <s v="None"/>
    <x v="2"/>
    <x v="5"/>
    <n v="5"/>
    <n v="55"/>
    <n v="6"/>
    <n v="49"/>
    <n v="0.89090909090909087"/>
    <n v="11"/>
    <n v="137.22942643391522"/>
  </r>
  <r>
    <n v="390"/>
    <d v="2023-05-09T00:00:00"/>
    <x v="4"/>
    <d v="1900-01-03T00:00:00"/>
    <x v="1"/>
    <s v="No"/>
    <s v="No"/>
    <s v="None"/>
    <x v="3"/>
    <x v="5"/>
    <n v="11"/>
    <n v="121"/>
    <n v="44"/>
    <n v="77"/>
    <n v="0.63636363636363635"/>
    <n v="11"/>
    <n v="137.22942643391522"/>
  </r>
  <r>
    <n v="391"/>
    <d v="2023-05-10T00:00:00"/>
    <x v="4"/>
    <d v="1900-01-04T00:00:00"/>
    <x v="1"/>
    <s v="No"/>
    <s v="No"/>
    <s v="None"/>
    <x v="0"/>
    <x v="1"/>
    <n v="15"/>
    <n v="165"/>
    <n v="16"/>
    <n v="149"/>
    <n v="0.90303030303030307"/>
    <n v="11"/>
    <n v="137.14536340852129"/>
  </r>
  <r>
    <n v="392"/>
    <d v="2023-05-10T00:00:00"/>
    <x v="4"/>
    <d v="1900-01-04T00:00:00"/>
    <x v="1"/>
    <s v="No"/>
    <s v="No"/>
    <s v="None"/>
    <x v="1"/>
    <x v="1"/>
    <n v="11"/>
    <n v="121"/>
    <n v="24"/>
    <n v="97"/>
    <n v="0.80165289256198347"/>
    <n v="11"/>
    <n v="137.14536340852129"/>
  </r>
  <r>
    <n v="393"/>
    <d v="2023-05-10T00:00:00"/>
    <x v="4"/>
    <d v="1900-01-04T00:00:00"/>
    <x v="1"/>
    <s v="No"/>
    <s v="No"/>
    <s v="None"/>
    <x v="2"/>
    <x v="2"/>
    <n v="5"/>
    <n v="55"/>
    <n v="37"/>
    <n v="18"/>
    <n v="0.32727272727272727"/>
    <n v="11"/>
    <n v="137.14536340852129"/>
  </r>
  <r>
    <n v="394"/>
    <d v="2023-05-10T00:00:00"/>
    <x v="4"/>
    <d v="1900-01-04T00:00:00"/>
    <x v="1"/>
    <s v="No"/>
    <s v="No"/>
    <s v="None"/>
    <x v="3"/>
    <x v="3"/>
    <n v="14"/>
    <n v="154"/>
    <n v="27"/>
    <n v="127"/>
    <n v="0.82467532467532467"/>
    <n v="11"/>
    <n v="137.14536340852129"/>
  </r>
  <r>
    <n v="395"/>
    <d v="2023-05-11T00:00:00"/>
    <x v="4"/>
    <d v="1900-01-05T00:00:00"/>
    <x v="1"/>
    <s v="No"/>
    <s v="No"/>
    <s v="None"/>
    <x v="0"/>
    <x v="4"/>
    <n v="21"/>
    <n v="231"/>
    <n v="41"/>
    <n v="190"/>
    <n v="0.82251082251082253"/>
    <n v="11"/>
    <n v="137.19899244332493"/>
  </r>
  <r>
    <n v="396"/>
    <d v="2023-05-11T00:00:00"/>
    <x v="4"/>
    <d v="1900-01-05T00:00:00"/>
    <x v="1"/>
    <s v="No"/>
    <s v="No"/>
    <s v="None"/>
    <x v="1"/>
    <x v="2"/>
    <n v="10"/>
    <n v="110"/>
    <n v="7"/>
    <n v="103"/>
    <n v="0.9363636363636364"/>
    <n v="11"/>
    <n v="137.19899244332493"/>
  </r>
  <r>
    <n v="397"/>
    <d v="2023-05-11T00:00:00"/>
    <x v="4"/>
    <d v="1900-01-05T00:00:00"/>
    <x v="1"/>
    <s v="No"/>
    <s v="No"/>
    <s v="None"/>
    <x v="2"/>
    <x v="2"/>
    <n v="10"/>
    <n v="110"/>
    <n v="3"/>
    <n v="107"/>
    <n v="0.97272727272727277"/>
    <n v="11"/>
    <n v="137.19899244332493"/>
  </r>
  <r>
    <n v="398"/>
    <d v="2023-05-11T00:00:00"/>
    <x v="4"/>
    <d v="1900-01-05T00:00:00"/>
    <x v="1"/>
    <s v="No"/>
    <s v="No"/>
    <s v="None"/>
    <x v="3"/>
    <x v="3"/>
    <n v="16"/>
    <n v="176"/>
    <n v="34"/>
    <n v="142"/>
    <n v="0.80681818181818177"/>
    <n v="11"/>
    <n v="137.19899244332493"/>
  </r>
  <r>
    <n v="399"/>
    <d v="2023-05-12T00:00:00"/>
    <x v="4"/>
    <d v="1900-01-06T00:00:00"/>
    <x v="1"/>
    <s v="No"/>
    <s v="No"/>
    <s v="None"/>
    <x v="0"/>
    <x v="1"/>
    <n v="23"/>
    <n v="253"/>
    <n v="47"/>
    <n v="206"/>
    <n v="0.81422924901185767"/>
    <n v="11"/>
    <n v="137.35063291139241"/>
  </r>
  <r>
    <n v="400"/>
    <d v="2023-05-14T00:00:00"/>
    <x v="4"/>
    <d v="1900-01-01T00:00:00"/>
    <x v="1"/>
    <s v="No"/>
    <s v="No"/>
    <s v="None"/>
    <x v="0"/>
    <x v="4"/>
    <n v="19"/>
    <n v="209"/>
    <n v="17"/>
    <n v="192"/>
    <n v="0.91866028708133973"/>
    <n v="11"/>
    <n v="137.37723785166241"/>
  </r>
  <r>
    <n v="401"/>
    <d v="2023-05-14T00:00:00"/>
    <x v="4"/>
    <d v="1900-01-01T00:00:00"/>
    <x v="1"/>
    <s v="No"/>
    <s v="No"/>
    <s v="None"/>
    <x v="1"/>
    <x v="5"/>
    <n v="10"/>
    <n v="110"/>
    <n v="24"/>
    <n v="86"/>
    <n v="0.78181818181818186"/>
    <n v="11"/>
    <n v="137.37723785166241"/>
  </r>
  <r>
    <n v="402"/>
    <d v="2023-05-14T00:00:00"/>
    <x v="4"/>
    <d v="1900-01-01T00:00:00"/>
    <x v="1"/>
    <s v="No"/>
    <s v="No"/>
    <s v="None"/>
    <x v="2"/>
    <x v="5"/>
    <n v="10"/>
    <n v="110"/>
    <n v="1"/>
    <n v="109"/>
    <n v="0.99090909090909096"/>
    <n v="11"/>
    <n v="137.37723785166241"/>
  </r>
  <r>
    <n v="403"/>
    <d v="2023-05-14T00:00:00"/>
    <x v="4"/>
    <d v="1900-01-01T00:00:00"/>
    <x v="1"/>
    <s v="No"/>
    <s v="No"/>
    <s v="None"/>
    <x v="3"/>
    <x v="5"/>
    <n v="12"/>
    <n v="132"/>
    <n v="21"/>
    <n v="111"/>
    <n v="0.84090909090909094"/>
    <n v="11"/>
    <n v="137.37723785166241"/>
  </r>
  <r>
    <n v="404"/>
    <d v="2023-05-15T00:00:00"/>
    <x v="4"/>
    <d v="1900-01-02T00:00:00"/>
    <x v="1"/>
    <s v="No"/>
    <s v="No"/>
    <s v="None"/>
    <x v="0"/>
    <x v="1"/>
    <n v="18"/>
    <n v="198"/>
    <n v="17"/>
    <n v="181"/>
    <n v="0.91414141414141414"/>
    <n v="11"/>
    <n v="137.2291933418694"/>
  </r>
  <r>
    <n v="405"/>
    <d v="2023-05-15T00:00:00"/>
    <x v="4"/>
    <d v="1900-01-02T00:00:00"/>
    <x v="1"/>
    <s v="No"/>
    <s v="No"/>
    <s v="None"/>
    <x v="1"/>
    <x v="1"/>
    <n v="10"/>
    <n v="110"/>
    <n v="14"/>
    <n v="96"/>
    <n v="0.87272727272727268"/>
    <n v="11"/>
    <n v="137.2291933418694"/>
  </r>
  <r>
    <n v="406"/>
    <d v="2023-05-15T00:00:00"/>
    <x v="4"/>
    <d v="1900-01-02T00:00:00"/>
    <x v="1"/>
    <s v="No"/>
    <s v="No"/>
    <s v="None"/>
    <x v="2"/>
    <x v="2"/>
    <n v="5"/>
    <n v="55"/>
    <n v="28"/>
    <n v="27"/>
    <n v="0.49090909090909091"/>
    <n v="11"/>
    <n v="137.2291933418694"/>
  </r>
  <r>
    <n v="407"/>
    <d v="2023-05-15T00:00:00"/>
    <x v="4"/>
    <d v="1900-01-02T00:00:00"/>
    <x v="1"/>
    <s v="No"/>
    <s v="No"/>
    <s v="None"/>
    <x v="3"/>
    <x v="3"/>
    <n v="12"/>
    <n v="132"/>
    <n v="3"/>
    <n v="129"/>
    <n v="0.97727272727272729"/>
    <n v="11"/>
    <n v="137.2291933418694"/>
  </r>
  <r>
    <n v="408"/>
    <d v="2023-05-16T00:00:00"/>
    <x v="4"/>
    <d v="1900-01-03T00:00:00"/>
    <x v="1"/>
    <s v="No"/>
    <s v="No"/>
    <s v="None"/>
    <x v="0"/>
    <x v="4"/>
    <n v="15"/>
    <n v="165"/>
    <n v="11"/>
    <n v="154"/>
    <n v="0.93333333333333335"/>
    <n v="11"/>
    <n v="137.2291933418694"/>
  </r>
  <r>
    <n v="409"/>
    <d v="2023-05-16T00:00:00"/>
    <x v="4"/>
    <d v="1900-01-03T00:00:00"/>
    <x v="1"/>
    <s v="No"/>
    <s v="No"/>
    <s v="None"/>
    <x v="1"/>
    <x v="5"/>
    <n v="5"/>
    <n v="55"/>
    <n v="34"/>
    <n v="21"/>
    <n v="0.38181818181818183"/>
    <n v="11"/>
    <n v="137.2291933418694"/>
  </r>
  <r>
    <n v="410"/>
    <d v="2023-05-16T00:00:00"/>
    <x v="4"/>
    <d v="1900-01-03T00:00:00"/>
    <x v="1"/>
    <s v="No"/>
    <s v="No"/>
    <s v="None"/>
    <x v="2"/>
    <x v="5"/>
    <n v="5"/>
    <n v="55"/>
    <n v="23"/>
    <n v="32"/>
    <n v="0.58181818181818179"/>
    <n v="11"/>
    <n v="137.2291933418694"/>
  </r>
  <r>
    <n v="411"/>
    <d v="2023-05-16T00:00:00"/>
    <x v="4"/>
    <d v="1900-01-03T00:00:00"/>
    <x v="1"/>
    <s v="No"/>
    <s v="No"/>
    <s v="None"/>
    <x v="3"/>
    <x v="5"/>
    <n v="12"/>
    <n v="132"/>
    <n v="45"/>
    <n v="87"/>
    <n v="0.65909090909090906"/>
    <n v="11"/>
    <n v="137.2291933418694"/>
  </r>
  <r>
    <n v="412"/>
    <d v="2023-05-17T00:00:00"/>
    <x v="4"/>
    <d v="1900-01-04T00:00:00"/>
    <x v="1"/>
    <s v="No"/>
    <s v="No"/>
    <s v="None"/>
    <x v="0"/>
    <x v="1"/>
    <n v="17"/>
    <n v="187"/>
    <n v="45"/>
    <n v="142"/>
    <n v="0.75935828877005351"/>
    <n v="11"/>
    <n v="137.22779922779924"/>
  </r>
  <r>
    <n v="413"/>
    <d v="2023-05-17T00:00:00"/>
    <x v="4"/>
    <d v="1900-01-04T00:00:00"/>
    <x v="1"/>
    <s v="No"/>
    <s v="No"/>
    <s v="None"/>
    <x v="1"/>
    <x v="1"/>
    <n v="11"/>
    <n v="121"/>
    <n v="37"/>
    <n v="84"/>
    <n v="0.69421487603305787"/>
    <n v="11"/>
    <n v="137.22779922779924"/>
  </r>
  <r>
    <n v="414"/>
    <d v="2023-05-17T00:00:00"/>
    <x v="4"/>
    <d v="1900-01-04T00:00:00"/>
    <x v="1"/>
    <s v="No"/>
    <s v="No"/>
    <s v="None"/>
    <x v="2"/>
    <x v="2"/>
    <n v="5"/>
    <n v="55"/>
    <n v="43"/>
    <n v="12"/>
    <n v="0.21818181818181817"/>
    <n v="11"/>
    <n v="137.22779922779924"/>
  </r>
  <r>
    <n v="415"/>
    <d v="2023-05-17T00:00:00"/>
    <x v="4"/>
    <d v="1900-01-04T00:00:00"/>
    <x v="1"/>
    <s v="No"/>
    <s v="No"/>
    <s v="None"/>
    <x v="3"/>
    <x v="3"/>
    <n v="12"/>
    <n v="132"/>
    <n v="25"/>
    <n v="107"/>
    <n v="0.81060606060606055"/>
    <n v="11"/>
    <n v="137.22779922779924"/>
  </r>
  <r>
    <n v="416"/>
    <d v="2023-05-18T00:00:00"/>
    <x v="4"/>
    <d v="1900-01-05T00:00:00"/>
    <x v="1"/>
    <s v="No"/>
    <s v="No"/>
    <s v="None"/>
    <x v="0"/>
    <x v="4"/>
    <n v="20"/>
    <n v="220"/>
    <n v="33"/>
    <n v="187"/>
    <n v="0.85"/>
    <n v="11"/>
    <n v="137.31177231565329"/>
  </r>
  <r>
    <n v="417"/>
    <d v="2023-05-18T00:00:00"/>
    <x v="4"/>
    <d v="1900-01-05T00:00:00"/>
    <x v="1"/>
    <s v="No"/>
    <s v="No"/>
    <s v="None"/>
    <x v="1"/>
    <x v="2"/>
    <n v="13"/>
    <n v="143"/>
    <n v="22"/>
    <n v="121"/>
    <n v="0.84615384615384615"/>
    <n v="11"/>
    <n v="137.31177231565329"/>
  </r>
  <r>
    <n v="418"/>
    <d v="2023-05-18T00:00:00"/>
    <x v="4"/>
    <d v="1900-01-05T00:00:00"/>
    <x v="1"/>
    <s v="No"/>
    <s v="No"/>
    <s v="None"/>
    <x v="2"/>
    <x v="2"/>
    <n v="8"/>
    <n v="88"/>
    <n v="21"/>
    <n v="67"/>
    <n v="0.76136363636363635"/>
    <n v="11"/>
    <n v="137.31177231565329"/>
  </r>
  <r>
    <n v="419"/>
    <d v="2023-05-18T00:00:00"/>
    <x v="4"/>
    <d v="1900-01-05T00:00:00"/>
    <x v="1"/>
    <s v="No"/>
    <s v="No"/>
    <s v="None"/>
    <x v="3"/>
    <x v="3"/>
    <n v="18"/>
    <n v="198"/>
    <n v="17"/>
    <n v="181"/>
    <n v="0.91414141414141414"/>
    <n v="11"/>
    <n v="137.31177231565329"/>
  </r>
  <r>
    <n v="420"/>
    <d v="2023-05-19T00:00:00"/>
    <x v="4"/>
    <d v="1900-01-06T00:00:00"/>
    <x v="1"/>
    <s v="No"/>
    <s v="No"/>
    <s v="None"/>
    <x v="0"/>
    <x v="1"/>
    <n v="19"/>
    <n v="209"/>
    <n v="42"/>
    <n v="167"/>
    <n v="0.79904306220095689"/>
    <n v="11"/>
    <n v="137.51105331599479"/>
  </r>
  <r>
    <n v="421"/>
    <d v="2023-05-21T00:00:00"/>
    <x v="4"/>
    <d v="1900-01-01T00:00:00"/>
    <x v="1"/>
    <s v="No"/>
    <s v="No"/>
    <s v="None"/>
    <x v="0"/>
    <x v="4"/>
    <n v="20"/>
    <n v="220"/>
    <n v="6"/>
    <n v="214"/>
    <n v="0.97272727272727277"/>
    <n v="11"/>
    <n v="137.54007884362682"/>
  </r>
  <r>
    <n v="422"/>
    <d v="2023-05-21T00:00:00"/>
    <x v="4"/>
    <d v="1900-01-01T00:00:00"/>
    <x v="1"/>
    <s v="No"/>
    <s v="No"/>
    <s v="None"/>
    <x v="1"/>
    <x v="5"/>
    <n v="10"/>
    <n v="110"/>
    <n v="23"/>
    <n v="87"/>
    <n v="0.79090909090909089"/>
    <n v="11"/>
    <n v="137.54007884362682"/>
  </r>
  <r>
    <n v="423"/>
    <d v="2023-05-21T00:00:00"/>
    <x v="4"/>
    <d v="1900-01-01T00:00:00"/>
    <x v="1"/>
    <s v="No"/>
    <s v="No"/>
    <s v="None"/>
    <x v="2"/>
    <x v="5"/>
    <n v="9"/>
    <n v="99"/>
    <n v="27"/>
    <n v="72"/>
    <n v="0.72727272727272729"/>
    <n v="11"/>
    <n v="137.54007884362682"/>
  </r>
  <r>
    <n v="424"/>
    <d v="2023-05-21T00:00:00"/>
    <x v="4"/>
    <d v="1900-01-01T00:00:00"/>
    <x v="1"/>
    <s v="No"/>
    <s v="No"/>
    <s v="None"/>
    <x v="3"/>
    <x v="5"/>
    <n v="13"/>
    <n v="143"/>
    <n v="23"/>
    <n v="120"/>
    <n v="0.83916083916083917"/>
    <n v="11"/>
    <n v="137.54007884362682"/>
  </r>
  <r>
    <n v="425"/>
    <d v="2023-05-22T00:00:00"/>
    <x v="4"/>
    <d v="1900-01-02T00:00:00"/>
    <x v="1"/>
    <s v="No"/>
    <s v="No"/>
    <s v="None"/>
    <x v="0"/>
    <x v="1"/>
    <n v="19"/>
    <n v="209"/>
    <n v="12"/>
    <n v="197"/>
    <n v="0.9425837320574163"/>
    <n v="11"/>
    <n v="137.41710526315791"/>
  </r>
  <r>
    <n v="426"/>
    <d v="2023-05-22T00:00:00"/>
    <x v="4"/>
    <d v="1900-01-02T00:00:00"/>
    <x v="1"/>
    <s v="No"/>
    <s v="No"/>
    <s v="None"/>
    <x v="1"/>
    <x v="1"/>
    <n v="9"/>
    <n v="99"/>
    <n v="35"/>
    <n v="64"/>
    <n v="0.64646464646464652"/>
    <n v="11"/>
    <n v="137.41710526315791"/>
  </r>
  <r>
    <n v="427"/>
    <d v="2023-05-22T00:00:00"/>
    <x v="4"/>
    <d v="1900-01-02T00:00:00"/>
    <x v="1"/>
    <s v="No"/>
    <s v="No"/>
    <s v="None"/>
    <x v="2"/>
    <x v="2"/>
    <n v="5"/>
    <n v="55"/>
    <n v="6"/>
    <n v="49"/>
    <n v="0.89090909090909087"/>
    <n v="11"/>
    <n v="137.41710526315791"/>
  </r>
  <r>
    <n v="428"/>
    <d v="2023-05-22T00:00:00"/>
    <x v="4"/>
    <d v="1900-01-02T00:00:00"/>
    <x v="1"/>
    <s v="No"/>
    <s v="No"/>
    <s v="None"/>
    <x v="3"/>
    <x v="3"/>
    <n v="15"/>
    <n v="165"/>
    <n v="14"/>
    <n v="151"/>
    <n v="0.91515151515151516"/>
    <n v="11"/>
    <n v="137.41710526315791"/>
  </r>
  <r>
    <n v="429"/>
    <d v="2023-05-23T00:00:00"/>
    <x v="4"/>
    <d v="1900-01-03T00:00:00"/>
    <x v="1"/>
    <s v="No"/>
    <s v="No"/>
    <s v="None"/>
    <x v="0"/>
    <x v="4"/>
    <n v="17"/>
    <n v="187"/>
    <n v="11"/>
    <n v="176"/>
    <n v="0.94117647058823528"/>
    <n v="11"/>
    <n v="137.41710526315791"/>
  </r>
  <r>
    <n v="430"/>
    <d v="2023-05-23T00:00:00"/>
    <x v="4"/>
    <d v="1900-01-03T00:00:00"/>
    <x v="1"/>
    <s v="No"/>
    <s v="No"/>
    <s v="None"/>
    <x v="1"/>
    <x v="5"/>
    <n v="7"/>
    <n v="77"/>
    <n v="46"/>
    <n v="31"/>
    <n v="0.40259740259740262"/>
    <n v="11"/>
    <n v="137.41710526315791"/>
  </r>
  <r>
    <n v="431"/>
    <d v="2023-05-23T00:00:00"/>
    <x v="4"/>
    <d v="1900-01-03T00:00:00"/>
    <x v="1"/>
    <s v="No"/>
    <s v="No"/>
    <s v="None"/>
    <x v="2"/>
    <x v="5"/>
    <n v="5"/>
    <n v="55"/>
    <n v="4"/>
    <n v="51"/>
    <n v="0.92727272727272725"/>
    <n v="11"/>
    <n v="137.41710526315791"/>
  </r>
  <r>
    <n v="432"/>
    <d v="2023-05-23T00:00:00"/>
    <x v="4"/>
    <d v="1900-01-03T00:00:00"/>
    <x v="1"/>
    <s v="No"/>
    <s v="No"/>
    <s v="None"/>
    <x v="3"/>
    <x v="5"/>
    <n v="11"/>
    <n v="121"/>
    <n v="47"/>
    <n v="74"/>
    <n v="0.61157024793388426"/>
    <n v="11"/>
    <n v="137.41710526315791"/>
  </r>
  <r>
    <n v="433"/>
    <d v="2023-05-24T00:00:00"/>
    <x v="4"/>
    <d v="1900-01-04T00:00:00"/>
    <x v="1"/>
    <s v="No"/>
    <s v="No"/>
    <s v="None"/>
    <x v="0"/>
    <x v="1"/>
    <n v="16"/>
    <n v="176"/>
    <n v="12"/>
    <n v="164"/>
    <n v="0.93181818181818177"/>
    <n v="11"/>
    <n v="137.30026455026456"/>
  </r>
  <r>
    <n v="434"/>
    <d v="2023-05-24T00:00:00"/>
    <x v="4"/>
    <d v="1900-01-04T00:00:00"/>
    <x v="1"/>
    <s v="No"/>
    <s v="No"/>
    <s v="None"/>
    <x v="1"/>
    <x v="1"/>
    <n v="8"/>
    <n v="88"/>
    <n v="32"/>
    <n v="56"/>
    <n v="0.63636363636363635"/>
    <n v="11"/>
    <n v="137.30026455026456"/>
  </r>
  <r>
    <n v="435"/>
    <d v="2023-05-24T00:00:00"/>
    <x v="4"/>
    <d v="1900-01-04T00:00:00"/>
    <x v="1"/>
    <s v="No"/>
    <s v="No"/>
    <s v="None"/>
    <x v="2"/>
    <x v="2"/>
    <n v="5"/>
    <n v="55"/>
    <n v="23"/>
    <n v="32"/>
    <n v="0.58181818181818179"/>
    <n v="11"/>
    <n v="137.30026455026456"/>
  </r>
  <r>
    <n v="436"/>
    <d v="2023-05-24T00:00:00"/>
    <x v="4"/>
    <d v="1900-01-04T00:00:00"/>
    <x v="1"/>
    <s v="No"/>
    <s v="No"/>
    <s v="None"/>
    <x v="3"/>
    <x v="3"/>
    <n v="12"/>
    <n v="132"/>
    <n v="24"/>
    <n v="108"/>
    <n v="0.81818181818181823"/>
    <n v="11"/>
    <n v="137.30026455026456"/>
  </r>
  <r>
    <n v="437"/>
    <d v="2023-05-25T00:00:00"/>
    <x v="4"/>
    <d v="1900-01-05T00:00:00"/>
    <x v="1"/>
    <s v="No"/>
    <s v="No"/>
    <s v="None"/>
    <x v="0"/>
    <x v="4"/>
    <n v="21"/>
    <n v="231"/>
    <n v="6"/>
    <n v="225"/>
    <n v="0.97402597402597402"/>
    <n v="11"/>
    <n v="137.31382978723406"/>
  </r>
  <r>
    <n v="438"/>
    <d v="2023-05-25T00:00:00"/>
    <x v="4"/>
    <d v="1900-01-05T00:00:00"/>
    <x v="1"/>
    <s v="No"/>
    <s v="No"/>
    <s v="None"/>
    <x v="1"/>
    <x v="2"/>
    <n v="10"/>
    <n v="110"/>
    <n v="6"/>
    <n v="104"/>
    <n v="0.94545454545454544"/>
    <n v="11"/>
    <n v="137.31382978723406"/>
  </r>
  <r>
    <n v="439"/>
    <d v="2023-05-25T00:00:00"/>
    <x v="4"/>
    <d v="1900-01-05T00:00:00"/>
    <x v="1"/>
    <s v="No"/>
    <s v="No"/>
    <s v="None"/>
    <x v="2"/>
    <x v="2"/>
    <n v="9"/>
    <n v="99"/>
    <n v="36"/>
    <n v="63"/>
    <n v="0.63636363636363635"/>
    <n v="11"/>
    <n v="137.31382978723406"/>
  </r>
  <r>
    <n v="440"/>
    <d v="2023-05-25T00:00:00"/>
    <x v="4"/>
    <d v="1900-01-05T00:00:00"/>
    <x v="1"/>
    <s v="No"/>
    <s v="No"/>
    <s v="None"/>
    <x v="3"/>
    <x v="3"/>
    <n v="15"/>
    <n v="165"/>
    <n v="3"/>
    <n v="162"/>
    <n v="0.98181818181818181"/>
    <n v="11"/>
    <n v="137.31382978723406"/>
  </r>
  <r>
    <n v="441"/>
    <d v="2023-05-26T00:00:00"/>
    <x v="4"/>
    <d v="1900-01-06T00:00:00"/>
    <x v="1"/>
    <s v="No"/>
    <s v="No"/>
    <s v="None"/>
    <x v="0"/>
    <x v="1"/>
    <n v="23"/>
    <n v="253"/>
    <n v="7"/>
    <n v="246"/>
    <n v="0.97233201581027673"/>
    <n v="11"/>
    <n v="137.48930481283423"/>
  </r>
  <r>
    <n v="442"/>
    <d v="2023-05-28T00:00:00"/>
    <x v="4"/>
    <d v="1900-01-01T00:00:00"/>
    <x v="1"/>
    <s v="Yes"/>
    <s v="No"/>
    <s v="Memorial Day"/>
    <x v="0"/>
    <x v="4"/>
    <n v="19"/>
    <n v="209"/>
    <n v="8"/>
    <n v="201"/>
    <n v="0.96172248803827753"/>
    <n v="11"/>
    <n v="137.44459459459461"/>
  </r>
  <r>
    <n v="443"/>
    <d v="2023-05-28T00:00:00"/>
    <x v="4"/>
    <d v="1900-01-01T00:00:00"/>
    <x v="1"/>
    <s v="Yes"/>
    <s v="No"/>
    <s v="Memorial Day"/>
    <x v="1"/>
    <x v="5"/>
    <n v="11"/>
    <n v="121"/>
    <n v="50"/>
    <n v="71"/>
    <n v="0.58677685950413228"/>
    <n v="11"/>
    <n v="137.44459459459461"/>
  </r>
  <r>
    <n v="444"/>
    <d v="2023-05-28T00:00:00"/>
    <x v="4"/>
    <d v="1900-01-01T00:00:00"/>
    <x v="1"/>
    <s v="Yes"/>
    <s v="No"/>
    <s v="Memorial Day"/>
    <x v="2"/>
    <x v="5"/>
    <n v="10"/>
    <n v="110"/>
    <n v="26"/>
    <n v="84"/>
    <n v="0.76363636363636367"/>
    <n v="11"/>
    <n v="137.44459459459461"/>
  </r>
  <r>
    <n v="445"/>
    <d v="2023-05-28T00:00:00"/>
    <x v="4"/>
    <d v="1900-01-01T00:00:00"/>
    <x v="1"/>
    <s v="Yes"/>
    <s v="No"/>
    <s v="Memorial Day"/>
    <x v="3"/>
    <x v="5"/>
    <n v="15"/>
    <n v="165"/>
    <n v="25"/>
    <n v="140"/>
    <n v="0.84848484848484851"/>
    <n v="11"/>
    <n v="137.44459459459461"/>
  </r>
  <r>
    <n v="446"/>
    <d v="2023-05-29T00:00:00"/>
    <x v="4"/>
    <d v="1900-01-02T00:00:00"/>
    <x v="1"/>
    <s v="No"/>
    <s v="No"/>
    <s v="None"/>
    <x v="0"/>
    <x v="1"/>
    <n v="18"/>
    <n v="198"/>
    <n v="39"/>
    <n v="159"/>
    <n v="0.80303030303030298"/>
    <n v="11"/>
    <n v="137.30311231393776"/>
  </r>
  <r>
    <n v="447"/>
    <d v="2023-05-29T00:00:00"/>
    <x v="4"/>
    <d v="1900-01-02T00:00:00"/>
    <x v="1"/>
    <s v="No"/>
    <s v="No"/>
    <s v="None"/>
    <x v="1"/>
    <x v="1"/>
    <n v="12"/>
    <n v="132"/>
    <n v="11"/>
    <n v="121"/>
    <n v="0.91666666666666663"/>
    <n v="11"/>
    <n v="137.30311231393776"/>
  </r>
  <r>
    <n v="448"/>
    <d v="2023-05-29T00:00:00"/>
    <x v="4"/>
    <d v="1900-01-02T00:00:00"/>
    <x v="1"/>
    <s v="No"/>
    <s v="No"/>
    <s v="None"/>
    <x v="2"/>
    <x v="2"/>
    <n v="5"/>
    <n v="55"/>
    <n v="16"/>
    <n v="39"/>
    <n v="0.70909090909090911"/>
    <n v="11"/>
    <n v="137.30311231393776"/>
  </r>
  <r>
    <n v="449"/>
    <d v="2023-05-29T00:00:00"/>
    <x v="4"/>
    <d v="1900-01-02T00:00:00"/>
    <x v="1"/>
    <s v="No"/>
    <s v="No"/>
    <s v="None"/>
    <x v="3"/>
    <x v="3"/>
    <n v="13"/>
    <n v="143"/>
    <n v="44"/>
    <n v="99"/>
    <n v="0.69230769230769229"/>
    <n v="11"/>
    <n v="137.30311231393776"/>
  </r>
  <r>
    <n v="450"/>
    <d v="2023-05-30T00:00:00"/>
    <x v="4"/>
    <d v="1900-01-03T00:00:00"/>
    <x v="1"/>
    <s v="No"/>
    <s v="No"/>
    <s v="None"/>
    <x v="0"/>
    <x v="4"/>
    <n v="14"/>
    <n v="154"/>
    <n v="15"/>
    <n v="139"/>
    <n v="0.90259740259740262"/>
    <n v="11"/>
    <n v="137.30311231393776"/>
  </r>
  <r>
    <n v="451"/>
    <d v="2023-05-30T00:00:00"/>
    <x v="4"/>
    <d v="1900-01-03T00:00:00"/>
    <x v="1"/>
    <s v="No"/>
    <s v="No"/>
    <s v="None"/>
    <x v="1"/>
    <x v="5"/>
    <n v="5"/>
    <n v="55"/>
    <n v="30"/>
    <n v="25"/>
    <n v="0.45454545454545453"/>
    <n v="11"/>
    <n v="137.30311231393776"/>
  </r>
  <r>
    <n v="452"/>
    <d v="2023-05-30T00:00:00"/>
    <x v="4"/>
    <d v="1900-01-03T00:00:00"/>
    <x v="1"/>
    <s v="No"/>
    <s v="No"/>
    <s v="None"/>
    <x v="2"/>
    <x v="5"/>
    <n v="5"/>
    <n v="55"/>
    <n v="49"/>
    <n v="6"/>
    <n v="0.10909090909090909"/>
    <n v="11"/>
    <n v="137.30311231393776"/>
  </r>
  <r>
    <n v="453"/>
    <d v="2023-05-30T00:00:00"/>
    <x v="4"/>
    <d v="1900-01-03T00:00:00"/>
    <x v="1"/>
    <s v="No"/>
    <s v="No"/>
    <s v="None"/>
    <x v="3"/>
    <x v="5"/>
    <n v="11"/>
    <n v="121"/>
    <n v="17"/>
    <n v="104"/>
    <n v="0.85950413223140498"/>
    <n v="11"/>
    <n v="137.30311231393776"/>
  </r>
  <r>
    <n v="454"/>
    <d v="2023-05-31T00:00:00"/>
    <x v="4"/>
    <d v="1900-01-04T00:00:00"/>
    <x v="1"/>
    <s v="No"/>
    <s v="No"/>
    <s v="None"/>
    <x v="0"/>
    <x v="1"/>
    <n v="17"/>
    <n v="187"/>
    <n v="26"/>
    <n v="161"/>
    <n v="0.86096256684491979"/>
    <n v="11"/>
    <n v="137.25714285714287"/>
  </r>
  <r>
    <n v="455"/>
    <d v="2023-05-31T00:00:00"/>
    <x v="4"/>
    <d v="1900-01-04T00:00:00"/>
    <x v="1"/>
    <s v="No"/>
    <s v="No"/>
    <s v="None"/>
    <x v="1"/>
    <x v="1"/>
    <n v="9"/>
    <n v="99"/>
    <n v="26"/>
    <n v="73"/>
    <n v="0.73737373737373735"/>
    <n v="11"/>
    <n v="137.25714285714287"/>
  </r>
  <r>
    <n v="456"/>
    <d v="2023-05-31T00:00:00"/>
    <x v="4"/>
    <d v="1900-01-04T00:00:00"/>
    <x v="1"/>
    <s v="No"/>
    <s v="No"/>
    <s v="None"/>
    <x v="2"/>
    <x v="2"/>
    <n v="5"/>
    <n v="55"/>
    <n v="37"/>
    <n v="18"/>
    <n v="0.32727272727272727"/>
    <n v="11"/>
    <n v="137.25714285714287"/>
  </r>
  <r>
    <n v="457"/>
    <d v="2023-05-31T00:00:00"/>
    <x v="4"/>
    <d v="1900-01-04T00:00:00"/>
    <x v="1"/>
    <s v="No"/>
    <s v="No"/>
    <s v="None"/>
    <x v="3"/>
    <x v="3"/>
    <n v="12"/>
    <n v="132"/>
    <n v="9"/>
    <n v="123"/>
    <n v="0.93181818181818177"/>
    <n v="11"/>
    <n v="137.25714285714287"/>
  </r>
  <r>
    <n v="458"/>
    <d v="2023-06-01T00:00:00"/>
    <x v="5"/>
    <d v="1900-01-05T00:00:00"/>
    <x v="1"/>
    <s v="No"/>
    <s v="No"/>
    <s v="None"/>
    <x v="0"/>
    <x v="4"/>
    <n v="21"/>
    <n v="231"/>
    <n v="20"/>
    <n v="211"/>
    <n v="0.91341991341991347"/>
    <n v="11"/>
    <n v="137.31600547195623"/>
  </r>
  <r>
    <n v="459"/>
    <d v="2023-06-01T00:00:00"/>
    <x v="5"/>
    <d v="1900-01-05T00:00:00"/>
    <x v="1"/>
    <s v="No"/>
    <s v="No"/>
    <s v="None"/>
    <x v="1"/>
    <x v="2"/>
    <n v="10"/>
    <n v="110"/>
    <n v="2"/>
    <n v="108"/>
    <n v="0.98181818181818181"/>
    <n v="11"/>
    <n v="137.31600547195623"/>
  </r>
  <r>
    <n v="460"/>
    <d v="2023-06-01T00:00:00"/>
    <x v="5"/>
    <d v="1900-01-05T00:00:00"/>
    <x v="1"/>
    <s v="No"/>
    <s v="No"/>
    <s v="None"/>
    <x v="2"/>
    <x v="2"/>
    <n v="9"/>
    <n v="99"/>
    <n v="6"/>
    <n v="93"/>
    <n v="0.93939393939393945"/>
    <n v="11"/>
    <n v="137.31600547195623"/>
  </r>
  <r>
    <n v="461"/>
    <d v="2023-06-01T00:00:00"/>
    <x v="5"/>
    <d v="1900-01-05T00:00:00"/>
    <x v="1"/>
    <s v="No"/>
    <s v="No"/>
    <s v="None"/>
    <x v="3"/>
    <x v="3"/>
    <n v="17"/>
    <n v="187"/>
    <n v="31"/>
    <n v="156"/>
    <n v="0.83422459893048129"/>
    <n v="11"/>
    <n v="137.31600547195623"/>
  </r>
  <r>
    <n v="462"/>
    <d v="2023-06-02T00:00:00"/>
    <x v="5"/>
    <d v="1900-01-06T00:00:00"/>
    <x v="1"/>
    <s v="No"/>
    <s v="No"/>
    <s v="None"/>
    <x v="0"/>
    <x v="1"/>
    <n v="17"/>
    <n v="187"/>
    <n v="34"/>
    <n v="153"/>
    <n v="0.81818181818181823"/>
    <n v="11"/>
    <n v="137.42090784044015"/>
  </r>
  <r>
    <n v="463"/>
    <d v="2023-06-04T00:00:00"/>
    <x v="5"/>
    <d v="1900-01-01T00:00:00"/>
    <x v="1"/>
    <s v="No"/>
    <s v="No"/>
    <s v="None"/>
    <x v="0"/>
    <x v="4"/>
    <n v="18"/>
    <n v="198"/>
    <n v="33"/>
    <n v="165"/>
    <n v="0.83333333333333337"/>
    <n v="11"/>
    <n v="137.46592489568846"/>
  </r>
  <r>
    <n v="464"/>
    <d v="2023-06-04T00:00:00"/>
    <x v="5"/>
    <d v="1900-01-01T00:00:00"/>
    <x v="1"/>
    <s v="No"/>
    <s v="No"/>
    <s v="None"/>
    <x v="1"/>
    <x v="5"/>
    <n v="10"/>
    <n v="110"/>
    <n v="30"/>
    <n v="80"/>
    <n v="0.72727272727272729"/>
    <n v="11"/>
    <n v="137.46592489568846"/>
  </r>
  <r>
    <n v="465"/>
    <d v="2023-06-04T00:00:00"/>
    <x v="5"/>
    <d v="1900-01-01T00:00:00"/>
    <x v="1"/>
    <s v="No"/>
    <s v="No"/>
    <s v="None"/>
    <x v="2"/>
    <x v="5"/>
    <n v="8"/>
    <n v="88"/>
    <n v="30"/>
    <n v="58"/>
    <n v="0.65909090909090906"/>
    <n v="11"/>
    <n v="137.46592489568846"/>
  </r>
  <r>
    <n v="466"/>
    <d v="2023-06-04T00:00:00"/>
    <x v="5"/>
    <d v="1900-01-01T00:00:00"/>
    <x v="1"/>
    <s v="No"/>
    <s v="No"/>
    <s v="None"/>
    <x v="3"/>
    <x v="5"/>
    <n v="15"/>
    <n v="165"/>
    <n v="15"/>
    <n v="150"/>
    <n v="0.90909090909090906"/>
    <n v="11"/>
    <n v="137.46592489568846"/>
  </r>
  <r>
    <n v="467"/>
    <d v="2023-06-05T00:00:00"/>
    <x v="5"/>
    <d v="1900-01-02T00:00:00"/>
    <x v="1"/>
    <s v="No"/>
    <s v="No"/>
    <s v="None"/>
    <x v="0"/>
    <x v="1"/>
    <n v="16"/>
    <n v="176"/>
    <n v="48"/>
    <n v="128"/>
    <n v="0.72727272727272729"/>
    <n v="11"/>
    <n v="137.32033426183844"/>
  </r>
  <r>
    <n v="468"/>
    <d v="2023-06-05T00:00:00"/>
    <x v="5"/>
    <d v="1900-01-02T00:00:00"/>
    <x v="1"/>
    <s v="No"/>
    <s v="No"/>
    <s v="None"/>
    <x v="1"/>
    <x v="1"/>
    <n v="9"/>
    <n v="99"/>
    <n v="31"/>
    <n v="68"/>
    <n v="0.68686868686868685"/>
    <n v="11"/>
    <n v="137.32033426183844"/>
  </r>
  <r>
    <n v="469"/>
    <d v="2023-06-05T00:00:00"/>
    <x v="5"/>
    <d v="1900-01-02T00:00:00"/>
    <x v="1"/>
    <s v="No"/>
    <s v="No"/>
    <s v="None"/>
    <x v="2"/>
    <x v="2"/>
    <n v="5"/>
    <n v="55"/>
    <n v="19"/>
    <n v="36"/>
    <n v="0.65454545454545454"/>
    <n v="11"/>
    <n v="137.32033426183844"/>
  </r>
  <r>
    <n v="470"/>
    <d v="2023-06-05T00:00:00"/>
    <x v="5"/>
    <d v="1900-01-02T00:00:00"/>
    <x v="1"/>
    <s v="No"/>
    <s v="No"/>
    <s v="None"/>
    <x v="3"/>
    <x v="3"/>
    <n v="15"/>
    <n v="165"/>
    <n v="28"/>
    <n v="137"/>
    <n v="0.83030303030303032"/>
    <n v="11"/>
    <n v="137.32033426183844"/>
  </r>
  <r>
    <n v="471"/>
    <d v="2023-06-06T00:00:00"/>
    <x v="5"/>
    <d v="1900-01-03T00:00:00"/>
    <x v="1"/>
    <s v="No"/>
    <s v="No"/>
    <s v="None"/>
    <x v="0"/>
    <x v="4"/>
    <n v="17"/>
    <n v="187"/>
    <n v="4"/>
    <n v="183"/>
    <n v="0.97860962566844922"/>
    <n v="11"/>
    <n v="137.32033426183844"/>
  </r>
  <r>
    <n v="472"/>
    <d v="2023-06-06T00:00:00"/>
    <x v="5"/>
    <d v="1900-01-03T00:00:00"/>
    <x v="1"/>
    <s v="No"/>
    <s v="No"/>
    <s v="None"/>
    <x v="1"/>
    <x v="5"/>
    <n v="5"/>
    <n v="55"/>
    <n v="29"/>
    <n v="26"/>
    <n v="0.47272727272727272"/>
    <n v="11"/>
    <n v="137.32033426183844"/>
  </r>
  <r>
    <n v="473"/>
    <d v="2023-06-06T00:00:00"/>
    <x v="5"/>
    <d v="1900-01-03T00:00:00"/>
    <x v="1"/>
    <s v="No"/>
    <s v="No"/>
    <s v="None"/>
    <x v="2"/>
    <x v="5"/>
    <n v="5"/>
    <n v="55"/>
    <n v="7"/>
    <n v="48"/>
    <n v="0.87272727272727268"/>
    <n v="11"/>
    <n v="137.32033426183844"/>
  </r>
  <r>
    <n v="474"/>
    <d v="2023-06-06T00:00:00"/>
    <x v="5"/>
    <d v="1900-01-03T00:00:00"/>
    <x v="1"/>
    <s v="No"/>
    <s v="No"/>
    <s v="None"/>
    <x v="3"/>
    <x v="5"/>
    <n v="9"/>
    <n v="99"/>
    <n v="41"/>
    <n v="58"/>
    <n v="0.58585858585858586"/>
    <n v="11"/>
    <n v="137.32033426183844"/>
  </r>
  <r>
    <n v="475"/>
    <d v="2023-06-07T00:00:00"/>
    <x v="5"/>
    <d v="1900-01-04T00:00:00"/>
    <x v="1"/>
    <s v="No"/>
    <s v="No"/>
    <s v="None"/>
    <x v="0"/>
    <x v="1"/>
    <n v="15"/>
    <n v="165"/>
    <n v="11"/>
    <n v="154"/>
    <n v="0.93333333333333335"/>
    <n v="11"/>
    <n v="137.31932773109244"/>
  </r>
  <r>
    <n v="476"/>
    <d v="2023-06-07T00:00:00"/>
    <x v="5"/>
    <d v="1900-01-04T00:00:00"/>
    <x v="1"/>
    <s v="No"/>
    <s v="No"/>
    <s v="None"/>
    <x v="1"/>
    <x v="1"/>
    <n v="12"/>
    <n v="132"/>
    <n v="27"/>
    <n v="105"/>
    <n v="0.79545454545454541"/>
    <n v="11"/>
    <n v="137.31932773109244"/>
  </r>
  <r>
    <n v="477"/>
    <d v="2023-06-07T00:00:00"/>
    <x v="5"/>
    <d v="1900-01-04T00:00:00"/>
    <x v="1"/>
    <s v="No"/>
    <s v="No"/>
    <s v="None"/>
    <x v="2"/>
    <x v="2"/>
    <n v="5"/>
    <n v="55"/>
    <n v="50"/>
    <n v="5"/>
    <n v="9.0909090909090912E-2"/>
    <n v="11"/>
    <n v="137.31932773109244"/>
  </r>
  <r>
    <n v="478"/>
    <d v="2023-06-07T00:00:00"/>
    <x v="5"/>
    <d v="1900-01-04T00:00:00"/>
    <x v="1"/>
    <s v="No"/>
    <s v="No"/>
    <s v="None"/>
    <x v="3"/>
    <x v="3"/>
    <n v="14"/>
    <n v="154"/>
    <n v="16"/>
    <n v="138"/>
    <n v="0.89610389610389607"/>
    <n v="11"/>
    <n v="137.31932773109244"/>
  </r>
  <r>
    <n v="479"/>
    <d v="2023-06-08T00:00:00"/>
    <x v="5"/>
    <d v="1900-01-05T00:00:00"/>
    <x v="1"/>
    <s v="No"/>
    <s v="No"/>
    <s v="None"/>
    <x v="0"/>
    <x v="4"/>
    <n v="20"/>
    <n v="220"/>
    <n v="30"/>
    <n v="190"/>
    <n v="0.86363636363636365"/>
    <n v="11"/>
    <n v="137.44225352112676"/>
  </r>
  <r>
    <n v="480"/>
    <d v="2023-06-08T00:00:00"/>
    <x v="5"/>
    <d v="1900-01-05T00:00:00"/>
    <x v="1"/>
    <s v="No"/>
    <s v="No"/>
    <s v="None"/>
    <x v="1"/>
    <x v="2"/>
    <n v="12"/>
    <n v="132"/>
    <n v="8"/>
    <n v="124"/>
    <n v="0.93939393939393945"/>
    <n v="11"/>
    <n v="137.44225352112676"/>
  </r>
  <r>
    <n v="481"/>
    <d v="2023-06-08T00:00:00"/>
    <x v="5"/>
    <d v="1900-01-05T00:00:00"/>
    <x v="1"/>
    <s v="No"/>
    <s v="No"/>
    <s v="None"/>
    <x v="2"/>
    <x v="2"/>
    <n v="9"/>
    <n v="99"/>
    <n v="37"/>
    <n v="62"/>
    <n v="0.6262626262626263"/>
    <n v="11"/>
    <n v="137.44225352112676"/>
  </r>
  <r>
    <n v="482"/>
    <d v="2023-06-08T00:00:00"/>
    <x v="5"/>
    <d v="1900-01-05T00:00:00"/>
    <x v="1"/>
    <s v="No"/>
    <s v="No"/>
    <s v="None"/>
    <x v="3"/>
    <x v="3"/>
    <n v="15"/>
    <n v="165"/>
    <n v="13"/>
    <n v="152"/>
    <n v="0.92121212121212126"/>
    <n v="11"/>
    <n v="137.44225352112676"/>
  </r>
  <r>
    <n v="483"/>
    <d v="2023-06-09T00:00:00"/>
    <x v="5"/>
    <d v="1900-01-06T00:00:00"/>
    <x v="1"/>
    <s v="No"/>
    <s v="No"/>
    <s v="None"/>
    <x v="0"/>
    <x v="1"/>
    <n v="22"/>
    <n v="242"/>
    <n v="25"/>
    <n v="217"/>
    <n v="0.89669421487603307"/>
    <n v="11"/>
    <n v="137.66005665722381"/>
  </r>
  <r>
    <n v="484"/>
    <d v="2023-06-11T00:00:00"/>
    <x v="5"/>
    <d v="1900-01-01T00:00:00"/>
    <x v="1"/>
    <s v="No"/>
    <s v="No"/>
    <s v="None"/>
    <x v="0"/>
    <x v="4"/>
    <n v="21"/>
    <n v="231"/>
    <n v="32"/>
    <n v="199"/>
    <n v="0.8614718614718615"/>
    <n v="11"/>
    <n v="137.63037249283667"/>
  </r>
  <r>
    <n v="485"/>
    <d v="2023-06-11T00:00:00"/>
    <x v="5"/>
    <d v="1900-01-01T00:00:00"/>
    <x v="1"/>
    <s v="No"/>
    <s v="No"/>
    <s v="None"/>
    <x v="1"/>
    <x v="5"/>
    <n v="12"/>
    <n v="132"/>
    <n v="47"/>
    <n v="85"/>
    <n v="0.64393939393939392"/>
    <n v="11"/>
    <n v="137.63037249283667"/>
  </r>
  <r>
    <n v="486"/>
    <d v="2023-06-11T00:00:00"/>
    <x v="5"/>
    <d v="1900-01-01T00:00:00"/>
    <x v="1"/>
    <s v="No"/>
    <s v="No"/>
    <s v="None"/>
    <x v="2"/>
    <x v="5"/>
    <n v="9"/>
    <n v="99"/>
    <n v="22"/>
    <n v="77"/>
    <n v="0.77777777777777779"/>
    <n v="11"/>
    <n v="137.63037249283667"/>
  </r>
  <r>
    <n v="487"/>
    <d v="2023-06-11T00:00:00"/>
    <x v="5"/>
    <d v="1900-01-01T00:00:00"/>
    <x v="1"/>
    <s v="No"/>
    <s v="No"/>
    <s v="None"/>
    <x v="3"/>
    <x v="5"/>
    <n v="15"/>
    <n v="165"/>
    <n v="45"/>
    <n v="120"/>
    <n v="0.72727272727272729"/>
    <n v="11"/>
    <n v="137.63037249283667"/>
  </r>
  <r>
    <n v="488"/>
    <d v="2023-06-12T00:00:00"/>
    <x v="5"/>
    <d v="1900-01-02T00:00:00"/>
    <x v="1"/>
    <s v="No"/>
    <s v="No"/>
    <s v="None"/>
    <x v="0"/>
    <x v="1"/>
    <n v="17"/>
    <n v="187"/>
    <n v="13"/>
    <n v="174"/>
    <n v="0.93048128342245995"/>
    <n v="11"/>
    <n v="137.4648493543759"/>
  </r>
  <r>
    <n v="489"/>
    <d v="2023-06-12T00:00:00"/>
    <x v="5"/>
    <d v="1900-01-02T00:00:00"/>
    <x v="1"/>
    <s v="No"/>
    <s v="No"/>
    <s v="None"/>
    <x v="1"/>
    <x v="1"/>
    <n v="9"/>
    <n v="99"/>
    <n v="39"/>
    <n v="60"/>
    <n v="0.60606060606060608"/>
    <n v="11"/>
    <n v="137.4648493543759"/>
  </r>
  <r>
    <n v="490"/>
    <d v="2023-06-12T00:00:00"/>
    <x v="5"/>
    <d v="1900-01-02T00:00:00"/>
    <x v="1"/>
    <s v="No"/>
    <s v="No"/>
    <s v="None"/>
    <x v="2"/>
    <x v="2"/>
    <n v="5"/>
    <n v="55"/>
    <n v="21"/>
    <n v="34"/>
    <n v="0.61818181818181817"/>
    <n v="11"/>
    <n v="137.4648493543759"/>
  </r>
  <r>
    <n v="491"/>
    <d v="2023-06-12T00:00:00"/>
    <x v="5"/>
    <d v="1900-01-02T00:00:00"/>
    <x v="1"/>
    <s v="No"/>
    <s v="No"/>
    <s v="None"/>
    <x v="3"/>
    <x v="3"/>
    <n v="11"/>
    <n v="121"/>
    <n v="11"/>
    <n v="110"/>
    <n v="0.90909090909090906"/>
    <n v="11"/>
    <n v="137.4648493543759"/>
  </r>
  <r>
    <n v="492"/>
    <d v="2023-06-13T00:00:00"/>
    <x v="5"/>
    <d v="1900-01-03T00:00:00"/>
    <x v="1"/>
    <s v="No"/>
    <s v="No"/>
    <s v="None"/>
    <x v="0"/>
    <x v="4"/>
    <n v="16"/>
    <n v="176"/>
    <n v="26"/>
    <n v="150"/>
    <n v="0.85227272727272729"/>
    <n v="11"/>
    <n v="137.4648493543759"/>
  </r>
  <r>
    <n v="493"/>
    <d v="2023-06-13T00:00:00"/>
    <x v="5"/>
    <d v="1900-01-03T00:00:00"/>
    <x v="1"/>
    <s v="No"/>
    <s v="No"/>
    <s v="None"/>
    <x v="1"/>
    <x v="5"/>
    <n v="6"/>
    <n v="66"/>
    <n v="38"/>
    <n v="28"/>
    <n v="0.42424242424242425"/>
    <n v="11"/>
    <n v="137.4648493543759"/>
  </r>
  <r>
    <n v="494"/>
    <d v="2023-06-13T00:00:00"/>
    <x v="5"/>
    <d v="1900-01-03T00:00:00"/>
    <x v="1"/>
    <s v="No"/>
    <s v="No"/>
    <s v="None"/>
    <x v="2"/>
    <x v="5"/>
    <n v="5"/>
    <n v="55"/>
    <n v="40"/>
    <n v="15"/>
    <n v="0.27272727272727271"/>
    <n v="11"/>
    <n v="137.4648493543759"/>
  </r>
  <r>
    <n v="495"/>
    <d v="2023-06-13T00:00:00"/>
    <x v="5"/>
    <d v="1900-01-03T00:00:00"/>
    <x v="1"/>
    <s v="No"/>
    <s v="No"/>
    <s v="None"/>
    <x v="3"/>
    <x v="5"/>
    <n v="12"/>
    <n v="132"/>
    <n v="34"/>
    <n v="98"/>
    <n v="0.74242424242424243"/>
    <n v="11"/>
    <n v="137.4648493543759"/>
  </r>
  <r>
    <n v="496"/>
    <d v="2023-06-14T00:00:00"/>
    <x v="5"/>
    <d v="1900-01-04T00:00:00"/>
    <x v="1"/>
    <s v="No"/>
    <s v="No"/>
    <s v="None"/>
    <x v="0"/>
    <x v="1"/>
    <n v="14"/>
    <n v="154"/>
    <n v="11"/>
    <n v="143"/>
    <n v="0.9285714285714286"/>
    <n v="11"/>
    <n v="137.44877344877344"/>
  </r>
  <r>
    <n v="497"/>
    <d v="2023-06-14T00:00:00"/>
    <x v="5"/>
    <d v="1900-01-04T00:00:00"/>
    <x v="1"/>
    <s v="No"/>
    <s v="No"/>
    <s v="None"/>
    <x v="1"/>
    <x v="1"/>
    <n v="11"/>
    <n v="121"/>
    <n v="41"/>
    <n v="80"/>
    <n v="0.66115702479338845"/>
    <n v="11"/>
    <n v="137.44877344877344"/>
  </r>
  <r>
    <n v="498"/>
    <d v="2023-06-14T00:00:00"/>
    <x v="5"/>
    <d v="1900-01-04T00:00:00"/>
    <x v="1"/>
    <s v="No"/>
    <s v="No"/>
    <s v="None"/>
    <x v="2"/>
    <x v="2"/>
    <n v="5"/>
    <n v="55"/>
    <n v="40"/>
    <n v="15"/>
    <n v="0.27272727272727271"/>
    <n v="11"/>
    <n v="137.44877344877344"/>
  </r>
  <r>
    <n v="499"/>
    <d v="2023-06-14T00:00:00"/>
    <x v="5"/>
    <d v="1900-01-04T00:00:00"/>
    <x v="1"/>
    <s v="No"/>
    <s v="No"/>
    <s v="None"/>
    <x v="3"/>
    <x v="3"/>
    <n v="13"/>
    <n v="143"/>
    <n v="32"/>
    <n v="111"/>
    <n v="0.77622377622377625"/>
    <n v="11"/>
    <n v="137.44877344877344"/>
  </r>
  <r>
    <n v="500"/>
    <d v="2023-06-15T00:00:00"/>
    <x v="5"/>
    <d v="1900-01-05T00:00:00"/>
    <x v="1"/>
    <s v="No"/>
    <s v="No"/>
    <s v="None"/>
    <x v="0"/>
    <x v="4"/>
    <n v="22"/>
    <n v="242"/>
    <n v="30"/>
    <n v="212"/>
    <n v="0.87603305785123964"/>
    <n v="11"/>
    <n v="137.52830188679246"/>
  </r>
  <r>
    <n v="501"/>
    <d v="2023-06-15T00:00:00"/>
    <x v="5"/>
    <d v="1900-01-05T00:00:00"/>
    <x v="1"/>
    <s v="No"/>
    <s v="No"/>
    <s v="None"/>
    <x v="1"/>
    <x v="2"/>
    <n v="10"/>
    <n v="110"/>
    <n v="8"/>
    <n v="102"/>
    <n v="0.92727272727272725"/>
    <n v="11"/>
    <n v="137.52830188679246"/>
  </r>
  <r>
    <n v="502"/>
    <d v="2023-06-15T00:00:00"/>
    <x v="5"/>
    <d v="1900-01-05T00:00:00"/>
    <x v="1"/>
    <s v="No"/>
    <s v="No"/>
    <s v="None"/>
    <x v="2"/>
    <x v="2"/>
    <n v="8"/>
    <n v="88"/>
    <n v="31"/>
    <n v="57"/>
    <n v="0.64772727272727271"/>
    <n v="11"/>
    <n v="137.52830188679246"/>
  </r>
  <r>
    <n v="503"/>
    <d v="2023-06-15T00:00:00"/>
    <x v="5"/>
    <d v="1900-01-05T00:00:00"/>
    <x v="1"/>
    <s v="No"/>
    <s v="No"/>
    <s v="None"/>
    <x v="3"/>
    <x v="3"/>
    <n v="15"/>
    <n v="165"/>
    <n v="49"/>
    <n v="116"/>
    <n v="0.70303030303030301"/>
    <n v="11"/>
    <n v="137.52830188679246"/>
  </r>
  <r>
    <n v="504"/>
    <d v="2023-06-16T00:00:00"/>
    <x v="5"/>
    <d v="1900-01-06T00:00:00"/>
    <x v="1"/>
    <s v="No"/>
    <s v="No"/>
    <s v="None"/>
    <x v="0"/>
    <x v="1"/>
    <n v="19"/>
    <n v="209"/>
    <n v="29"/>
    <n v="180"/>
    <n v="0.86124401913875603"/>
    <n v="11"/>
    <n v="137.73722627737226"/>
  </r>
  <r>
    <n v="505"/>
    <d v="2023-06-18T00:00:00"/>
    <x v="5"/>
    <d v="1900-01-01T00:00:00"/>
    <x v="1"/>
    <s v="No"/>
    <s v="No"/>
    <s v="None"/>
    <x v="0"/>
    <x v="4"/>
    <n v="22"/>
    <n v="242"/>
    <n v="29"/>
    <n v="213"/>
    <n v="0.8801652892561983"/>
    <n v="11"/>
    <n v="137.67503692762187"/>
  </r>
  <r>
    <n v="506"/>
    <d v="2023-06-18T00:00:00"/>
    <x v="5"/>
    <d v="1900-01-01T00:00:00"/>
    <x v="1"/>
    <s v="No"/>
    <s v="No"/>
    <s v="None"/>
    <x v="1"/>
    <x v="5"/>
    <n v="10"/>
    <n v="110"/>
    <n v="15"/>
    <n v="95"/>
    <n v="0.86363636363636365"/>
    <n v="11"/>
    <n v="137.67503692762187"/>
  </r>
  <r>
    <n v="507"/>
    <d v="2023-06-18T00:00:00"/>
    <x v="5"/>
    <d v="1900-01-01T00:00:00"/>
    <x v="1"/>
    <s v="No"/>
    <s v="No"/>
    <s v="None"/>
    <x v="2"/>
    <x v="5"/>
    <n v="8"/>
    <n v="88"/>
    <n v="30"/>
    <n v="58"/>
    <n v="0.65909090909090906"/>
    <n v="11"/>
    <n v="137.67503692762187"/>
  </r>
  <r>
    <n v="508"/>
    <d v="2023-06-18T00:00:00"/>
    <x v="5"/>
    <d v="1900-01-01T00:00:00"/>
    <x v="1"/>
    <s v="No"/>
    <s v="No"/>
    <s v="None"/>
    <x v="3"/>
    <x v="5"/>
    <n v="15"/>
    <n v="165"/>
    <n v="41"/>
    <n v="124"/>
    <n v="0.75151515151515147"/>
    <n v="11"/>
    <n v="137.67503692762187"/>
  </r>
  <r>
    <n v="509"/>
    <d v="2023-06-19T00:00:00"/>
    <x v="5"/>
    <d v="1900-01-02T00:00:00"/>
    <x v="1"/>
    <s v="No"/>
    <s v="No"/>
    <s v="None"/>
    <x v="0"/>
    <x v="1"/>
    <n v="18"/>
    <n v="198"/>
    <n v="47"/>
    <n v="151"/>
    <n v="0.76262626262626265"/>
    <n v="11"/>
    <n v="137.56952662721895"/>
  </r>
  <r>
    <n v="510"/>
    <d v="2023-06-19T00:00:00"/>
    <x v="5"/>
    <d v="1900-01-02T00:00:00"/>
    <x v="1"/>
    <s v="No"/>
    <s v="No"/>
    <s v="None"/>
    <x v="1"/>
    <x v="1"/>
    <n v="8"/>
    <n v="88"/>
    <n v="26"/>
    <n v="62"/>
    <n v="0.70454545454545459"/>
    <n v="11"/>
    <n v="137.56952662721895"/>
  </r>
  <r>
    <n v="511"/>
    <d v="2023-06-19T00:00:00"/>
    <x v="5"/>
    <d v="1900-01-02T00:00:00"/>
    <x v="1"/>
    <s v="No"/>
    <s v="No"/>
    <s v="None"/>
    <x v="2"/>
    <x v="2"/>
    <n v="5"/>
    <n v="55"/>
    <n v="32"/>
    <n v="23"/>
    <n v="0.41818181818181815"/>
    <n v="11"/>
    <n v="137.56952662721895"/>
  </r>
  <r>
    <n v="512"/>
    <d v="2023-06-19T00:00:00"/>
    <x v="5"/>
    <d v="1900-01-02T00:00:00"/>
    <x v="1"/>
    <s v="No"/>
    <s v="No"/>
    <s v="None"/>
    <x v="3"/>
    <x v="3"/>
    <n v="10"/>
    <n v="110"/>
    <n v="49"/>
    <n v="61"/>
    <n v="0.55454545454545456"/>
    <n v="11"/>
    <n v="137.56952662721895"/>
  </r>
  <r>
    <n v="513"/>
    <d v="2023-06-20T00:00:00"/>
    <x v="5"/>
    <d v="1900-01-03T00:00:00"/>
    <x v="1"/>
    <s v="No"/>
    <s v="No"/>
    <s v="None"/>
    <x v="0"/>
    <x v="4"/>
    <n v="15"/>
    <n v="165"/>
    <n v="5"/>
    <n v="160"/>
    <n v="0.96969696969696972"/>
    <n v="11"/>
    <n v="137.56952662721895"/>
  </r>
  <r>
    <n v="514"/>
    <d v="2023-06-20T00:00:00"/>
    <x v="5"/>
    <d v="1900-01-03T00:00:00"/>
    <x v="1"/>
    <s v="No"/>
    <s v="No"/>
    <s v="None"/>
    <x v="1"/>
    <x v="5"/>
    <n v="8"/>
    <n v="88"/>
    <n v="15"/>
    <n v="73"/>
    <n v="0.82954545454545459"/>
    <n v="11"/>
    <n v="137.56952662721895"/>
  </r>
  <r>
    <n v="515"/>
    <d v="2023-06-20T00:00:00"/>
    <x v="5"/>
    <d v="1900-01-03T00:00:00"/>
    <x v="1"/>
    <s v="No"/>
    <s v="No"/>
    <s v="None"/>
    <x v="2"/>
    <x v="5"/>
    <n v="5"/>
    <n v="55"/>
    <n v="43"/>
    <n v="12"/>
    <n v="0.21818181818181817"/>
    <n v="11"/>
    <n v="137.56952662721895"/>
  </r>
  <r>
    <n v="516"/>
    <d v="2023-06-20T00:00:00"/>
    <x v="5"/>
    <d v="1900-01-03T00:00:00"/>
    <x v="1"/>
    <s v="No"/>
    <s v="No"/>
    <s v="None"/>
    <x v="3"/>
    <x v="5"/>
    <n v="11"/>
    <n v="121"/>
    <n v="26"/>
    <n v="95"/>
    <n v="0.78512396694214881"/>
    <n v="11"/>
    <n v="137.56952662721895"/>
  </r>
  <r>
    <n v="517"/>
    <d v="2023-06-21T00:00:00"/>
    <x v="5"/>
    <d v="1900-01-04T00:00:00"/>
    <x v="1"/>
    <s v="No"/>
    <s v="Yes"/>
    <s v="First Day of Summer Promotion"/>
    <x v="0"/>
    <x v="1"/>
    <n v="20"/>
    <n v="172"/>
    <n v="47"/>
    <n v="125"/>
    <n v="0.72674418604651159"/>
    <n v="8.6"/>
    <n v="137.53720238095238"/>
  </r>
  <r>
    <n v="518"/>
    <d v="2023-06-21T00:00:00"/>
    <x v="5"/>
    <d v="1900-01-04T00:00:00"/>
    <x v="1"/>
    <s v="No"/>
    <s v="Yes"/>
    <s v="First Day of Summer Promotion"/>
    <x v="1"/>
    <x v="1"/>
    <n v="18"/>
    <n v="142"/>
    <n v="5"/>
    <n v="137"/>
    <n v="0.96478873239436624"/>
    <n v="7.8888888888888893"/>
    <n v="137.53720238095238"/>
  </r>
  <r>
    <n v="519"/>
    <d v="2023-06-21T00:00:00"/>
    <x v="5"/>
    <d v="1900-01-04T00:00:00"/>
    <x v="1"/>
    <s v="No"/>
    <s v="Yes"/>
    <s v="First Day of Summer Promotion"/>
    <x v="2"/>
    <x v="2"/>
    <n v="7"/>
    <n v="61"/>
    <n v="16"/>
    <n v="45"/>
    <n v="0.73770491803278693"/>
    <n v="8.7142857142857135"/>
    <n v="137.53720238095238"/>
  </r>
  <r>
    <n v="520"/>
    <d v="2023-06-21T00:00:00"/>
    <x v="5"/>
    <d v="1900-01-04T00:00:00"/>
    <x v="1"/>
    <s v="No"/>
    <s v="Yes"/>
    <s v="First Day of Summer Promotion"/>
    <x v="3"/>
    <x v="3"/>
    <n v="19"/>
    <n v="161"/>
    <n v="1"/>
    <n v="160"/>
    <n v="0.99378881987577639"/>
    <n v="8.473684210526315"/>
    <n v="137.53720238095238"/>
  </r>
  <r>
    <n v="521"/>
    <d v="2023-06-22T00:00:00"/>
    <x v="5"/>
    <d v="1900-01-05T00:00:00"/>
    <x v="1"/>
    <s v="No"/>
    <s v="Yes"/>
    <s v="First Day of Summer Promotion"/>
    <x v="0"/>
    <x v="4"/>
    <n v="26"/>
    <n v="230"/>
    <n v="44"/>
    <n v="186"/>
    <n v="0.80869565217391304"/>
    <n v="8.8461538461538467"/>
    <n v="137.57035928143713"/>
  </r>
  <r>
    <n v="522"/>
    <d v="2023-06-22T00:00:00"/>
    <x v="5"/>
    <d v="1900-01-05T00:00:00"/>
    <x v="1"/>
    <s v="No"/>
    <s v="Yes"/>
    <s v="First Day of Summer Promotion"/>
    <x v="1"/>
    <x v="2"/>
    <n v="21"/>
    <n v="215"/>
    <n v="1"/>
    <n v="214"/>
    <n v="0.99534883720930234"/>
    <n v="10.238095238095237"/>
    <n v="137.57035928143713"/>
  </r>
  <r>
    <n v="523"/>
    <d v="2023-06-22T00:00:00"/>
    <x v="5"/>
    <d v="1900-01-05T00:00:00"/>
    <x v="1"/>
    <s v="No"/>
    <s v="Yes"/>
    <s v="First Day of Summer Promotion"/>
    <x v="2"/>
    <x v="2"/>
    <n v="23"/>
    <n v="221"/>
    <n v="17"/>
    <n v="204"/>
    <n v="0.92307692307692313"/>
    <n v="9.6086956521739122"/>
    <n v="137.57035928143713"/>
  </r>
  <r>
    <n v="524"/>
    <d v="2023-06-22T00:00:00"/>
    <x v="5"/>
    <d v="1900-01-05T00:00:00"/>
    <x v="1"/>
    <s v="No"/>
    <s v="Yes"/>
    <s v="First Day of Summer Promotion"/>
    <x v="3"/>
    <x v="3"/>
    <n v="20"/>
    <n v="204"/>
    <n v="37"/>
    <n v="167"/>
    <n v="0.81862745098039214"/>
    <n v="10.199999999999999"/>
    <n v="137.57035928143713"/>
  </r>
  <r>
    <n v="525"/>
    <d v="2023-06-23T00:00:00"/>
    <x v="5"/>
    <d v="1900-01-06T00:00:00"/>
    <x v="1"/>
    <s v="No"/>
    <s v="Yes"/>
    <s v="First Day of Summer Promotion"/>
    <x v="0"/>
    <x v="1"/>
    <n v="23"/>
    <n v="237"/>
    <n v="14"/>
    <n v="223"/>
    <n v="0.94092827004219415"/>
    <n v="10.304347826086957"/>
    <n v="137.73644578313252"/>
  </r>
  <r>
    <n v="526"/>
    <d v="2023-06-25T00:00:00"/>
    <x v="5"/>
    <d v="1900-01-01T00:00:00"/>
    <x v="1"/>
    <s v="No"/>
    <s v="No"/>
    <s v="None"/>
    <x v="0"/>
    <x v="4"/>
    <n v="21"/>
    <n v="231"/>
    <n v="30"/>
    <n v="201"/>
    <n v="0.87012987012987009"/>
    <n v="11"/>
    <n v="137.8064024390244"/>
  </r>
  <r>
    <n v="527"/>
    <d v="2023-06-25T00:00:00"/>
    <x v="5"/>
    <d v="1900-01-01T00:00:00"/>
    <x v="1"/>
    <s v="No"/>
    <s v="No"/>
    <s v="None"/>
    <x v="1"/>
    <x v="5"/>
    <n v="11"/>
    <n v="121"/>
    <n v="12"/>
    <n v="109"/>
    <n v="0.90082644628099173"/>
    <n v="11"/>
    <n v="137.8064024390244"/>
  </r>
  <r>
    <n v="528"/>
    <d v="2023-06-25T00:00:00"/>
    <x v="5"/>
    <d v="1900-01-01T00:00:00"/>
    <x v="1"/>
    <s v="No"/>
    <s v="No"/>
    <s v="None"/>
    <x v="2"/>
    <x v="5"/>
    <n v="8"/>
    <n v="88"/>
    <n v="8"/>
    <n v="80"/>
    <n v="0.90909090909090906"/>
    <n v="11"/>
    <n v="137.8064024390244"/>
  </r>
  <r>
    <n v="529"/>
    <d v="2023-06-25T00:00:00"/>
    <x v="5"/>
    <d v="1900-01-01T00:00:00"/>
    <x v="1"/>
    <s v="No"/>
    <s v="No"/>
    <s v="None"/>
    <x v="3"/>
    <x v="5"/>
    <n v="15"/>
    <n v="165"/>
    <n v="34"/>
    <n v="131"/>
    <n v="0.79393939393939394"/>
    <n v="11"/>
    <n v="137.8064024390244"/>
  </r>
  <r>
    <n v="530"/>
    <d v="2023-06-26T00:00:00"/>
    <x v="5"/>
    <d v="1900-01-02T00:00:00"/>
    <x v="1"/>
    <s v="No"/>
    <s v="No"/>
    <s v="None"/>
    <x v="0"/>
    <x v="1"/>
    <n v="15"/>
    <n v="165"/>
    <n v="25"/>
    <n v="140"/>
    <n v="0.84848484848484851"/>
    <n v="11"/>
    <n v="137.63053435114503"/>
  </r>
  <r>
    <n v="531"/>
    <d v="2023-06-26T00:00:00"/>
    <x v="5"/>
    <d v="1900-01-02T00:00:00"/>
    <x v="1"/>
    <s v="No"/>
    <s v="No"/>
    <s v="None"/>
    <x v="1"/>
    <x v="1"/>
    <n v="11"/>
    <n v="121"/>
    <n v="37"/>
    <n v="84"/>
    <n v="0.69421487603305787"/>
    <n v="11"/>
    <n v="137.63053435114503"/>
  </r>
  <r>
    <n v="532"/>
    <d v="2023-06-26T00:00:00"/>
    <x v="5"/>
    <d v="1900-01-02T00:00:00"/>
    <x v="1"/>
    <s v="No"/>
    <s v="No"/>
    <s v="None"/>
    <x v="2"/>
    <x v="2"/>
    <n v="5"/>
    <n v="55"/>
    <n v="39"/>
    <n v="16"/>
    <n v="0.29090909090909089"/>
    <n v="11"/>
    <n v="137.63053435114503"/>
  </r>
  <r>
    <n v="533"/>
    <d v="2023-06-26T00:00:00"/>
    <x v="5"/>
    <d v="1900-01-02T00:00:00"/>
    <x v="1"/>
    <s v="No"/>
    <s v="No"/>
    <s v="None"/>
    <x v="3"/>
    <x v="3"/>
    <n v="11"/>
    <n v="121"/>
    <n v="33"/>
    <n v="88"/>
    <n v="0.72727272727272729"/>
    <n v="11"/>
    <n v="137.63053435114503"/>
  </r>
  <r>
    <n v="534"/>
    <d v="2023-06-27T00:00:00"/>
    <x v="5"/>
    <d v="1900-01-03T00:00:00"/>
    <x v="1"/>
    <s v="No"/>
    <s v="No"/>
    <s v="None"/>
    <x v="0"/>
    <x v="4"/>
    <n v="16"/>
    <n v="176"/>
    <n v="20"/>
    <n v="156"/>
    <n v="0.88636363636363635"/>
    <n v="11"/>
    <n v="137.63053435114503"/>
  </r>
  <r>
    <n v="535"/>
    <d v="2023-06-27T00:00:00"/>
    <x v="5"/>
    <d v="1900-01-03T00:00:00"/>
    <x v="1"/>
    <s v="No"/>
    <s v="No"/>
    <s v="None"/>
    <x v="1"/>
    <x v="5"/>
    <n v="8"/>
    <n v="88"/>
    <n v="41"/>
    <n v="47"/>
    <n v="0.53409090909090906"/>
    <n v="11"/>
    <n v="137.63053435114503"/>
  </r>
  <r>
    <n v="536"/>
    <d v="2023-06-27T00:00:00"/>
    <x v="5"/>
    <d v="1900-01-03T00:00:00"/>
    <x v="1"/>
    <s v="No"/>
    <s v="No"/>
    <s v="None"/>
    <x v="2"/>
    <x v="5"/>
    <n v="5"/>
    <n v="55"/>
    <n v="44"/>
    <n v="11"/>
    <n v="0.2"/>
    <n v="11"/>
    <n v="137.63053435114503"/>
  </r>
  <r>
    <n v="537"/>
    <d v="2023-06-27T00:00:00"/>
    <x v="5"/>
    <d v="1900-01-03T00:00:00"/>
    <x v="1"/>
    <s v="No"/>
    <s v="No"/>
    <s v="None"/>
    <x v="3"/>
    <x v="5"/>
    <n v="11"/>
    <n v="121"/>
    <n v="41"/>
    <n v="80"/>
    <n v="0.66115702479338845"/>
    <n v="11"/>
    <n v="137.63053435114503"/>
  </r>
  <r>
    <n v="538"/>
    <d v="2023-06-28T00:00:00"/>
    <x v="5"/>
    <d v="1900-01-04T00:00:00"/>
    <x v="1"/>
    <s v="No"/>
    <s v="No"/>
    <s v="None"/>
    <x v="0"/>
    <x v="1"/>
    <n v="19"/>
    <n v="209"/>
    <n v="27"/>
    <n v="182"/>
    <n v="0.87081339712918659"/>
    <n v="11"/>
    <n v="137.5468509984639"/>
  </r>
  <r>
    <n v="539"/>
    <d v="2023-06-28T00:00:00"/>
    <x v="5"/>
    <d v="1900-01-04T00:00:00"/>
    <x v="1"/>
    <s v="No"/>
    <s v="No"/>
    <s v="None"/>
    <x v="1"/>
    <x v="1"/>
    <n v="9"/>
    <n v="99"/>
    <n v="19"/>
    <n v="80"/>
    <n v="0.80808080808080807"/>
    <n v="11"/>
    <n v="137.5468509984639"/>
  </r>
  <r>
    <n v="540"/>
    <d v="2023-06-28T00:00:00"/>
    <x v="5"/>
    <d v="1900-01-04T00:00:00"/>
    <x v="1"/>
    <s v="No"/>
    <s v="No"/>
    <s v="None"/>
    <x v="2"/>
    <x v="2"/>
    <n v="5"/>
    <n v="55"/>
    <n v="4"/>
    <n v="51"/>
    <n v="0.92727272727272725"/>
    <n v="11"/>
    <n v="137.5468509984639"/>
  </r>
  <r>
    <n v="541"/>
    <d v="2023-06-28T00:00:00"/>
    <x v="5"/>
    <d v="1900-01-04T00:00:00"/>
    <x v="1"/>
    <s v="No"/>
    <s v="No"/>
    <s v="None"/>
    <x v="3"/>
    <x v="3"/>
    <n v="13"/>
    <n v="143"/>
    <n v="28"/>
    <n v="115"/>
    <n v="0.80419580419580416"/>
    <n v="11"/>
    <n v="137.5468509984639"/>
  </r>
  <r>
    <n v="542"/>
    <d v="2023-06-29T00:00:00"/>
    <x v="5"/>
    <d v="1900-01-05T00:00:00"/>
    <x v="1"/>
    <s v="No"/>
    <s v="No"/>
    <s v="None"/>
    <x v="0"/>
    <x v="4"/>
    <n v="23"/>
    <n v="253"/>
    <n v="7"/>
    <n v="246"/>
    <n v="0.97233201581027673"/>
    <n v="11"/>
    <n v="137.58114374034002"/>
  </r>
  <r>
    <n v="543"/>
    <d v="2023-06-29T00:00:00"/>
    <x v="5"/>
    <d v="1900-01-05T00:00:00"/>
    <x v="1"/>
    <s v="No"/>
    <s v="No"/>
    <s v="None"/>
    <x v="1"/>
    <x v="2"/>
    <n v="9"/>
    <n v="99"/>
    <n v="25"/>
    <n v="74"/>
    <n v="0.74747474747474751"/>
    <n v="11"/>
    <n v="137.58114374034002"/>
  </r>
  <r>
    <n v="544"/>
    <d v="2023-06-29T00:00:00"/>
    <x v="5"/>
    <d v="1900-01-05T00:00:00"/>
    <x v="1"/>
    <s v="No"/>
    <s v="No"/>
    <s v="None"/>
    <x v="2"/>
    <x v="2"/>
    <n v="8"/>
    <n v="88"/>
    <n v="2"/>
    <n v="86"/>
    <n v="0.97727272727272729"/>
    <n v="11"/>
    <n v="137.58114374034002"/>
  </r>
  <r>
    <n v="545"/>
    <d v="2023-06-29T00:00:00"/>
    <x v="5"/>
    <d v="1900-01-05T00:00:00"/>
    <x v="1"/>
    <s v="No"/>
    <s v="No"/>
    <s v="None"/>
    <x v="3"/>
    <x v="3"/>
    <n v="13"/>
    <n v="143"/>
    <n v="9"/>
    <n v="134"/>
    <n v="0.93706293706293708"/>
    <n v="11"/>
    <n v="137.58114374034002"/>
  </r>
  <r>
    <n v="546"/>
    <d v="2023-06-30T00:00:00"/>
    <x v="5"/>
    <d v="1900-01-06T00:00:00"/>
    <x v="1"/>
    <s v="No"/>
    <s v="No"/>
    <s v="None"/>
    <x v="0"/>
    <x v="1"/>
    <n v="21"/>
    <n v="231"/>
    <n v="12"/>
    <n v="219"/>
    <n v="0.94805194805194803"/>
    <n v="11"/>
    <n v="137.83825816485225"/>
  </r>
  <r>
    <n v="547"/>
    <d v="2023-07-02T00:00:00"/>
    <x v="6"/>
    <d v="1900-01-01T00:00:00"/>
    <x v="2"/>
    <s v="No"/>
    <s v="No"/>
    <s v="None"/>
    <x v="0"/>
    <x v="4"/>
    <n v="19"/>
    <n v="209"/>
    <n v="37"/>
    <n v="172"/>
    <n v="0.82296650717703346"/>
    <n v="11"/>
    <n v="137.84251968503938"/>
  </r>
  <r>
    <n v="548"/>
    <d v="2023-07-02T00:00:00"/>
    <x v="6"/>
    <d v="1900-01-01T00:00:00"/>
    <x v="2"/>
    <s v="No"/>
    <s v="No"/>
    <s v="None"/>
    <x v="1"/>
    <x v="5"/>
    <n v="12"/>
    <n v="132"/>
    <n v="1"/>
    <n v="131"/>
    <n v="0.99242424242424243"/>
    <n v="11"/>
    <n v="137.84251968503938"/>
  </r>
  <r>
    <n v="549"/>
    <d v="2023-07-02T00:00:00"/>
    <x v="6"/>
    <d v="1900-01-01T00:00:00"/>
    <x v="2"/>
    <s v="No"/>
    <s v="No"/>
    <s v="None"/>
    <x v="2"/>
    <x v="5"/>
    <n v="9"/>
    <n v="99"/>
    <n v="24"/>
    <n v="75"/>
    <n v="0.75757575757575757"/>
    <n v="11"/>
    <n v="137.84251968503938"/>
  </r>
  <r>
    <n v="550"/>
    <d v="2023-07-02T00:00:00"/>
    <x v="6"/>
    <d v="1900-01-01T00:00:00"/>
    <x v="2"/>
    <s v="No"/>
    <s v="No"/>
    <s v="None"/>
    <x v="3"/>
    <x v="5"/>
    <n v="13"/>
    <n v="143"/>
    <n v="36"/>
    <n v="107"/>
    <n v="0.74825174825174823"/>
    <n v="11"/>
    <n v="137.84251968503938"/>
  </r>
  <r>
    <n v="551"/>
    <d v="2023-07-03T00:00:00"/>
    <x v="6"/>
    <d v="1900-01-02T00:00:00"/>
    <x v="2"/>
    <s v="No"/>
    <s v="No"/>
    <s v="None"/>
    <x v="0"/>
    <x v="1"/>
    <n v="17"/>
    <n v="187"/>
    <n v="34"/>
    <n v="153"/>
    <n v="0.81818181818181823"/>
    <n v="11"/>
    <n v="137.76498422712933"/>
  </r>
  <r>
    <n v="552"/>
    <d v="2023-07-03T00:00:00"/>
    <x v="6"/>
    <d v="1900-01-02T00:00:00"/>
    <x v="2"/>
    <s v="No"/>
    <s v="No"/>
    <s v="None"/>
    <x v="1"/>
    <x v="1"/>
    <n v="10"/>
    <n v="110"/>
    <n v="29"/>
    <n v="81"/>
    <n v="0.73636363636363633"/>
    <n v="11"/>
    <n v="137.76498422712933"/>
  </r>
  <r>
    <n v="553"/>
    <d v="2023-07-03T00:00:00"/>
    <x v="6"/>
    <d v="1900-01-02T00:00:00"/>
    <x v="2"/>
    <s v="No"/>
    <s v="No"/>
    <s v="None"/>
    <x v="2"/>
    <x v="2"/>
    <n v="5"/>
    <n v="55"/>
    <n v="11"/>
    <n v="44"/>
    <n v="0.8"/>
    <n v="11"/>
    <n v="137.76498422712933"/>
  </r>
  <r>
    <n v="554"/>
    <d v="2023-07-03T00:00:00"/>
    <x v="6"/>
    <d v="1900-01-02T00:00:00"/>
    <x v="2"/>
    <s v="No"/>
    <s v="No"/>
    <s v="None"/>
    <x v="3"/>
    <x v="3"/>
    <n v="11"/>
    <n v="121"/>
    <n v="29"/>
    <n v="92"/>
    <n v="0.76033057851239672"/>
    <n v="11"/>
    <n v="137.76498422712933"/>
  </r>
  <r>
    <n v="555"/>
    <d v="2023-07-04T00:00:00"/>
    <x v="6"/>
    <d v="1900-01-03T00:00:00"/>
    <x v="2"/>
    <s v="Yes"/>
    <s v="No"/>
    <s v="Independence Day"/>
    <x v="0"/>
    <x v="0"/>
    <n v="0"/>
    <n v="0"/>
    <n v="10"/>
    <n v="-10"/>
    <n v="0"/>
    <n v="0"/>
    <n v="137.76498422712933"/>
  </r>
  <r>
    <n v="556"/>
    <d v="2023-07-04T00:00:00"/>
    <x v="6"/>
    <d v="1900-01-03T00:00:00"/>
    <x v="2"/>
    <s v="Yes"/>
    <s v="No"/>
    <s v="Independence Day"/>
    <x v="1"/>
    <x v="0"/>
    <n v="0"/>
    <n v="0"/>
    <n v="10"/>
    <n v="-10"/>
    <n v="0"/>
    <n v="0"/>
    <n v="137.76498422712933"/>
  </r>
  <r>
    <n v="557"/>
    <d v="2023-07-04T00:00:00"/>
    <x v="6"/>
    <d v="1900-01-03T00:00:00"/>
    <x v="2"/>
    <s v="Yes"/>
    <s v="No"/>
    <s v="Independence Day"/>
    <x v="2"/>
    <x v="0"/>
    <n v="0"/>
    <n v="0"/>
    <n v="10"/>
    <n v="-10"/>
    <n v="0"/>
    <n v="0"/>
    <n v="137.76498422712933"/>
  </r>
  <r>
    <n v="558"/>
    <d v="2023-07-04T00:00:00"/>
    <x v="6"/>
    <d v="1900-01-03T00:00:00"/>
    <x v="2"/>
    <s v="Yes"/>
    <s v="No"/>
    <s v="Independence Day"/>
    <x v="3"/>
    <x v="0"/>
    <n v="0"/>
    <n v="0"/>
    <n v="10"/>
    <n v="-10"/>
    <n v="0"/>
    <n v="0"/>
    <n v="137.76498422712933"/>
  </r>
  <r>
    <n v="559"/>
    <d v="2023-07-05T00:00:00"/>
    <x v="6"/>
    <d v="1900-01-04T00:00:00"/>
    <x v="2"/>
    <s v="No"/>
    <s v="No"/>
    <s v="None"/>
    <x v="0"/>
    <x v="1"/>
    <n v="18"/>
    <n v="198"/>
    <n v="8"/>
    <n v="190"/>
    <n v="0.95959595959595956"/>
    <n v="11"/>
    <n v="137.74920634920636"/>
  </r>
  <r>
    <n v="560"/>
    <d v="2023-07-05T00:00:00"/>
    <x v="6"/>
    <d v="1900-01-04T00:00:00"/>
    <x v="2"/>
    <s v="No"/>
    <s v="No"/>
    <s v="None"/>
    <x v="1"/>
    <x v="1"/>
    <n v="9"/>
    <n v="99"/>
    <n v="28"/>
    <n v="71"/>
    <n v="0.71717171717171713"/>
    <n v="11"/>
    <n v="137.74920634920636"/>
  </r>
  <r>
    <n v="561"/>
    <d v="2023-07-05T00:00:00"/>
    <x v="6"/>
    <d v="1900-01-04T00:00:00"/>
    <x v="2"/>
    <s v="No"/>
    <s v="No"/>
    <s v="None"/>
    <x v="2"/>
    <x v="2"/>
    <n v="5"/>
    <n v="55"/>
    <n v="16"/>
    <n v="39"/>
    <n v="0.70909090909090911"/>
    <n v="11"/>
    <n v="137.74920634920636"/>
  </r>
  <r>
    <n v="562"/>
    <d v="2023-07-05T00:00:00"/>
    <x v="6"/>
    <d v="1900-01-04T00:00:00"/>
    <x v="2"/>
    <s v="No"/>
    <s v="No"/>
    <s v="None"/>
    <x v="3"/>
    <x v="3"/>
    <n v="13"/>
    <n v="143"/>
    <n v="44"/>
    <n v="99"/>
    <n v="0.69230769230769229"/>
    <n v="11"/>
    <n v="137.74920634920636"/>
  </r>
  <r>
    <n v="563"/>
    <d v="2023-07-06T00:00:00"/>
    <x v="6"/>
    <d v="1900-01-05T00:00:00"/>
    <x v="2"/>
    <s v="No"/>
    <s v="No"/>
    <s v="None"/>
    <x v="0"/>
    <x v="4"/>
    <n v="19"/>
    <n v="209"/>
    <n v="28"/>
    <n v="181"/>
    <n v="0.86602870813397126"/>
    <n v="11"/>
    <n v="137.83865814696486"/>
  </r>
  <r>
    <n v="564"/>
    <d v="2023-07-06T00:00:00"/>
    <x v="6"/>
    <d v="1900-01-05T00:00:00"/>
    <x v="2"/>
    <s v="No"/>
    <s v="No"/>
    <s v="None"/>
    <x v="1"/>
    <x v="2"/>
    <n v="12"/>
    <n v="132"/>
    <n v="37"/>
    <n v="95"/>
    <n v="0.71969696969696972"/>
    <n v="11"/>
    <n v="137.83865814696486"/>
  </r>
  <r>
    <n v="565"/>
    <d v="2023-07-06T00:00:00"/>
    <x v="6"/>
    <d v="1900-01-05T00:00:00"/>
    <x v="2"/>
    <s v="No"/>
    <s v="No"/>
    <s v="None"/>
    <x v="2"/>
    <x v="2"/>
    <n v="9"/>
    <n v="99"/>
    <n v="12"/>
    <n v="87"/>
    <n v="0.87878787878787878"/>
    <n v="11"/>
    <n v="137.83865814696486"/>
  </r>
  <r>
    <n v="566"/>
    <d v="2023-07-06T00:00:00"/>
    <x v="6"/>
    <d v="1900-01-05T00:00:00"/>
    <x v="2"/>
    <s v="No"/>
    <s v="No"/>
    <s v="None"/>
    <x v="3"/>
    <x v="3"/>
    <n v="15"/>
    <n v="165"/>
    <n v="10"/>
    <n v="155"/>
    <n v="0.93939393939393945"/>
    <n v="11"/>
    <n v="137.83865814696486"/>
  </r>
  <r>
    <n v="567"/>
    <d v="2023-07-07T00:00:00"/>
    <x v="6"/>
    <d v="1900-01-06T00:00:00"/>
    <x v="2"/>
    <s v="No"/>
    <s v="No"/>
    <s v="None"/>
    <x v="0"/>
    <x v="1"/>
    <n v="23"/>
    <n v="253"/>
    <n v="24"/>
    <n v="229"/>
    <n v="0.90513833992094861"/>
    <n v="11"/>
    <n v="138.08842443729904"/>
  </r>
  <r>
    <n v="568"/>
    <d v="2023-07-09T00:00:00"/>
    <x v="6"/>
    <d v="1900-01-01T00:00:00"/>
    <x v="2"/>
    <s v="No"/>
    <s v="No"/>
    <s v="None"/>
    <x v="0"/>
    <x v="4"/>
    <n v="20"/>
    <n v="220"/>
    <n v="3"/>
    <n v="217"/>
    <n v="0.98636363636363633"/>
    <n v="11"/>
    <n v="138.06026058631923"/>
  </r>
  <r>
    <n v="569"/>
    <d v="2023-07-09T00:00:00"/>
    <x v="6"/>
    <d v="1900-01-01T00:00:00"/>
    <x v="2"/>
    <s v="No"/>
    <s v="No"/>
    <s v="None"/>
    <x v="1"/>
    <x v="5"/>
    <n v="12"/>
    <n v="132"/>
    <n v="45"/>
    <n v="87"/>
    <n v="0.65909090909090906"/>
    <n v="11"/>
    <n v="138.06026058631923"/>
  </r>
  <r>
    <n v="570"/>
    <d v="2023-07-09T00:00:00"/>
    <x v="6"/>
    <d v="1900-01-01T00:00:00"/>
    <x v="2"/>
    <s v="No"/>
    <s v="No"/>
    <s v="None"/>
    <x v="2"/>
    <x v="5"/>
    <n v="10"/>
    <n v="110"/>
    <n v="41"/>
    <n v="69"/>
    <n v="0.62727272727272732"/>
    <n v="11"/>
    <n v="138.06026058631923"/>
  </r>
  <r>
    <n v="571"/>
    <d v="2023-07-09T00:00:00"/>
    <x v="6"/>
    <d v="1900-01-01T00:00:00"/>
    <x v="2"/>
    <s v="No"/>
    <s v="No"/>
    <s v="None"/>
    <x v="3"/>
    <x v="5"/>
    <n v="15"/>
    <n v="165"/>
    <n v="39"/>
    <n v="126"/>
    <n v="0.76363636363636367"/>
    <n v="11"/>
    <n v="138.06026058631923"/>
  </r>
  <r>
    <n v="572"/>
    <d v="2023-07-10T00:00:00"/>
    <x v="6"/>
    <d v="1900-01-02T00:00:00"/>
    <x v="2"/>
    <s v="No"/>
    <s v="No"/>
    <s v="None"/>
    <x v="0"/>
    <x v="1"/>
    <n v="15"/>
    <n v="165"/>
    <n v="16"/>
    <n v="149"/>
    <n v="0.90303030303030307"/>
    <n v="11"/>
    <n v="137.89070146818923"/>
  </r>
  <r>
    <n v="573"/>
    <d v="2023-07-10T00:00:00"/>
    <x v="6"/>
    <d v="1900-01-02T00:00:00"/>
    <x v="2"/>
    <s v="No"/>
    <s v="No"/>
    <s v="None"/>
    <x v="1"/>
    <x v="1"/>
    <n v="11"/>
    <n v="121"/>
    <n v="36"/>
    <n v="85"/>
    <n v="0.7024793388429752"/>
    <n v="11"/>
    <n v="137.89070146818923"/>
  </r>
  <r>
    <n v="574"/>
    <d v="2023-07-10T00:00:00"/>
    <x v="6"/>
    <d v="1900-01-02T00:00:00"/>
    <x v="2"/>
    <s v="No"/>
    <s v="No"/>
    <s v="None"/>
    <x v="2"/>
    <x v="2"/>
    <n v="5"/>
    <n v="55"/>
    <n v="4"/>
    <n v="51"/>
    <n v="0.92727272727272725"/>
    <n v="11"/>
    <n v="137.89070146818923"/>
  </r>
  <r>
    <n v="575"/>
    <d v="2023-07-10T00:00:00"/>
    <x v="6"/>
    <d v="1900-01-02T00:00:00"/>
    <x v="2"/>
    <s v="No"/>
    <s v="No"/>
    <s v="None"/>
    <x v="3"/>
    <x v="3"/>
    <n v="11"/>
    <n v="121"/>
    <n v="38"/>
    <n v="83"/>
    <n v="0.68595041322314054"/>
    <n v="11"/>
    <n v="137.89070146818923"/>
  </r>
  <r>
    <n v="576"/>
    <d v="2023-07-11T00:00:00"/>
    <x v="6"/>
    <d v="1900-01-03T00:00:00"/>
    <x v="2"/>
    <s v="No"/>
    <s v="No"/>
    <s v="None"/>
    <x v="0"/>
    <x v="4"/>
    <n v="16"/>
    <n v="176"/>
    <n v="28"/>
    <n v="148"/>
    <n v="0.84090909090909094"/>
    <n v="11"/>
    <n v="137.89070146818923"/>
  </r>
  <r>
    <n v="577"/>
    <d v="2023-07-11T00:00:00"/>
    <x v="6"/>
    <d v="1900-01-03T00:00:00"/>
    <x v="2"/>
    <s v="No"/>
    <s v="No"/>
    <s v="None"/>
    <x v="1"/>
    <x v="5"/>
    <n v="5"/>
    <n v="55"/>
    <n v="34"/>
    <n v="21"/>
    <n v="0.38181818181818183"/>
    <n v="11"/>
    <n v="137.89070146818923"/>
  </r>
  <r>
    <n v="578"/>
    <d v="2023-07-11T00:00:00"/>
    <x v="6"/>
    <d v="1900-01-03T00:00:00"/>
    <x v="2"/>
    <s v="No"/>
    <s v="No"/>
    <s v="None"/>
    <x v="2"/>
    <x v="5"/>
    <n v="5"/>
    <n v="55"/>
    <n v="7"/>
    <n v="48"/>
    <n v="0.87272727272727268"/>
    <n v="11"/>
    <n v="137.89070146818923"/>
  </r>
  <r>
    <n v="579"/>
    <d v="2023-07-11T00:00:00"/>
    <x v="6"/>
    <d v="1900-01-03T00:00:00"/>
    <x v="2"/>
    <s v="No"/>
    <s v="No"/>
    <s v="None"/>
    <x v="3"/>
    <x v="5"/>
    <n v="10"/>
    <n v="110"/>
    <n v="5"/>
    <n v="105"/>
    <n v="0.95454545454545459"/>
    <n v="11"/>
    <n v="137.89070146818923"/>
  </r>
  <r>
    <n v="580"/>
    <d v="2023-07-12T00:00:00"/>
    <x v="6"/>
    <d v="1900-01-04T00:00:00"/>
    <x v="2"/>
    <s v="No"/>
    <s v="No"/>
    <s v="None"/>
    <x v="0"/>
    <x v="1"/>
    <n v="16"/>
    <n v="176"/>
    <n v="26"/>
    <n v="150"/>
    <n v="0.85227272727272729"/>
    <n v="11"/>
    <n v="137.76683087027914"/>
  </r>
  <r>
    <n v="581"/>
    <d v="2023-07-12T00:00:00"/>
    <x v="6"/>
    <d v="1900-01-04T00:00:00"/>
    <x v="2"/>
    <s v="No"/>
    <s v="No"/>
    <s v="None"/>
    <x v="1"/>
    <x v="1"/>
    <n v="12"/>
    <n v="132"/>
    <n v="14"/>
    <n v="118"/>
    <n v="0.89393939393939392"/>
    <n v="11"/>
    <n v="137.76683087027914"/>
  </r>
  <r>
    <n v="582"/>
    <d v="2023-07-12T00:00:00"/>
    <x v="6"/>
    <d v="1900-01-04T00:00:00"/>
    <x v="2"/>
    <s v="No"/>
    <s v="No"/>
    <s v="None"/>
    <x v="2"/>
    <x v="2"/>
    <n v="5"/>
    <n v="55"/>
    <n v="38"/>
    <n v="17"/>
    <n v="0.30909090909090908"/>
    <n v="11"/>
    <n v="137.76683087027914"/>
  </r>
  <r>
    <n v="583"/>
    <d v="2023-07-12T00:00:00"/>
    <x v="6"/>
    <d v="1900-01-04T00:00:00"/>
    <x v="2"/>
    <s v="No"/>
    <s v="No"/>
    <s v="None"/>
    <x v="3"/>
    <x v="3"/>
    <n v="13"/>
    <n v="143"/>
    <n v="24"/>
    <n v="119"/>
    <n v="0.83216783216783219"/>
    <n v="11"/>
    <n v="137.76683087027914"/>
  </r>
  <r>
    <n v="584"/>
    <d v="2023-07-13T00:00:00"/>
    <x v="6"/>
    <d v="1900-01-05T00:00:00"/>
    <x v="2"/>
    <s v="No"/>
    <s v="No"/>
    <s v="None"/>
    <x v="0"/>
    <x v="4"/>
    <n v="20"/>
    <n v="220"/>
    <n v="48"/>
    <n v="172"/>
    <n v="0.78181818181818186"/>
    <n v="11"/>
    <n v="137.91404958677685"/>
  </r>
  <r>
    <n v="585"/>
    <d v="2023-07-13T00:00:00"/>
    <x v="6"/>
    <d v="1900-01-05T00:00:00"/>
    <x v="2"/>
    <s v="No"/>
    <s v="No"/>
    <s v="None"/>
    <x v="1"/>
    <x v="2"/>
    <n v="9"/>
    <n v="99"/>
    <n v="27"/>
    <n v="72"/>
    <n v="0.72727272727272729"/>
    <n v="11"/>
    <n v="137.91404958677685"/>
  </r>
  <r>
    <n v="586"/>
    <d v="2023-07-13T00:00:00"/>
    <x v="6"/>
    <d v="1900-01-05T00:00:00"/>
    <x v="2"/>
    <s v="No"/>
    <s v="No"/>
    <s v="None"/>
    <x v="2"/>
    <x v="2"/>
    <n v="10"/>
    <n v="110"/>
    <n v="30"/>
    <n v="80"/>
    <n v="0.72727272727272729"/>
    <n v="11"/>
    <n v="137.91404958677685"/>
  </r>
  <r>
    <n v="587"/>
    <d v="2023-07-13T00:00:00"/>
    <x v="6"/>
    <d v="1900-01-05T00:00:00"/>
    <x v="2"/>
    <s v="No"/>
    <s v="No"/>
    <s v="None"/>
    <x v="3"/>
    <x v="3"/>
    <n v="15"/>
    <n v="165"/>
    <n v="9"/>
    <n v="156"/>
    <n v="0.94545454545454544"/>
    <n v="11"/>
    <n v="137.91404958677685"/>
  </r>
  <r>
    <n v="588"/>
    <d v="2023-07-14T00:00:00"/>
    <x v="6"/>
    <d v="1900-01-06T00:00:00"/>
    <x v="2"/>
    <s v="No"/>
    <s v="No"/>
    <s v="None"/>
    <x v="0"/>
    <x v="1"/>
    <n v="21"/>
    <n v="231"/>
    <n v="12"/>
    <n v="219"/>
    <n v="0.94805194805194803"/>
    <n v="11"/>
    <n v="138.11813643926789"/>
  </r>
  <r>
    <n v="589"/>
    <d v="2023-07-16T00:00:00"/>
    <x v="6"/>
    <d v="1900-01-01T00:00:00"/>
    <x v="2"/>
    <s v="No"/>
    <s v="No"/>
    <s v="None"/>
    <x v="0"/>
    <x v="4"/>
    <n v="17"/>
    <n v="187"/>
    <n v="15"/>
    <n v="172"/>
    <n v="0.9197860962566845"/>
    <n v="11"/>
    <n v="138.16357504215853"/>
  </r>
  <r>
    <n v="590"/>
    <d v="2023-07-16T00:00:00"/>
    <x v="6"/>
    <d v="1900-01-01T00:00:00"/>
    <x v="2"/>
    <s v="No"/>
    <s v="No"/>
    <s v="None"/>
    <x v="1"/>
    <x v="5"/>
    <n v="12"/>
    <n v="132"/>
    <n v="36"/>
    <n v="96"/>
    <n v="0.72727272727272729"/>
    <n v="11"/>
    <n v="138.16357504215853"/>
  </r>
  <r>
    <n v="591"/>
    <d v="2023-07-16T00:00:00"/>
    <x v="6"/>
    <d v="1900-01-01T00:00:00"/>
    <x v="2"/>
    <s v="No"/>
    <s v="No"/>
    <s v="None"/>
    <x v="2"/>
    <x v="5"/>
    <n v="9"/>
    <n v="99"/>
    <n v="13"/>
    <n v="86"/>
    <n v="0.86868686868686873"/>
    <n v="11"/>
    <n v="138.16357504215853"/>
  </r>
  <r>
    <n v="592"/>
    <d v="2023-07-16T00:00:00"/>
    <x v="6"/>
    <d v="1900-01-01T00:00:00"/>
    <x v="2"/>
    <s v="No"/>
    <s v="No"/>
    <s v="None"/>
    <x v="3"/>
    <x v="5"/>
    <n v="14"/>
    <n v="154"/>
    <n v="11"/>
    <n v="143"/>
    <n v="0.9285714285714286"/>
    <n v="11"/>
    <n v="138.16357504215853"/>
  </r>
  <r>
    <n v="593"/>
    <d v="2023-07-17T00:00:00"/>
    <x v="6"/>
    <d v="1900-01-02T00:00:00"/>
    <x v="2"/>
    <s v="No"/>
    <s v="No"/>
    <s v="None"/>
    <x v="0"/>
    <x v="1"/>
    <n v="16"/>
    <n v="176"/>
    <n v="32"/>
    <n v="144"/>
    <n v="0.81818181818181823"/>
    <n v="11"/>
    <n v="138.04391891891891"/>
  </r>
  <r>
    <n v="594"/>
    <d v="2023-07-17T00:00:00"/>
    <x v="6"/>
    <d v="1900-01-02T00:00:00"/>
    <x v="2"/>
    <s v="No"/>
    <s v="No"/>
    <s v="None"/>
    <x v="1"/>
    <x v="1"/>
    <n v="10"/>
    <n v="110"/>
    <n v="34"/>
    <n v="76"/>
    <n v="0.69090909090909092"/>
    <n v="11"/>
    <n v="138.04391891891891"/>
  </r>
  <r>
    <n v="595"/>
    <d v="2023-07-17T00:00:00"/>
    <x v="6"/>
    <d v="1900-01-02T00:00:00"/>
    <x v="2"/>
    <s v="No"/>
    <s v="No"/>
    <s v="None"/>
    <x v="2"/>
    <x v="2"/>
    <n v="5"/>
    <n v="55"/>
    <n v="21"/>
    <n v="34"/>
    <n v="0.61818181818181817"/>
    <n v="11"/>
    <n v="138.04391891891891"/>
  </r>
  <r>
    <n v="596"/>
    <d v="2023-07-17T00:00:00"/>
    <x v="6"/>
    <d v="1900-01-02T00:00:00"/>
    <x v="2"/>
    <s v="No"/>
    <s v="No"/>
    <s v="None"/>
    <x v="3"/>
    <x v="3"/>
    <n v="14"/>
    <n v="154"/>
    <n v="43"/>
    <n v="111"/>
    <n v="0.72077922077922074"/>
    <n v="11"/>
    <n v="138.04391891891891"/>
  </r>
  <r>
    <n v="597"/>
    <d v="2023-07-18T00:00:00"/>
    <x v="6"/>
    <d v="1900-01-03T00:00:00"/>
    <x v="2"/>
    <s v="No"/>
    <s v="No"/>
    <s v="None"/>
    <x v="0"/>
    <x v="4"/>
    <n v="17"/>
    <n v="187"/>
    <n v="29"/>
    <n v="158"/>
    <n v="0.84491978609625673"/>
    <n v="11"/>
    <n v="138.04391891891891"/>
  </r>
  <r>
    <n v="598"/>
    <d v="2023-07-18T00:00:00"/>
    <x v="6"/>
    <d v="1900-01-03T00:00:00"/>
    <x v="2"/>
    <s v="No"/>
    <s v="No"/>
    <s v="None"/>
    <x v="1"/>
    <x v="5"/>
    <n v="7"/>
    <n v="77"/>
    <n v="19"/>
    <n v="58"/>
    <n v="0.75324675324675328"/>
    <n v="11"/>
    <n v="138.04391891891891"/>
  </r>
  <r>
    <n v="599"/>
    <d v="2023-07-18T00:00:00"/>
    <x v="6"/>
    <d v="1900-01-03T00:00:00"/>
    <x v="2"/>
    <s v="No"/>
    <s v="No"/>
    <s v="None"/>
    <x v="2"/>
    <x v="5"/>
    <n v="5"/>
    <n v="55"/>
    <n v="24"/>
    <n v="31"/>
    <n v="0.5636363636363636"/>
    <n v="11"/>
    <n v="138.04391891891891"/>
  </r>
  <r>
    <n v="600"/>
    <d v="2023-07-18T00:00:00"/>
    <x v="6"/>
    <d v="1900-01-03T00:00:00"/>
    <x v="2"/>
    <s v="No"/>
    <s v="No"/>
    <s v="None"/>
    <x v="3"/>
    <x v="5"/>
    <n v="9"/>
    <n v="99"/>
    <n v="39"/>
    <n v="60"/>
    <n v="0.60606060606060608"/>
    <n v="11"/>
    <n v="138.04391891891891"/>
  </r>
  <r>
    <n v="601"/>
    <d v="2023-07-19T00:00:00"/>
    <x v="6"/>
    <d v="1900-01-04T00:00:00"/>
    <x v="2"/>
    <s v="No"/>
    <s v="No"/>
    <s v="None"/>
    <x v="0"/>
    <x v="1"/>
    <n v="16"/>
    <n v="176"/>
    <n v="5"/>
    <n v="171"/>
    <n v="0.97159090909090906"/>
    <n v="11"/>
    <n v="137.95408163265307"/>
  </r>
  <r>
    <n v="602"/>
    <d v="2023-07-19T00:00:00"/>
    <x v="6"/>
    <d v="1900-01-04T00:00:00"/>
    <x v="2"/>
    <s v="No"/>
    <s v="No"/>
    <s v="None"/>
    <x v="1"/>
    <x v="1"/>
    <n v="11"/>
    <n v="121"/>
    <n v="24"/>
    <n v="97"/>
    <n v="0.80165289256198347"/>
    <n v="11"/>
    <n v="137.95408163265307"/>
  </r>
  <r>
    <n v="603"/>
    <d v="2023-07-19T00:00:00"/>
    <x v="6"/>
    <d v="1900-01-04T00:00:00"/>
    <x v="2"/>
    <s v="No"/>
    <s v="No"/>
    <s v="None"/>
    <x v="2"/>
    <x v="2"/>
    <n v="5"/>
    <n v="55"/>
    <n v="46"/>
    <n v="9"/>
    <n v="0.16363636363636364"/>
    <n v="11"/>
    <n v="137.95408163265307"/>
  </r>
  <r>
    <n v="604"/>
    <d v="2023-07-19T00:00:00"/>
    <x v="6"/>
    <d v="1900-01-04T00:00:00"/>
    <x v="2"/>
    <s v="No"/>
    <s v="No"/>
    <s v="None"/>
    <x v="3"/>
    <x v="3"/>
    <n v="13"/>
    <n v="143"/>
    <n v="37"/>
    <n v="106"/>
    <n v="0.74125874125874125"/>
    <n v="11"/>
    <n v="137.95408163265307"/>
  </r>
  <r>
    <n v="605"/>
    <d v="2023-07-20T00:00:00"/>
    <x v="6"/>
    <d v="1900-01-05T00:00:00"/>
    <x v="2"/>
    <s v="No"/>
    <s v="No"/>
    <s v="None"/>
    <x v="0"/>
    <x v="4"/>
    <n v="23"/>
    <n v="253"/>
    <n v="34"/>
    <n v="219"/>
    <n v="0.86561264822134387"/>
    <n v="11"/>
    <n v="138.12671232876713"/>
  </r>
  <r>
    <n v="606"/>
    <d v="2023-07-20T00:00:00"/>
    <x v="6"/>
    <d v="1900-01-05T00:00:00"/>
    <x v="2"/>
    <s v="No"/>
    <s v="No"/>
    <s v="None"/>
    <x v="1"/>
    <x v="2"/>
    <n v="12"/>
    <n v="132"/>
    <n v="20"/>
    <n v="112"/>
    <n v="0.84848484848484851"/>
    <n v="11"/>
    <n v="138.12671232876713"/>
  </r>
  <r>
    <n v="607"/>
    <d v="2023-07-20T00:00:00"/>
    <x v="6"/>
    <d v="1900-01-05T00:00:00"/>
    <x v="2"/>
    <s v="No"/>
    <s v="No"/>
    <s v="None"/>
    <x v="2"/>
    <x v="2"/>
    <n v="9"/>
    <n v="99"/>
    <n v="20"/>
    <n v="79"/>
    <n v="0.79797979797979801"/>
    <n v="11"/>
    <n v="138.12671232876713"/>
  </r>
  <r>
    <n v="608"/>
    <d v="2023-07-20T00:00:00"/>
    <x v="6"/>
    <d v="1900-01-05T00:00:00"/>
    <x v="2"/>
    <s v="No"/>
    <s v="No"/>
    <s v="None"/>
    <x v="3"/>
    <x v="3"/>
    <n v="19"/>
    <n v="209"/>
    <n v="44"/>
    <n v="165"/>
    <n v="0.78947368421052633"/>
    <n v="11"/>
    <n v="138.12671232876713"/>
  </r>
  <r>
    <n v="609"/>
    <d v="2023-07-21T00:00:00"/>
    <x v="6"/>
    <d v="1900-01-06T00:00:00"/>
    <x v="2"/>
    <s v="No"/>
    <s v="No"/>
    <s v="None"/>
    <x v="0"/>
    <x v="1"/>
    <n v="22"/>
    <n v="242"/>
    <n v="49"/>
    <n v="193"/>
    <n v="0.7975206611570248"/>
    <n v="11"/>
    <n v="138.33965517241379"/>
  </r>
  <r>
    <n v="610"/>
    <d v="2023-07-23T00:00:00"/>
    <x v="6"/>
    <d v="1900-01-01T00:00:00"/>
    <x v="2"/>
    <s v="No"/>
    <s v="No"/>
    <s v="None"/>
    <x v="0"/>
    <x v="4"/>
    <n v="22"/>
    <n v="242"/>
    <n v="39"/>
    <n v="203"/>
    <n v="0.83884297520661155"/>
    <n v="11"/>
    <n v="137.81643356643357"/>
  </r>
  <r>
    <n v="611"/>
    <d v="2023-07-23T00:00:00"/>
    <x v="6"/>
    <d v="1900-01-01T00:00:00"/>
    <x v="2"/>
    <s v="No"/>
    <s v="No"/>
    <s v="None"/>
    <x v="1"/>
    <x v="5"/>
    <n v="10"/>
    <n v="110"/>
    <n v="26"/>
    <n v="84"/>
    <n v="0.76363636363636367"/>
    <n v="11"/>
    <n v="137.81643356643357"/>
  </r>
  <r>
    <n v="612"/>
    <d v="2023-07-23T00:00:00"/>
    <x v="6"/>
    <d v="1900-01-01T00:00:00"/>
    <x v="2"/>
    <s v="No"/>
    <s v="No"/>
    <s v="None"/>
    <x v="2"/>
    <x v="5"/>
    <n v="10"/>
    <n v="110"/>
    <n v="36"/>
    <n v="74"/>
    <n v="0.67272727272727273"/>
    <n v="11"/>
    <n v="137.81643356643357"/>
  </r>
  <r>
    <n v="613"/>
    <d v="2023-07-23T00:00:00"/>
    <x v="6"/>
    <d v="1900-01-01T00:00:00"/>
    <x v="2"/>
    <s v="No"/>
    <s v="No"/>
    <s v="None"/>
    <x v="3"/>
    <x v="5"/>
    <n v="16"/>
    <n v="176"/>
    <n v="3"/>
    <n v="173"/>
    <n v="0.98295454545454541"/>
    <n v="11"/>
    <n v="137.81643356643357"/>
  </r>
  <r>
    <n v="614"/>
    <d v="2023-07-24T00:00:00"/>
    <x v="6"/>
    <d v="1900-01-02T00:00:00"/>
    <x v="2"/>
    <s v="No"/>
    <s v="No"/>
    <s v="None"/>
    <x v="0"/>
    <x v="1"/>
    <n v="14"/>
    <n v="154"/>
    <n v="50"/>
    <n v="104"/>
    <n v="0.67532467532467533"/>
    <n v="11"/>
    <n v="137.64273204903677"/>
  </r>
  <r>
    <n v="615"/>
    <d v="2023-07-24T00:00:00"/>
    <x v="6"/>
    <d v="1900-01-02T00:00:00"/>
    <x v="2"/>
    <s v="No"/>
    <s v="No"/>
    <s v="None"/>
    <x v="1"/>
    <x v="1"/>
    <n v="10"/>
    <n v="110"/>
    <n v="13"/>
    <n v="97"/>
    <n v="0.88181818181818183"/>
    <n v="11"/>
    <n v="137.64273204903677"/>
  </r>
  <r>
    <n v="616"/>
    <d v="2023-07-24T00:00:00"/>
    <x v="6"/>
    <d v="1900-01-02T00:00:00"/>
    <x v="2"/>
    <s v="No"/>
    <s v="No"/>
    <s v="None"/>
    <x v="2"/>
    <x v="2"/>
    <n v="5"/>
    <n v="55"/>
    <n v="48"/>
    <n v="7"/>
    <n v="0.12727272727272726"/>
    <n v="11"/>
    <n v="137.64273204903677"/>
  </r>
  <r>
    <n v="617"/>
    <d v="2023-07-24T00:00:00"/>
    <x v="6"/>
    <d v="1900-01-02T00:00:00"/>
    <x v="2"/>
    <s v="No"/>
    <s v="No"/>
    <s v="None"/>
    <x v="3"/>
    <x v="3"/>
    <n v="11"/>
    <n v="121"/>
    <n v="35"/>
    <n v="86"/>
    <n v="0.71074380165289253"/>
    <n v="11"/>
    <n v="137.64273204903677"/>
  </r>
  <r>
    <n v="618"/>
    <d v="2023-07-25T00:00:00"/>
    <x v="6"/>
    <d v="1900-01-03T00:00:00"/>
    <x v="2"/>
    <s v="No"/>
    <s v="No"/>
    <s v="None"/>
    <x v="0"/>
    <x v="4"/>
    <n v="16"/>
    <n v="176"/>
    <n v="43"/>
    <n v="133"/>
    <n v="0.75568181818181823"/>
    <n v="11"/>
    <n v="137.64273204903677"/>
  </r>
  <r>
    <n v="619"/>
    <d v="2023-07-25T00:00:00"/>
    <x v="6"/>
    <d v="1900-01-03T00:00:00"/>
    <x v="2"/>
    <s v="No"/>
    <s v="No"/>
    <s v="None"/>
    <x v="1"/>
    <x v="5"/>
    <n v="7"/>
    <n v="77"/>
    <n v="22"/>
    <n v="55"/>
    <n v="0.7142857142857143"/>
    <n v="11"/>
    <n v="137.64273204903677"/>
  </r>
  <r>
    <n v="620"/>
    <d v="2023-07-25T00:00:00"/>
    <x v="6"/>
    <d v="1900-01-03T00:00:00"/>
    <x v="2"/>
    <s v="No"/>
    <s v="No"/>
    <s v="None"/>
    <x v="2"/>
    <x v="5"/>
    <n v="5"/>
    <n v="55"/>
    <n v="46"/>
    <n v="9"/>
    <n v="0.16363636363636364"/>
    <n v="11"/>
    <n v="137.64273204903677"/>
  </r>
  <r>
    <n v="621"/>
    <d v="2023-07-25T00:00:00"/>
    <x v="6"/>
    <d v="1900-01-03T00:00:00"/>
    <x v="2"/>
    <s v="No"/>
    <s v="No"/>
    <s v="None"/>
    <x v="3"/>
    <x v="5"/>
    <n v="12"/>
    <n v="132"/>
    <n v="13"/>
    <n v="119"/>
    <n v="0.90151515151515149"/>
    <n v="11"/>
    <n v="137.64273204903677"/>
  </r>
  <r>
    <n v="622"/>
    <d v="2023-07-26T00:00:00"/>
    <x v="6"/>
    <d v="1900-01-04T00:00:00"/>
    <x v="2"/>
    <s v="No"/>
    <s v="No"/>
    <s v="None"/>
    <x v="0"/>
    <x v="1"/>
    <n v="16"/>
    <n v="176"/>
    <n v="2"/>
    <n v="174"/>
    <n v="0.98863636363636365"/>
    <n v="11"/>
    <n v="137.54673721340387"/>
  </r>
  <r>
    <n v="623"/>
    <d v="2023-07-26T00:00:00"/>
    <x v="6"/>
    <d v="1900-01-04T00:00:00"/>
    <x v="2"/>
    <s v="No"/>
    <s v="No"/>
    <s v="None"/>
    <x v="1"/>
    <x v="1"/>
    <n v="11"/>
    <n v="121"/>
    <n v="9"/>
    <n v="112"/>
    <n v="0.92561983471074383"/>
    <n v="11"/>
    <n v="137.54673721340387"/>
  </r>
  <r>
    <n v="624"/>
    <d v="2023-07-26T00:00:00"/>
    <x v="6"/>
    <d v="1900-01-04T00:00:00"/>
    <x v="2"/>
    <s v="No"/>
    <s v="No"/>
    <s v="None"/>
    <x v="2"/>
    <x v="2"/>
    <n v="5"/>
    <n v="55"/>
    <n v="22"/>
    <n v="33"/>
    <n v="0.6"/>
    <n v="11"/>
    <n v="137.54673721340387"/>
  </r>
  <r>
    <n v="625"/>
    <d v="2023-07-26T00:00:00"/>
    <x v="6"/>
    <d v="1900-01-04T00:00:00"/>
    <x v="2"/>
    <s v="No"/>
    <s v="No"/>
    <s v="None"/>
    <x v="3"/>
    <x v="3"/>
    <n v="13"/>
    <n v="143"/>
    <n v="24"/>
    <n v="119"/>
    <n v="0.83216783216783219"/>
    <n v="11"/>
    <n v="137.54673721340387"/>
  </r>
  <r>
    <n v="626"/>
    <d v="2023-07-27T00:00:00"/>
    <x v="6"/>
    <d v="1900-01-05T00:00:00"/>
    <x v="2"/>
    <s v="No"/>
    <s v="No"/>
    <s v="None"/>
    <x v="0"/>
    <x v="4"/>
    <n v="22"/>
    <n v="242"/>
    <n v="27"/>
    <n v="215"/>
    <n v="0.88842975206611574"/>
    <n v="11"/>
    <n v="137.70337477797514"/>
  </r>
  <r>
    <n v="627"/>
    <d v="2023-07-27T00:00:00"/>
    <x v="6"/>
    <d v="1900-01-05T00:00:00"/>
    <x v="2"/>
    <s v="No"/>
    <s v="No"/>
    <s v="None"/>
    <x v="1"/>
    <x v="2"/>
    <n v="10"/>
    <n v="110"/>
    <n v="34"/>
    <n v="76"/>
    <n v="0.69090909090909092"/>
    <n v="11"/>
    <n v="137.70337477797514"/>
  </r>
  <r>
    <n v="628"/>
    <d v="2023-07-27T00:00:00"/>
    <x v="6"/>
    <d v="1900-01-05T00:00:00"/>
    <x v="2"/>
    <s v="No"/>
    <s v="No"/>
    <s v="None"/>
    <x v="2"/>
    <x v="2"/>
    <n v="9"/>
    <n v="99"/>
    <n v="14"/>
    <n v="85"/>
    <n v="0.85858585858585856"/>
    <n v="11"/>
    <n v="137.70337477797514"/>
  </r>
  <r>
    <n v="629"/>
    <d v="2023-07-27T00:00:00"/>
    <x v="6"/>
    <d v="1900-01-05T00:00:00"/>
    <x v="2"/>
    <s v="No"/>
    <s v="No"/>
    <s v="None"/>
    <x v="3"/>
    <x v="3"/>
    <n v="16"/>
    <n v="176"/>
    <n v="11"/>
    <n v="165"/>
    <n v="0.9375"/>
    <n v="11"/>
    <n v="137.70337477797514"/>
  </r>
  <r>
    <n v="630"/>
    <d v="2023-07-28T00:00:00"/>
    <x v="6"/>
    <d v="1900-01-06T00:00:00"/>
    <x v="2"/>
    <s v="No"/>
    <s v="No"/>
    <s v="None"/>
    <x v="0"/>
    <x v="1"/>
    <n v="23"/>
    <n v="253"/>
    <n v="6"/>
    <n v="247"/>
    <n v="0.97628458498023718"/>
    <n v="11"/>
    <n v="137.90161001788908"/>
  </r>
  <r>
    <n v="631"/>
    <d v="2023-07-30T00:00:00"/>
    <x v="6"/>
    <d v="1900-01-01T00:00:00"/>
    <x v="2"/>
    <s v="No"/>
    <s v="No"/>
    <s v="None"/>
    <x v="0"/>
    <x v="4"/>
    <n v="19"/>
    <n v="209"/>
    <n v="32"/>
    <n v="177"/>
    <n v="0.84688995215311003"/>
    <n v="11"/>
    <n v="137.92740471869328"/>
  </r>
  <r>
    <n v="632"/>
    <d v="2023-07-30T00:00:00"/>
    <x v="6"/>
    <d v="1900-01-01T00:00:00"/>
    <x v="2"/>
    <s v="No"/>
    <s v="No"/>
    <s v="None"/>
    <x v="1"/>
    <x v="5"/>
    <n v="9"/>
    <n v="99"/>
    <n v="11"/>
    <n v="88"/>
    <n v="0.88888888888888884"/>
    <n v="11"/>
    <n v="137.92740471869328"/>
  </r>
  <r>
    <n v="633"/>
    <d v="2023-07-30T00:00:00"/>
    <x v="6"/>
    <d v="1900-01-01T00:00:00"/>
    <x v="2"/>
    <s v="No"/>
    <s v="No"/>
    <s v="None"/>
    <x v="2"/>
    <x v="5"/>
    <n v="8"/>
    <n v="88"/>
    <n v="5"/>
    <n v="83"/>
    <n v="0.94318181818181823"/>
    <n v="11"/>
    <n v="137.92740471869328"/>
  </r>
  <r>
    <n v="634"/>
    <d v="2023-07-30T00:00:00"/>
    <x v="6"/>
    <d v="1900-01-01T00:00:00"/>
    <x v="2"/>
    <s v="No"/>
    <s v="No"/>
    <s v="None"/>
    <x v="3"/>
    <x v="5"/>
    <n v="13"/>
    <n v="143"/>
    <n v="34"/>
    <n v="109"/>
    <n v="0.76223776223776218"/>
    <n v="11"/>
    <n v="137.92740471869328"/>
  </r>
  <r>
    <n v="635"/>
    <d v="2023-07-31T00:00:00"/>
    <x v="6"/>
    <d v="1900-01-02T00:00:00"/>
    <x v="2"/>
    <s v="No"/>
    <s v="No"/>
    <s v="None"/>
    <x v="0"/>
    <x v="1"/>
    <n v="17"/>
    <n v="187"/>
    <n v="15"/>
    <n v="172"/>
    <n v="0.9197860962566845"/>
    <n v="11"/>
    <n v="137.75818181818181"/>
  </r>
  <r>
    <n v="636"/>
    <d v="2023-07-31T00:00:00"/>
    <x v="6"/>
    <d v="1900-01-02T00:00:00"/>
    <x v="2"/>
    <s v="No"/>
    <s v="No"/>
    <s v="None"/>
    <x v="1"/>
    <x v="1"/>
    <n v="12"/>
    <n v="132"/>
    <n v="2"/>
    <n v="130"/>
    <n v="0.98484848484848486"/>
    <n v="11"/>
    <n v="137.75818181818181"/>
  </r>
  <r>
    <n v="637"/>
    <d v="2023-07-31T00:00:00"/>
    <x v="6"/>
    <d v="1900-01-02T00:00:00"/>
    <x v="2"/>
    <s v="No"/>
    <s v="No"/>
    <s v="None"/>
    <x v="2"/>
    <x v="2"/>
    <n v="5"/>
    <n v="55"/>
    <n v="14"/>
    <n v="41"/>
    <n v="0.74545454545454548"/>
    <n v="11"/>
    <n v="137.75818181818181"/>
  </r>
  <r>
    <n v="638"/>
    <d v="2023-07-31T00:00:00"/>
    <x v="6"/>
    <d v="1900-01-02T00:00:00"/>
    <x v="2"/>
    <s v="No"/>
    <s v="No"/>
    <s v="None"/>
    <x v="3"/>
    <x v="3"/>
    <n v="13"/>
    <n v="143"/>
    <n v="43"/>
    <n v="100"/>
    <n v="0.69930069930069927"/>
    <n v="11"/>
    <n v="137.75818181818181"/>
  </r>
  <r>
    <n v="639"/>
    <d v="2023-08-01T00:00:00"/>
    <x v="7"/>
    <d v="1900-01-03T00:00:00"/>
    <x v="2"/>
    <s v="No"/>
    <s v="No"/>
    <s v="None"/>
    <x v="0"/>
    <x v="4"/>
    <n v="14"/>
    <n v="154"/>
    <n v="29"/>
    <n v="125"/>
    <n v="0.81168831168831168"/>
    <n v="11"/>
    <n v="137.75818181818181"/>
  </r>
  <r>
    <n v="640"/>
    <d v="2023-08-01T00:00:00"/>
    <x v="7"/>
    <d v="1900-01-03T00:00:00"/>
    <x v="2"/>
    <s v="No"/>
    <s v="No"/>
    <s v="None"/>
    <x v="1"/>
    <x v="5"/>
    <n v="6"/>
    <n v="66"/>
    <n v="37"/>
    <n v="29"/>
    <n v="0.43939393939393939"/>
    <n v="11"/>
    <n v="137.75818181818181"/>
  </r>
  <r>
    <n v="641"/>
    <d v="2023-08-01T00:00:00"/>
    <x v="7"/>
    <d v="1900-01-03T00:00:00"/>
    <x v="2"/>
    <s v="No"/>
    <s v="No"/>
    <s v="None"/>
    <x v="2"/>
    <x v="5"/>
    <n v="5"/>
    <n v="55"/>
    <n v="12"/>
    <n v="43"/>
    <n v="0.78181818181818186"/>
    <n v="11"/>
    <n v="137.75818181818181"/>
  </r>
  <r>
    <n v="642"/>
    <d v="2023-08-01T00:00:00"/>
    <x v="7"/>
    <d v="1900-01-03T00:00:00"/>
    <x v="2"/>
    <s v="No"/>
    <s v="No"/>
    <s v="None"/>
    <x v="3"/>
    <x v="5"/>
    <n v="11"/>
    <n v="121"/>
    <n v="18"/>
    <n v="103"/>
    <n v="0.85123966942148765"/>
    <n v="11"/>
    <n v="137.75818181818181"/>
  </r>
  <r>
    <n v="643"/>
    <d v="2023-08-02T00:00:00"/>
    <x v="7"/>
    <d v="1900-01-04T00:00:00"/>
    <x v="2"/>
    <s v="No"/>
    <s v="No"/>
    <s v="None"/>
    <x v="0"/>
    <x v="1"/>
    <n v="15"/>
    <n v="165"/>
    <n v="16"/>
    <n v="149"/>
    <n v="0.90303030303030307"/>
    <n v="11"/>
    <n v="137.69963369963369"/>
  </r>
  <r>
    <n v="644"/>
    <d v="2023-08-02T00:00:00"/>
    <x v="7"/>
    <d v="1900-01-04T00:00:00"/>
    <x v="2"/>
    <s v="No"/>
    <s v="No"/>
    <s v="None"/>
    <x v="1"/>
    <x v="1"/>
    <n v="8"/>
    <n v="88"/>
    <n v="19"/>
    <n v="69"/>
    <n v="0.78409090909090906"/>
    <n v="11"/>
    <n v="137.69963369963369"/>
  </r>
  <r>
    <n v="645"/>
    <d v="2023-08-02T00:00:00"/>
    <x v="7"/>
    <d v="1900-01-04T00:00:00"/>
    <x v="2"/>
    <s v="No"/>
    <s v="No"/>
    <s v="None"/>
    <x v="2"/>
    <x v="2"/>
    <n v="5"/>
    <n v="55"/>
    <n v="46"/>
    <n v="9"/>
    <n v="0.16363636363636364"/>
    <n v="11"/>
    <n v="137.69963369963369"/>
  </r>
  <r>
    <n v="646"/>
    <d v="2023-08-02T00:00:00"/>
    <x v="7"/>
    <d v="1900-01-04T00:00:00"/>
    <x v="2"/>
    <s v="No"/>
    <s v="No"/>
    <s v="None"/>
    <x v="3"/>
    <x v="3"/>
    <n v="13"/>
    <n v="143"/>
    <n v="16"/>
    <n v="127"/>
    <n v="0.88811188811188813"/>
    <n v="11"/>
    <n v="137.69963369963369"/>
  </r>
  <r>
    <n v="647"/>
    <d v="2023-08-03T00:00:00"/>
    <x v="7"/>
    <d v="1900-01-05T00:00:00"/>
    <x v="2"/>
    <s v="No"/>
    <s v="No"/>
    <s v="None"/>
    <x v="0"/>
    <x v="4"/>
    <n v="22"/>
    <n v="242"/>
    <n v="40"/>
    <n v="202"/>
    <n v="0.83471074380165289"/>
    <n v="11"/>
    <n v="137.84317343173433"/>
  </r>
  <r>
    <n v="648"/>
    <d v="2023-08-03T00:00:00"/>
    <x v="7"/>
    <d v="1900-01-05T00:00:00"/>
    <x v="2"/>
    <s v="No"/>
    <s v="No"/>
    <s v="None"/>
    <x v="1"/>
    <x v="2"/>
    <n v="9"/>
    <n v="99"/>
    <n v="35"/>
    <n v="64"/>
    <n v="0.64646464646464652"/>
    <n v="11"/>
    <n v="137.84317343173433"/>
  </r>
  <r>
    <n v="649"/>
    <d v="2023-08-03T00:00:00"/>
    <x v="7"/>
    <d v="1900-01-05T00:00:00"/>
    <x v="2"/>
    <s v="No"/>
    <s v="No"/>
    <s v="None"/>
    <x v="2"/>
    <x v="2"/>
    <n v="10"/>
    <n v="110"/>
    <n v="46"/>
    <n v="64"/>
    <n v="0.58181818181818179"/>
    <n v="11"/>
    <n v="137.84317343173433"/>
  </r>
  <r>
    <n v="650"/>
    <d v="2023-08-03T00:00:00"/>
    <x v="7"/>
    <d v="1900-01-05T00:00:00"/>
    <x v="2"/>
    <s v="No"/>
    <s v="No"/>
    <s v="None"/>
    <x v="3"/>
    <x v="3"/>
    <n v="16"/>
    <n v="176"/>
    <n v="41"/>
    <n v="135"/>
    <n v="0.76704545454545459"/>
    <n v="11"/>
    <n v="137.84317343173433"/>
  </r>
  <r>
    <n v="651"/>
    <d v="2023-08-04T00:00:00"/>
    <x v="7"/>
    <d v="1900-01-06T00:00:00"/>
    <x v="2"/>
    <s v="No"/>
    <s v="No"/>
    <s v="None"/>
    <x v="0"/>
    <x v="1"/>
    <n v="21"/>
    <n v="231"/>
    <n v="14"/>
    <n v="217"/>
    <n v="0.93939393939393945"/>
    <n v="11"/>
    <n v="138.86802973977694"/>
  </r>
  <r>
    <n v="652"/>
    <d v="2023-08-06T00:00:00"/>
    <x v="7"/>
    <d v="1900-01-01T00:00:00"/>
    <x v="2"/>
    <s v="No"/>
    <s v="No"/>
    <s v="None"/>
    <x v="0"/>
    <x v="4"/>
    <n v="19"/>
    <n v="209"/>
    <n v="2"/>
    <n v="207"/>
    <n v="0.99043062200956933"/>
    <n v="11"/>
    <n v="138.88867924528302"/>
  </r>
  <r>
    <n v="653"/>
    <d v="2023-08-06T00:00:00"/>
    <x v="7"/>
    <d v="1900-01-01T00:00:00"/>
    <x v="2"/>
    <s v="No"/>
    <s v="No"/>
    <s v="None"/>
    <x v="1"/>
    <x v="5"/>
    <n v="11"/>
    <n v="121"/>
    <n v="4"/>
    <n v="117"/>
    <n v="0.96694214876033058"/>
    <n v="11"/>
    <n v="138.88867924528302"/>
  </r>
  <r>
    <n v="654"/>
    <d v="2023-08-06T00:00:00"/>
    <x v="7"/>
    <d v="1900-01-01T00:00:00"/>
    <x v="2"/>
    <s v="No"/>
    <s v="No"/>
    <s v="None"/>
    <x v="2"/>
    <x v="5"/>
    <n v="10"/>
    <n v="110"/>
    <n v="46"/>
    <n v="64"/>
    <n v="0.58181818181818179"/>
    <n v="11"/>
    <n v="138.88867924528302"/>
  </r>
  <r>
    <n v="655"/>
    <d v="2023-08-06T00:00:00"/>
    <x v="7"/>
    <d v="1900-01-01T00:00:00"/>
    <x v="2"/>
    <s v="No"/>
    <s v="No"/>
    <s v="None"/>
    <x v="3"/>
    <x v="5"/>
    <n v="13"/>
    <n v="143"/>
    <n v="3"/>
    <n v="140"/>
    <n v="0.97902097902097907"/>
    <n v="11"/>
    <n v="138.88867924528302"/>
  </r>
  <r>
    <n v="656"/>
    <d v="2023-08-07T00:00:00"/>
    <x v="7"/>
    <d v="1900-01-02T00:00:00"/>
    <x v="2"/>
    <s v="No"/>
    <s v="No"/>
    <s v="None"/>
    <x v="0"/>
    <x v="1"/>
    <n v="16"/>
    <n v="176"/>
    <n v="1"/>
    <n v="175"/>
    <n v="0.99431818181818177"/>
    <n v="11"/>
    <n v="138.67296786389414"/>
  </r>
  <r>
    <n v="657"/>
    <d v="2023-08-07T00:00:00"/>
    <x v="7"/>
    <d v="1900-01-02T00:00:00"/>
    <x v="2"/>
    <s v="No"/>
    <s v="No"/>
    <s v="None"/>
    <x v="1"/>
    <x v="1"/>
    <n v="12"/>
    <n v="132"/>
    <n v="20"/>
    <n v="112"/>
    <n v="0.84848484848484851"/>
    <n v="11"/>
    <n v="138.67296786389414"/>
  </r>
  <r>
    <n v="658"/>
    <d v="2023-08-07T00:00:00"/>
    <x v="7"/>
    <d v="1900-01-02T00:00:00"/>
    <x v="2"/>
    <s v="No"/>
    <s v="No"/>
    <s v="None"/>
    <x v="2"/>
    <x v="2"/>
    <n v="5"/>
    <n v="55"/>
    <n v="19"/>
    <n v="36"/>
    <n v="0.65454545454545454"/>
    <n v="11"/>
    <n v="138.67296786389414"/>
  </r>
  <r>
    <n v="659"/>
    <d v="2023-08-07T00:00:00"/>
    <x v="7"/>
    <d v="1900-01-02T00:00:00"/>
    <x v="2"/>
    <s v="No"/>
    <s v="No"/>
    <s v="None"/>
    <x v="3"/>
    <x v="3"/>
    <n v="15"/>
    <n v="165"/>
    <n v="14"/>
    <n v="151"/>
    <n v="0.91515151515151516"/>
    <n v="11"/>
    <n v="138.67296786389414"/>
  </r>
  <r>
    <n v="660"/>
    <d v="2023-08-08T00:00:00"/>
    <x v="7"/>
    <d v="1900-01-03T00:00:00"/>
    <x v="2"/>
    <s v="No"/>
    <s v="No"/>
    <s v="None"/>
    <x v="0"/>
    <x v="4"/>
    <n v="16"/>
    <n v="176"/>
    <n v="1"/>
    <n v="175"/>
    <n v="0.99431818181818177"/>
    <n v="11"/>
    <n v="138.67296786389414"/>
  </r>
  <r>
    <n v="661"/>
    <d v="2023-08-08T00:00:00"/>
    <x v="7"/>
    <d v="1900-01-03T00:00:00"/>
    <x v="2"/>
    <s v="No"/>
    <s v="No"/>
    <s v="None"/>
    <x v="1"/>
    <x v="5"/>
    <n v="8"/>
    <n v="88"/>
    <n v="34"/>
    <n v="54"/>
    <n v="0.61363636363636365"/>
    <n v="11"/>
    <n v="138.67296786389414"/>
  </r>
  <r>
    <n v="662"/>
    <d v="2023-08-08T00:00:00"/>
    <x v="7"/>
    <d v="1900-01-03T00:00:00"/>
    <x v="2"/>
    <s v="No"/>
    <s v="No"/>
    <s v="None"/>
    <x v="2"/>
    <x v="5"/>
    <n v="5"/>
    <n v="55"/>
    <n v="3"/>
    <n v="52"/>
    <n v="0.94545454545454544"/>
    <n v="11"/>
    <n v="138.67296786389414"/>
  </r>
  <r>
    <n v="663"/>
    <d v="2023-08-08T00:00:00"/>
    <x v="7"/>
    <d v="1900-01-03T00:00:00"/>
    <x v="2"/>
    <s v="No"/>
    <s v="No"/>
    <s v="None"/>
    <x v="3"/>
    <x v="5"/>
    <n v="9"/>
    <n v="99"/>
    <n v="31"/>
    <n v="68"/>
    <n v="0.68686868686868685"/>
    <n v="11"/>
    <n v="138.67296786389414"/>
  </r>
  <r>
    <n v="664"/>
    <d v="2023-08-09T00:00:00"/>
    <x v="7"/>
    <d v="1900-01-04T00:00:00"/>
    <x v="2"/>
    <s v="No"/>
    <s v="No"/>
    <s v="None"/>
    <x v="0"/>
    <x v="1"/>
    <n v="17"/>
    <n v="187"/>
    <n v="45"/>
    <n v="142"/>
    <n v="0.75935828877005351"/>
    <n v="11"/>
    <n v="138.5352380952381"/>
  </r>
  <r>
    <n v="665"/>
    <d v="2023-08-09T00:00:00"/>
    <x v="7"/>
    <d v="1900-01-04T00:00:00"/>
    <x v="2"/>
    <s v="No"/>
    <s v="No"/>
    <s v="None"/>
    <x v="1"/>
    <x v="1"/>
    <n v="11"/>
    <n v="121"/>
    <n v="38"/>
    <n v="83"/>
    <n v="0.68595041322314054"/>
    <n v="11"/>
    <n v="138.5352380952381"/>
  </r>
  <r>
    <n v="666"/>
    <d v="2023-08-09T00:00:00"/>
    <x v="7"/>
    <d v="1900-01-04T00:00:00"/>
    <x v="2"/>
    <s v="No"/>
    <s v="No"/>
    <s v="None"/>
    <x v="2"/>
    <x v="2"/>
    <n v="5"/>
    <n v="55"/>
    <n v="31"/>
    <n v="24"/>
    <n v="0.43636363636363634"/>
    <n v="11"/>
    <n v="138.5352380952381"/>
  </r>
  <r>
    <n v="667"/>
    <d v="2023-08-09T00:00:00"/>
    <x v="7"/>
    <d v="1900-01-04T00:00:00"/>
    <x v="2"/>
    <s v="No"/>
    <s v="No"/>
    <s v="None"/>
    <x v="3"/>
    <x v="3"/>
    <n v="11"/>
    <n v="121"/>
    <n v="23"/>
    <n v="98"/>
    <n v="0.80991735537190079"/>
    <n v="11"/>
    <n v="138.5352380952381"/>
  </r>
  <r>
    <n v="668"/>
    <d v="2023-08-10T00:00:00"/>
    <x v="7"/>
    <d v="1900-01-05T00:00:00"/>
    <x v="2"/>
    <s v="No"/>
    <s v="No"/>
    <s v="None"/>
    <x v="0"/>
    <x v="4"/>
    <n v="18"/>
    <n v="198"/>
    <n v="23"/>
    <n v="175"/>
    <n v="0.88383838383838387"/>
    <n v="11"/>
    <n v="138.71209213051824"/>
  </r>
  <r>
    <n v="669"/>
    <d v="2023-08-10T00:00:00"/>
    <x v="7"/>
    <d v="1900-01-05T00:00:00"/>
    <x v="2"/>
    <s v="No"/>
    <s v="No"/>
    <s v="None"/>
    <x v="1"/>
    <x v="2"/>
    <n v="9"/>
    <n v="99"/>
    <n v="28"/>
    <n v="71"/>
    <n v="0.71717171717171713"/>
    <n v="11"/>
    <n v="138.71209213051824"/>
  </r>
  <r>
    <n v="670"/>
    <d v="2023-08-10T00:00:00"/>
    <x v="7"/>
    <d v="1900-01-05T00:00:00"/>
    <x v="2"/>
    <s v="No"/>
    <s v="No"/>
    <s v="None"/>
    <x v="2"/>
    <x v="2"/>
    <n v="9"/>
    <n v="99"/>
    <n v="19"/>
    <n v="80"/>
    <n v="0.80808080808080807"/>
    <n v="11"/>
    <n v="138.71209213051824"/>
  </r>
  <r>
    <n v="671"/>
    <d v="2023-08-10T00:00:00"/>
    <x v="7"/>
    <d v="1900-01-05T00:00:00"/>
    <x v="2"/>
    <s v="No"/>
    <s v="No"/>
    <s v="None"/>
    <x v="3"/>
    <x v="3"/>
    <n v="19"/>
    <n v="209"/>
    <n v="18"/>
    <n v="191"/>
    <n v="0.9138755980861244"/>
    <n v="11"/>
    <n v="138.71209213051824"/>
  </r>
  <r>
    <n v="672"/>
    <d v="2023-08-11T00:00:00"/>
    <x v="7"/>
    <d v="1900-01-06T00:00:00"/>
    <x v="2"/>
    <s v="No"/>
    <s v="No"/>
    <s v="None"/>
    <x v="0"/>
    <x v="1"/>
    <n v="18"/>
    <n v="198"/>
    <n v="23"/>
    <n v="175"/>
    <n v="0.88383838383838387"/>
    <n v="11"/>
    <n v="139.0193423597679"/>
  </r>
  <r>
    <n v="673"/>
    <d v="2023-08-13T00:00:00"/>
    <x v="7"/>
    <d v="1900-01-01T00:00:00"/>
    <x v="2"/>
    <s v="No"/>
    <s v="No"/>
    <s v="None"/>
    <x v="0"/>
    <x v="4"/>
    <n v="20"/>
    <n v="220"/>
    <n v="20"/>
    <n v="200"/>
    <n v="0.90909090909090906"/>
    <n v="11"/>
    <n v="139.04322200392929"/>
  </r>
  <r>
    <n v="674"/>
    <d v="2023-08-13T00:00:00"/>
    <x v="7"/>
    <d v="1900-01-01T00:00:00"/>
    <x v="2"/>
    <s v="No"/>
    <s v="No"/>
    <s v="None"/>
    <x v="1"/>
    <x v="5"/>
    <n v="9"/>
    <n v="99"/>
    <n v="24"/>
    <n v="75"/>
    <n v="0.75757575757575757"/>
    <n v="11"/>
    <n v="139.04322200392929"/>
  </r>
  <r>
    <n v="675"/>
    <d v="2023-08-13T00:00:00"/>
    <x v="7"/>
    <d v="1900-01-01T00:00:00"/>
    <x v="2"/>
    <s v="No"/>
    <s v="No"/>
    <s v="None"/>
    <x v="2"/>
    <x v="5"/>
    <n v="8"/>
    <n v="88"/>
    <n v="10"/>
    <n v="78"/>
    <n v="0.88636363636363635"/>
    <n v="11"/>
    <n v="139.04322200392929"/>
  </r>
  <r>
    <n v="676"/>
    <d v="2023-08-13T00:00:00"/>
    <x v="7"/>
    <d v="1900-01-01T00:00:00"/>
    <x v="2"/>
    <s v="No"/>
    <s v="No"/>
    <s v="None"/>
    <x v="3"/>
    <x v="5"/>
    <n v="15"/>
    <n v="165"/>
    <n v="30"/>
    <n v="135"/>
    <n v="0.81818181818181823"/>
    <n v="11"/>
    <n v="139.04322200392929"/>
  </r>
  <r>
    <n v="677"/>
    <d v="2023-08-14T00:00:00"/>
    <x v="7"/>
    <d v="1900-01-02T00:00:00"/>
    <x v="2"/>
    <s v="No"/>
    <s v="No"/>
    <s v="None"/>
    <x v="0"/>
    <x v="1"/>
    <n v="18"/>
    <n v="198"/>
    <n v="5"/>
    <n v="193"/>
    <n v="0.9747474747474747"/>
    <n v="11"/>
    <n v="138.86220472440945"/>
  </r>
  <r>
    <n v="678"/>
    <d v="2023-08-14T00:00:00"/>
    <x v="7"/>
    <d v="1900-01-02T00:00:00"/>
    <x v="2"/>
    <s v="No"/>
    <s v="No"/>
    <s v="None"/>
    <x v="1"/>
    <x v="1"/>
    <n v="12"/>
    <n v="132"/>
    <n v="36"/>
    <n v="96"/>
    <n v="0.72727272727272729"/>
    <n v="11"/>
    <n v="138.86220472440945"/>
  </r>
  <r>
    <n v="679"/>
    <d v="2023-08-14T00:00:00"/>
    <x v="7"/>
    <d v="1900-01-02T00:00:00"/>
    <x v="2"/>
    <s v="No"/>
    <s v="No"/>
    <s v="None"/>
    <x v="2"/>
    <x v="2"/>
    <n v="5"/>
    <n v="55"/>
    <n v="35"/>
    <n v="20"/>
    <n v="0.36363636363636365"/>
    <n v="11"/>
    <n v="138.86220472440945"/>
  </r>
  <r>
    <n v="680"/>
    <d v="2023-08-14T00:00:00"/>
    <x v="7"/>
    <d v="1900-01-02T00:00:00"/>
    <x v="2"/>
    <s v="No"/>
    <s v="No"/>
    <s v="None"/>
    <x v="3"/>
    <x v="3"/>
    <n v="14"/>
    <n v="154"/>
    <n v="11"/>
    <n v="143"/>
    <n v="0.9285714285714286"/>
    <n v="11"/>
    <n v="138.86220472440945"/>
  </r>
  <r>
    <n v="681"/>
    <d v="2023-08-15T00:00:00"/>
    <x v="7"/>
    <d v="1900-01-03T00:00:00"/>
    <x v="2"/>
    <s v="No"/>
    <s v="No"/>
    <s v="None"/>
    <x v="0"/>
    <x v="4"/>
    <n v="16"/>
    <n v="176"/>
    <n v="32"/>
    <n v="144"/>
    <n v="0.81818181818181823"/>
    <n v="11"/>
    <n v="138.86220472440945"/>
  </r>
  <r>
    <n v="682"/>
    <d v="2023-08-15T00:00:00"/>
    <x v="7"/>
    <d v="1900-01-03T00:00:00"/>
    <x v="2"/>
    <s v="No"/>
    <s v="No"/>
    <s v="None"/>
    <x v="1"/>
    <x v="5"/>
    <n v="7"/>
    <n v="77"/>
    <n v="46"/>
    <n v="31"/>
    <n v="0.40259740259740262"/>
    <n v="11"/>
    <n v="138.86220472440945"/>
  </r>
  <r>
    <n v="683"/>
    <d v="2023-08-15T00:00:00"/>
    <x v="7"/>
    <d v="1900-01-03T00:00:00"/>
    <x v="2"/>
    <s v="No"/>
    <s v="No"/>
    <s v="None"/>
    <x v="2"/>
    <x v="5"/>
    <n v="5"/>
    <n v="55"/>
    <n v="43"/>
    <n v="12"/>
    <n v="0.21818181818181817"/>
    <n v="11"/>
    <n v="138.86220472440945"/>
  </r>
  <r>
    <n v="684"/>
    <d v="2023-08-15T00:00:00"/>
    <x v="7"/>
    <d v="1900-01-03T00:00:00"/>
    <x v="2"/>
    <s v="No"/>
    <s v="No"/>
    <s v="None"/>
    <x v="3"/>
    <x v="5"/>
    <n v="12"/>
    <n v="132"/>
    <n v="26"/>
    <n v="106"/>
    <n v="0.80303030303030298"/>
    <n v="11"/>
    <n v="138.86220472440945"/>
  </r>
  <r>
    <n v="685"/>
    <d v="2023-08-16T00:00:00"/>
    <x v="7"/>
    <d v="1900-01-04T00:00:00"/>
    <x v="2"/>
    <s v="No"/>
    <s v="No"/>
    <s v="None"/>
    <x v="0"/>
    <x v="1"/>
    <n v="15"/>
    <n v="165"/>
    <n v="48"/>
    <n v="117"/>
    <n v="0.70909090909090911"/>
    <n v="11"/>
    <n v="138.82936507936509"/>
  </r>
  <r>
    <n v="686"/>
    <d v="2023-08-16T00:00:00"/>
    <x v="7"/>
    <d v="1900-01-04T00:00:00"/>
    <x v="2"/>
    <s v="No"/>
    <s v="No"/>
    <s v="None"/>
    <x v="1"/>
    <x v="1"/>
    <n v="8"/>
    <n v="88"/>
    <n v="32"/>
    <n v="56"/>
    <n v="0.63636363636363635"/>
    <n v="11"/>
    <n v="138.82936507936509"/>
  </r>
  <r>
    <n v="687"/>
    <d v="2023-08-16T00:00:00"/>
    <x v="7"/>
    <d v="1900-01-04T00:00:00"/>
    <x v="2"/>
    <s v="No"/>
    <s v="No"/>
    <s v="None"/>
    <x v="2"/>
    <x v="2"/>
    <n v="5"/>
    <n v="55"/>
    <n v="14"/>
    <n v="41"/>
    <n v="0.74545454545454548"/>
    <n v="11"/>
    <n v="138.82936507936509"/>
  </r>
  <r>
    <n v="688"/>
    <d v="2023-08-16T00:00:00"/>
    <x v="7"/>
    <d v="1900-01-04T00:00:00"/>
    <x v="2"/>
    <s v="No"/>
    <s v="No"/>
    <s v="None"/>
    <x v="3"/>
    <x v="3"/>
    <n v="13"/>
    <n v="143"/>
    <n v="6"/>
    <n v="137"/>
    <n v="0.95804195804195802"/>
    <n v="11"/>
    <n v="138.82936507936509"/>
  </r>
  <r>
    <n v="689"/>
    <d v="2023-08-17T00:00:00"/>
    <x v="7"/>
    <d v="1900-01-05T00:00:00"/>
    <x v="2"/>
    <s v="No"/>
    <s v="No"/>
    <s v="None"/>
    <x v="0"/>
    <x v="4"/>
    <n v="20"/>
    <n v="220"/>
    <n v="19"/>
    <n v="201"/>
    <n v="0.91363636363636369"/>
    <n v="11"/>
    <n v="138.94999999999999"/>
  </r>
  <r>
    <n v="690"/>
    <d v="2023-08-17T00:00:00"/>
    <x v="7"/>
    <d v="1900-01-05T00:00:00"/>
    <x v="2"/>
    <s v="No"/>
    <s v="No"/>
    <s v="None"/>
    <x v="1"/>
    <x v="2"/>
    <n v="8"/>
    <n v="88"/>
    <n v="34"/>
    <n v="54"/>
    <n v="0.61363636363636365"/>
    <n v="11"/>
    <n v="138.94999999999999"/>
  </r>
  <r>
    <n v="691"/>
    <d v="2023-08-17T00:00:00"/>
    <x v="7"/>
    <d v="1900-01-05T00:00:00"/>
    <x v="2"/>
    <s v="No"/>
    <s v="No"/>
    <s v="None"/>
    <x v="2"/>
    <x v="2"/>
    <n v="9"/>
    <n v="99"/>
    <n v="24"/>
    <n v="75"/>
    <n v="0.75757575757575757"/>
    <n v="11"/>
    <n v="138.94999999999999"/>
  </r>
  <r>
    <n v="692"/>
    <d v="2023-08-17T00:00:00"/>
    <x v="7"/>
    <d v="1900-01-05T00:00:00"/>
    <x v="2"/>
    <s v="No"/>
    <s v="No"/>
    <s v="None"/>
    <x v="3"/>
    <x v="3"/>
    <n v="16"/>
    <n v="176"/>
    <n v="2"/>
    <n v="174"/>
    <n v="0.98863636363636365"/>
    <n v="11"/>
    <n v="138.94999999999999"/>
  </r>
  <r>
    <n v="693"/>
    <d v="2023-08-18T00:00:00"/>
    <x v="7"/>
    <d v="1900-01-06T00:00:00"/>
    <x v="2"/>
    <s v="No"/>
    <s v="No"/>
    <s v="None"/>
    <x v="0"/>
    <x v="1"/>
    <n v="20"/>
    <n v="220"/>
    <n v="24"/>
    <n v="196"/>
    <n v="0.89090909090909087"/>
    <n v="11"/>
    <n v="139.22782258064515"/>
  </r>
  <r>
    <n v="694"/>
    <d v="2023-08-20T00:00:00"/>
    <x v="7"/>
    <d v="1900-01-01T00:00:00"/>
    <x v="2"/>
    <s v="No"/>
    <s v="No"/>
    <s v="None"/>
    <x v="0"/>
    <x v="4"/>
    <n v="20"/>
    <n v="220"/>
    <n v="9"/>
    <n v="211"/>
    <n v="0.95909090909090911"/>
    <n v="11"/>
    <n v="139.07581967213116"/>
  </r>
  <r>
    <n v="695"/>
    <d v="2023-08-20T00:00:00"/>
    <x v="7"/>
    <d v="1900-01-01T00:00:00"/>
    <x v="2"/>
    <s v="No"/>
    <s v="No"/>
    <s v="None"/>
    <x v="1"/>
    <x v="5"/>
    <n v="12"/>
    <n v="132"/>
    <n v="1"/>
    <n v="131"/>
    <n v="0.99242424242424243"/>
    <n v="11"/>
    <n v="139.07581967213116"/>
  </r>
  <r>
    <n v="696"/>
    <d v="2023-08-20T00:00:00"/>
    <x v="7"/>
    <d v="1900-01-01T00:00:00"/>
    <x v="2"/>
    <s v="No"/>
    <s v="No"/>
    <s v="None"/>
    <x v="2"/>
    <x v="5"/>
    <n v="10"/>
    <n v="110"/>
    <n v="16"/>
    <n v="94"/>
    <n v="0.8545454545454545"/>
    <n v="11"/>
    <n v="139.07581967213116"/>
  </r>
  <r>
    <n v="697"/>
    <d v="2023-08-20T00:00:00"/>
    <x v="7"/>
    <d v="1900-01-01T00:00:00"/>
    <x v="2"/>
    <s v="No"/>
    <s v="No"/>
    <s v="None"/>
    <x v="3"/>
    <x v="5"/>
    <n v="15"/>
    <n v="165"/>
    <n v="38"/>
    <n v="127"/>
    <n v="0.76969696969696966"/>
    <n v="11"/>
    <n v="139.07581967213116"/>
  </r>
  <r>
    <n v="698"/>
    <d v="2023-08-21T00:00:00"/>
    <x v="7"/>
    <d v="1900-01-02T00:00:00"/>
    <x v="2"/>
    <s v="No"/>
    <s v="No"/>
    <s v="None"/>
    <x v="0"/>
    <x v="1"/>
    <n v="19"/>
    <n v="209"/>
    <n v="21"/>
    <n v="188"/>
    <n v="0.8995215311004785"/>
    <n v="11"/>
    <n v="138.86447638603696"/>
  </r>
  <r>
    <n v="699"/>
    <d v="2023-08-21T00:00:00"/>
    <x v="7"/>
    <d v="1900-01-02T00:00:00"/>
    <x v="2"/>
    <s v="No"/>
    <s v="No"/>
    <s v="None"/>
    <x v="1"/>
    <x v="1"/>
    <n v="9"/>
    <n v="99"/>
    <n v="42"/>
    <n v="57"/>
    <n v="0.5757575757575758"/>
    <n v="11"/>
    <n v="138.86447638603696"/>
  </r>
  <r>
    <n v="700"/>
    <d v="2023-08-21T00:00:00"/>
    <x v="7"/>
    <d v="1900-01-02T00:00:00"/>
    <x v="2"/>
    <s v="No"/>
    <s v="No"/>
    <s v="None"/>
    <x v="2"/>
    <x v="2"/>
    <n v="5"/>
    <n v="55"/>
    <n v="45"/>
    <n v="10"/>
    <n v="0.18181818181818182"/>
    <n v="11"/>
    <n v="138.86447638603696"/>
  </r>
  <r>
    <n v="701"/>
    <d v="2023-08-21T00:00:00"/>
    <x v="7"/>
    <d v="1900-01-02T00:00:00"/>
    <x v="2"/>
    <s v="No"/>
    <s v="No"/>
    <s v="None"/>
    <x v="3"/>
    <x v="3"/>
    <n v="12"/>
    <n v="132"/>
    <n v="11"/>
    <n v="121"/>
    <n v="0.91666666666666663"/>
    <n v="11"/>
    <n v="138.86447638603696"/>
  </r>
  <r>
    <n v="702"/>
    <d v="2023-08-22T00:00:00"/>
    <x v="7"/>
    <d v="1900-01-03T00:00:00"/>
    <x v="2"/>
    <s v="No"/>
    <s v="No"/>
    <s v="None"/>
    <x v="0"/>
    <x v="4"/>
    <n v="19"/>
    <n v="209"/>
    <n v="31"/>
    <n v="178"/>
    <n v="0.85167464114832536"/>
    <n v="11"/>
    <n v="138.86447638603696"/>
  </r>
  <r>
    <n v="703"/>
    <d v="2023-08-22T00:00:00"/>
    <x v="7"/>
    <d v="1900-01-03T00:00:00"/>
    <x v="2"/>
    <s v="No"/>
    <s v="No"/>
    <s v="None"/>
    <x v="1"/>
    <x v="5"/>
    <n v="5"/>
    <n v="55"/>
    <n v="39"/>
    <n v="16"/>
    <n v="0.29090909090909089"/>
    <n v="11"/>
    <n v="138.86447638603696"/>
  </r>
  <r>
    <n v="704"/>
    <d v="2023-08-22T00:00:00"/>
    <x v="7"/>
    <d v="1900-01-03T00:00:00"/>
    <x v="2"/>
    <s v="No"/>
    <s v="No"/>
    <s v="None"/>
    <x v="2"/>
    <x v="5"/>
    <n v="5"/>
    <n v="55"/>
    <n v="30"/>
    <n v="25"/>
    <n v="0.45454545454545453"/>
    <n v="11"/>
    <n v="138.86447638603696"/>
  </r>
  <r>
    <n v="705"/>
    <d v="2023-08-22T00:00:00"/>
    <x v="7"/>
    <d v="1900-01-03T00:00:00"/>
    <x v="2"/>
    <s v="No"/>
    <s v="No"/>
    <s v="None"/>
    <x v="3"/>
    <x v="5"/>
    <n v="9"/>
    <n v="99"/>
    <n v="7"/>
    <n v="92"/>
    <n v="0.92929292929292928"/>
    <n v="11"/>
    <n v="138.86447638603696"/>
  </r>
  <r>
    <n v="706"/>
    <d v="2023-08-23T00:00:00"/>
    <x v="7"/>
    <d v="1900-01-04T00:00:00"/>
    <x v="2"/>
    <s v="No"/>
    <s v="No"/>
    <s v="None"/>
    <x v="0"/>
    <x v="1"/>
    <n v="15"/>
    <n v="165"/>
    <n v="50"/>
    <n v="115"/>
    <n v="0.69696969696969702"/>
    <n v="11"/>
    <n v="138.6935817805383"/>
  </r>
  <r>
    <n v="707"/>
    <d v="2023-08-23T00:00:00"/>
    <x v="7"/>
    <d v="1900-01-04T00:00:00"/>
    <x v="2"/>
    <s v="No"/>
    <s v="No"/>
    <s v="None"/>
    <x v="1"/>
    <x v="1"/>
    <n v="11"/>
    <n v="121"/>
    <n v="7"/>
    <n v="114"/>
    <n v="0.94214876033057848"/>
    <n v="11"/>
    <n v="138.6935817805383"/>
  </r>
  <r>
    <n v="708"/>
    <d v="2023-08-23T00:00:00"/>
    <x v="7"/>
    <d v="1900-01-04T00:00:00"/>
    <x v="2"/>
    <s v="No"/>
    <s v="No"/>
    <s v="None"/>
    <x v="2"/>
    <x v="2"/>
    <n v="5"/>
    <n v="55"/>
    <n v="7"/>
    <n v="48"/>
    <n v="0.87272727272727268"/>
    <n v="11"/>
    <n v="138.6935817805383"/>
  </r>
  <r>
    <n v="709"/>
    <d v="2023-08-23T00:00:00"/>
    <x v="7"/>
    <d v="1900-01-04T00:00:00"/>
    <x v="2"/>
    <s v="No"/>
    <s v="No"/>
    <s v="None"/>
    <x v="3"/>
    <x v="3"/>
    <n v="13"/>
    <n v="143"/>
    <n v="8"/>
    <n v="135"/>
    <n v="0.94405594405594406"/>
    <n v="11"/>
    <n v="138.6935817805383"/>
  </r>
  <r>
    <n v="710"/>
    <d v="2023-08-24T00:00:00"/>
    <x v="7"/>
    <d v="1900-01-05T00:00:00"/>
    <x v="2"/>
    <s v="No"/>
    <s v="No"/>
    <s v="None"/>
    <x v="0"/>
    <x v="4"/>
    <n v="21"/>
    <n v="231"/>
    <n v="27"/>
    <n v="204"/>
    <n v="0.88311688311688308"/>
    <n v="11"/>
    <n v="138.93319415448852"/>
  </r>
  <r>
    <n v="711"/>
    <d v="2023-08-24T00:00:00"/>
    <x v="7"/>
    <d v="1900-01-05T00:00:00"/>
    <x v="2"/>
    <s v="No"/>
    <s v="No"/>
    <s v="None"/>
    <x v="1"/>
    <x v="2"/>
    <n v="9"/>
    <n v="99"/>
    <n v="4"/>
    <n v="95"/>
    <n v="0.95959595959595956"/>
    <n v="11"/>
    <n v="138.93319415448852"/>
  </r>
  <r>
    <n v="712"/>
    <d v="2023-08-24T00:00:00"/>
    <x v="7"/>
    <d v="1900-01-05T00:00:00"/>
    <x v="2"/>
    <s v="No"/>
    <s v="No"/>
    <s v="None"/>
    <x v="2"/>
    <x v="2"/>
    <n v="10"/>
    <n v="110"/>
    <n v="8"/>
    <n v="102"/>
    <n v="0.92727272727272725"/>
    <n v="11"/>
    <n v="138.93319415448852"/>
  </r>
  <r>
    <n v="713"/>
    <d v="2023-08-24T00:00:00"/>
    <x v="7"/>
    <d v="1900-01-05T00:00:00"/>
    <x v="2"/>
    <s v="No"/>
    <s v="No"/>
    <s v="None"/>
    <x v="3"/>
    <x v="3"/>
    <n v="15"/>
    <n v="165"/>
    <n v="39"/>
    <n v="126"/>
    <n v="0.76363636363636367"/>
    <n v="11"/>
    <n v="138.93319415448852"/>
  </r>
  <r>
    <n v="714"/>
    <d v="2023-08-25T00:00:00"/>
    <x v="7"/>
    <d v="1900-01-06T00:00:00"/>
    <x v="2"/>
    <s v="No"/>
    <s v="No"/>
    <s v="None"/>
    <x v="0"/>
    <x v="1"/>
    <n v="24"/>
    <n v="264"/>
    <n v="16"/>
    <n v="248"/>
    <n v="0.93939393939393945"/>
    <n v="11"/>
    <n v="139.17684210526315"/>
  </r>
  <r>
    <n v="715"/>
    <d v="2023-08-27T00:00:00"/>
    <x v="7"/>
    <d v="1900-01-01T00:00:00"/>
    <x v="2"/>
    <s v="No"/>
    <s v="No"/>
    <s v="None"/>
    <x v="0"/>
    <x v="4"/>
    <n v="21"/>
    <n v="231"/>
    <n v="49"/>
    <n v="182"/>
    <n v="0.78787878787878785"/>
    <n v="11"/>
    <n v="139.15845824411136"/>
  </r>
  <r>
    <n v="716"/>
    <d v="2023-08-27T00:00:00"/>
    <x v="7"/>
    <d v="1900-01-01T00:00:00"/>
    <x v="2"/>
    <s v="No"/>
    <s v="No"/>
    <s v="None"/>
    <x v="1"/>
    <x v="5"/>
    <n v="12"/>
    <n v="132"/>
    <n v="46"/>
    <n v="86"/>
    <n v="0.65151515151515149"/>
    <n v="11"/>
    <n v="139.15845824411136"/>
  </r>
  <r>
    <n v="717"/>
    <d v="2023-08-27T00:00:00"/>
    <x v="7"/>
    <d v="1900-01-01T00:00:00"/>
    <x v="2"/>
    <s v="No"/>
    <s v="No"/>
    <s v="None"/>
    <x v="2"/>
    <x v="5"/>
    <n v="9"/>
    <n v="99"/>
    <n v="16"/>
    <n v="83"/>
    <n v="0.83838383838383834"/>
    <n v="11"/>
    <n v="139.15845824411136"/>
  </r>
  <r>
    <n v="718"/>
    <d v="2023-08-27T00:00:00"/>
    <x v="7"/>
    <d v="1900-01-01T00:00:00"/>
    <x v="2"/>
    <s v="No"/>
    <s v="No"/>
    <s v="None"/>
    <x v="3"/>
    <x v="5"/>
    <n v="12"/>
    <n v="132"/>
    <n v="39"/>
    <n v="93"/>
    <n v="0.70454545454545459"/>
    <n v="11"/>
    <n v="139.15845824411136"/>
  </r>
  <r>
    <n v="719"/>
    <d v="2023-08-28T00:00:00"/>
    <x v="7"/>
    <d v="1900-01-02T00:00:00"/>
    <x v="2"/>
    <s v="No"/>
    <s v="No"/>
    <s v="None"/>
    <x v="0"/>
    <x v="1"/>
    <n v="19"/>
    <n v="209"/>
    <n v="49"/>
    <n v="160"/>
    <n v="0.76555023923444976"/>
    <n v="11"/>
    <n v="138.91416309012877"/>
  </r>
  <r>
    <n v="720"/>
    <d v="2023-08-28T00:00:00"/>
    <x v="7"/>
    <d v="1900-01-02T00:00:00"/>
    <x v="2"/>
    <s v="No"/>
    <s v="No"/>
    <s v="None"/>
    <x v="1"/>
    <x v="1"/>
    <n v="8"/>
    <n v="88"/>
    <n v="16"/>
    <n v="72"/>
    <n v="0.81818181818181823"/>
    <n v="11"/>
    <n v="138.91416309012877"/>
  </r>
  <r>
    <n v="721"/>
    <d v="2023-08-28T00:00:00"/>
    <x v="7"/>
    <d v="1900-01-02T00:00:00"/>
    <x v="2"/>
    <s v="No"/>
    <s v="No"/>
    <s v="None"/>
    <x v="2"/>
    <x v="2"/>
    <n v="5"/>
    <n v="55"/>
    <n v="5"/>
    <n v="50"/>
    <n v="0.90909090909090906"/>
    <n v="11"/>
    <n v="138.91416309012877"/>
  </r>
  <r>
    <n v="722"/>
    <d v="2023-08-28T00:00:00"/>
    <x v="7"/>
    <d v="1900-01-02T00:00:00"/>
    <x v="2"/>
    <s v="No"/>
    <s v="No"/>
    <s v="None"/>
    <x v="3"/>
    <x v="3"/>
    <n v="14"/>
    <n v="154"/>
    <n v="1"/>
    <n v="153"/>
    <n v="0.99350649350649356"/>
    <n v="11"/>
    <n v="138.91416309012877"/>
  </r>
  <r>
    <n v="723"/>
    <d v="2023-08-29T00:00:00"/>
    <x v="7"/>
    <d v="1900-01-03T00:00:00"/>
    <x v="2"/>
    <s v="No"/>
    <s v="No"/>
    <s v="None"/>
    <x v="0"/>
    <x v="4"/>
    <n v="15"/>
    <n v="165"/>
    <n v="48"/>
    <n v="117"/>
    <n v="0.70909090909090911"/>
    <n v="11"/>
    <n v="138.91416309012877"/>
  </r>
  <r>
    <n v="724"/>
    <d v="2023-08-29T00:00:00"/>
    <x v="7"/>
    <d v="1900-01-03T00:00:00"/>
    <x v="2"/>
    <s v="No"/>
    <s v="No"/>
    <s v="None"/>
    <x v="1"/>
    <x v="5"/>
    <n v="5"/>
    <n v="55"/>
    <n v="16"/>
    <n v="39"/>
    <n v="0.70909090909090911"/>
    <n v="11"/>
    <n v="138.91416309012877"/>
  </r>
  <r>
    <n v="725"/>
    <d v="2023-08-29T00:00:00"/>
    <x v="7"/>
    <d v="1900-01-03T00:00:00"/>
    <x v="2"/>
    <s v="No"/>
    <s v="No"/>
    <s v="None"/>
    <x v="2"/>
    <x v="5"/>
    <n v="5"/>
    <n v="55"/>
    <n v="39"/>
    <n v="16"/>
    <n v="0.29090909090909089"/>
    <n v="11"/>
    <n v="138.91416309012877"/>
  </r>
  <r>
    <n v="726"/>
    <d v="2023-08-29T00:00:00"/>
    <x v="7"/>
    <d v="1900-01-03T00:00:00"/>
    <x v="2"/>
    <s v="No"/>
    <s v="No"/>
    <s v="None"/>
    <x v="3"/>
    <x v="5"/>
    <n v="10"/>
    <n v="110"/>
    <n v="4"/>
    <n v="106"/>
    <n v="0.96363636363636362"/>
    <n v="11"/>
    <n v="138.91416309012877"/>
  </r>
  <r>
    <n v="727"/>
    <d v="2023-08-30T00:00:00"/>
    <x v="7"/>
    <d v="1900-01-04T00:00:00"/>
    <x v="2"/>
    <s v="No"/>
    <s v="No"/>
    <s v="None"/>
    <x v="0"/>
    <x v="1"/>
    <n v="17"/>
    <n v="187"/>
    <n v="12"/>
    <n v="175"/>
    <n v="0.93582887700534756"/>
    <n v="11"/>
    <n v="138.95021645021646"/>
  </r>
  <r>
    <n v="728"/>
    <d v="2023-08-30T00:00:00"/>
    <x v="7"/>
    <d v="1900-01-04T00:00:00"/>
    <x v="2"/>
    <s v="No"/>
    <s v="No"/>
    <s v="None"/>
    <x v="1"/>
    <x v="1"/>
    <n v="11"/>
    <n v="121"/>
    <n v="32"/>
    <n v="89"/>
    <n v="0.73553719008264462"/>
    <n v="11"/>
    <n v="138.95021645021646"/>
  </r>
  <r>
    <n v="729"/>
    <d v="2023-08-30T00:00:00"/>
    <x v="7"/>
    <d v="1900-01-04T00:00:00"/>
    <x v="2"/>
    <s v="No"/>
    <s v="No"/>
    <s v="None"/>
    <x v="2"/>
    <x v="2"/>
    <n v="5"/>
    <n v="55"/>
    <n v="29"/>
    <n v="26"/>
    <n v="0.47272727272727272"/>
    <n v="11"/>
    <n v="138.95021645021646"/>
  </r>
  <r>
    <n v="730"/>
    <d v="2023-08-30T00:00:00"/>
    <x v="7"/>
    <d v="1900-01-04T00:00:00"/>
    <x v="2"/>
    <s v="No"/>
    <s v="No"/>
    <s v="None"/>
    <x v="3"/>
    <x v="3"/>
    <n v="14"/>
    <n v="154"/>
    <n v="33"/>
    <n v="121"/>
    <n v="0.7857142857142857"/>
    <n v="11"/>
    <n v="138.95021645021646"/>
  </r>
  <r>
    <n v="731"/>
    <d v="2023-08-31T00:00:00"/>
    <x v="7"/>
    <d v="1900-01-05T00:00:00"/>
    <x v="2"/>
    <s v="No"/>
    <s v="No"/>
    <s v="None"/>
    <x v="0"/>
    <x v="4"/>
    <n v="21"/>
    <n v="231"/>
    <n v="1"/>
    <n v="230"/>
    <n v="0.99567099567099571"/>
    <n v="11"/>
    <n v="139.03493449781661"/>
  </r>
  <r>
    <n v="732"/>
    <d v="2023-08-31T00:00:00"/>
    <x v="7"/>
    <d v="1900-01-05T00:00:00"/>
    <x v="2"/>
    <s v="No"/>
    <s v="No"/>
    <s v="None"/>
    <x v="1"/>
    <x v="2"/>
    <n v="9"/>
    <n v="99"/>
    <n v="25"/>
    <n v="74"/>
    <n v="0.74747474747474751"/>
    <n v="11"/>
    <n v="139.03493449781661"/>
  </r>
  <r>
    <n v="733"/>
    <d v="2023-08-31T00:00:00"/>
    <x v="7"/>
    <d v="1900-01-05T00:00:00"/>
    <x v="2"/>
    <s v="No"/>
    <s v="No"/>
    <s v="None"/>
    <x v="2"/>
    <x v="2"/>
    <n v="8"/>
    <n v="88"/>
    <n v="43"/>
    <n v="45"/>
    <n v="0.51136363636363635"/>
    <n v="11"/>
    <n v="139.03493449781661"/>
  </r>
  <r>
    <n v="734"/>
    <d v="2023-08-31T00:00:00"/>
    <x v="7"/>
    <d v="1900-01-05T00:00:00"/>
    <x v="2"/>
    <s v="No"/>
    <s v="No"/>
    <s v="None"/>
    <x v="3"/>
    <x v="3"/>
    <n v="17"/>
    <n v="187"/>
    <n v="49"/>
    <n v="138"/>
    <n v="0.73796791443850263"/>
    <n v="11"/>
    <n v="139.03493449781661"/>
  </r>
  <r>
    <n v="735"/>
    <d v="2023-09-01T00:00:00"/>
    <x v="8"/>
    <d v="1900-01-06T00:00:00"/>
    <x v="2"/>
    <s v="No"/>
    <s v="No"/>
    <s v="None"/>
    <x v="0"/>
    <x v="1"/>
    <n v="24"/>
    <n v="264"/>
    <n v="17"/>
    <n v="247"/>
    <n v="0.93560606060606055"/>
    <n v="11"/>
    <n v="139.3876651982379"/>
  </r>
  <r>
    <n v="736"/>
    <d v="2023-09-03T00:00:00"/>
    <x v="8"/>
    <d v="1900-01-01T00:00:00"/>
    <x v="2"/>
    <s v="Yes"/>
    <s v="No"/>
    <s v="Labor Day"/>
    <x v="0"/>
    <x v="4"/>
    <n v="22"/>
    <n v="242"/>
    <n v="11"/>
    <n v="231"/>
    <n v="0.95454545454545459"/>
    <n v="11"/>
    <n v="139.47085201793723"/>
  </r>
  <r>
    <n v="737"/>
    <d v="2023-09-03T00:00:00"/>
    <x v="8"/>
    <d v="1900-01-01T00:00:00"/>
    <x v="2"/>
    <s v="Yes"/>
    <s v="No"/>
    <s v="Labor Day"/>
    <x v="1"/>
    <x v="5"/>
    <n v="8"/>
    <n v="88"/>
    <n v="18"/>
    <n v="70"/>
    <n v="0.79545454545454541"/>
    <n v="11"/>
    <n v="139.47085201793723"/>
  </r>
  <r>
    <n v="738"/>
    <d v="2023-09-03T00:00:00"/>
    <x v="8"/>
    <d v="1900-01-01T00:00:00"/>
    <x v="2"/>
    <s v="Yes"/>
    <s v="No"/>
    <s v="Labor Day"/>
    <x v="2"/>
    <x v="5"/>
    <n v="8"/>
    <n v="88"/>
    <n v="10"/>
    <n v="78"/>
    <n v="0.88636363636363635"/>
    <n v="11"/>
    <n v="139.47085201793723"/>
  </r>
  <r>
    <n v="739"/>
    <d v="2023-09-03T00:00:00"/>
    <x v="8"/>
    <d v="1900-01-01T00:00:00"/>
    <x v="2"/>
    <s v="Yes"/>
    <s v="No"/>
    <s v="Labor Day"/>
    <x v="3"/>
    <x v="5"/>
    <n v="15"/>
    <n v="165"/>
    <n v="37"/>
    <n v="128"/>
    <n v="0.77575757575757576"/>
    <n v="11"/>
    <n v="139.47085201793723"/>
  </r>
  <r>
    <n v="740"/>
    <d v="2023-09-04T00:00:00"/>
    <x v="8"/>
    <d v="1900-01-02T00:00:00"/>
    <x v="2"/>
    <s v="No"/>
    <s v="No"/>
    <s v="None"/>
    <x v="0"/>
    <x v="1"/>
    <n v="15"/>
    <n v="165"/>
    <n v="17"/>
    <n v="148"/>
    <n v="0.89696969696969697"/>
    <n v="11"/>
    <n v="139.26516853932586"/>
  </r>
  <r>
    <n v="741"/>
    <d v="2023-09-04T00:00:00"/>
    <x v="8"/>
    <d v="1900-01-02T00:00:00"/>
    <x v="2"/>
    <s v="No"/>
    <s v="No"/>
    <s v="None"/>
    <x v="1"/>
    <x v="1"/>
    <n v="10"/>
    <n v="110"/>
    <n v="39"/>
    <n v="71"/>
    <n v="0.6454545454545455"/>
    <n v="11"/>
    <n v="139.26516853932586"/>
  </r>
  <r>
    <n v="742"/>
    <d v="2023-09-04T00:00:00"/>
    <x v="8"/>
    <d v="1900-01-02T00:00:00"/>
    <x v="2"/>
    <s v="No"/>
    <s v="No"/>
    <s v="None"/>
    <x v="2"/>
    <x v="2"/>
    <n v="5"/>
    <n v="55"/>
    <n v="12"/>
    <n v="43"/>
    <n v="0.78181818181818186"/>
    <n v="11"/>
    <n v="139.26516853932586"/>
  </r>
  <r>
    <n v="743"/>
    <d v="2023-09-04T00:00:00"/>
    <x v="8"/>
    <d v="1900-01-02T00:00:00"/>
    <x v="2"/>
    <s v="No"/>
    <s v="No"/>
    <s v="None"/>
    <x v="3"/>
    <x v="3"/>
    <n v="15"/>
    <n v="165"/>
    <n v="50"/>
    <n v="115"/>
    <n v="0.69696969696969702"/>
    <n v="11"/>
    <n v="139.26516853932586"/>
  </r>
  <r>
    <n v="744"/>
    <d v="2023-09-05T00:00:00"/>
    <x v="8"/>
    <d v="1900-01-03T00:00:00"/>
    <x v="2"/>
    <s v="No"/>
    <s v="No"/>
    <s v="None"/>
    <x v="0"/>
    <x v="4"/>
    <n v="17"/>
    <n v="187"/>
    <n v="5"/>
    <n v="182"/>
    <n v="0.9732620320855615"/>
    <n v="11"/>
    <n v="139.26516853932586"/>
  </r>
  <r>
    <n v="745"/>
    <d v="2023-09-05T00:00:00"/>
    <x v="8"/>
    <d v="1900-01-03T00:00:00"/>
    <x v="2"/>
    <s v="No"/>
    <s v="No"/>
    <s v="None"/>
    <x v="1"/>
    <x v="5"/>
    <n v="6"/>
    <n v="66"/>
    <n v="3"/>
    <n v="63"/>
    <n v="0.95454545454545459"/>
    <n v="11"/>
    <n v="139.26516853932586"/>
  </r>
  <r>
    <n v="746"/>
    <d v="2023-09-05T00:00:00"/>
    <x v="8"/>
    <d v="1900-01-03T00:00:00"/>
    <x v="2"/>
    <s v="No"/>
    <s v="No"/>
    <s v="None"/>
    <x v="2"/>
    <x v="5"/>
    <n v="5"/>
    <n v="55"/>
    <n v="3"/>
    <n v="52"/>
    <n v="0.94545454545454544"/>
    <n v="11"/>
    <n v="139.26516853932586"/>
  </r>
  <r>
    <n v="747"/>
    <d v="2023-09-05T00:00:00"/>
    <x v="8"/>
    <d v="1900-01-03T00:00:00"/>
    <x v="2"/>
    <s v="No"/>
    <s v="No"/>
    <s v="None"/>
    <x v="3"/>
    <x v="5"/>
    <n v="12"/>
    <n v="132"/>
    <n v="31"/>
    <n v="101"/>
    <n v="0.76515151515151514"/>
    <n v="11"/>
    <n v="139.26516853932586"/>
  </r>
  <r>
    <n v="748"/>
    <d v="2023-09-06T00:00:00"/>
    <x v="8"/>
    <d v="1900-01-04T00:00:00"/>
    <x v="2"/>
    <s v="No"/>
    <s v="No"/>
    <s v="None"/>
    <x v="0"/>
    <x v="1"/>
    <n v="15"/>
    <n v="165"/>
    <n v="30"/>
    <n v="135"/>
    <n v="0.81818181818181823"/>
    <n v="11"/>
    <n v="139.20634920634922"/>
  </r>
  <r>
    <n v="749"/>
    <d v="2023-09-06T00:00:00"/>
    <x v="8"/>
    <d v="1900-01-04T00:00:00"/>
    <x v="2"/>
    <s v="No"/>
    <s v="No"/>
    <s v="None"/>
    <x v="1"/>
    <x v="1"/>
    <n v="11"/>
    <n v="121"/>
    <n v="22"/>
    <n v="99"/>
    <n v="0.81818181818181823"/>
    <n v="11"/>
    <n v="139.20634920634922"/>
  </r>
  <r>
    <n v="750"/>
    <d v="2023-09-06T00:00:00"/>
    <x v="8"/>
    <d v="1900-01-04T00:00:00"/>
    <x v="2"/>
    <s v="No"/>
    <s v="No"/>
    <s v="None"/>
    <x v="2"/>
    <x v="2"/>
    <n v="5"/>
    <n v="55"/>
    <n v="22"/>
    <n v="33"/>
    <n v="0.6"/>
    <n v="11"/>
    <n v="139.20634920634922"/>
  </r>
  <r>
    <n v="751"/>
    <d v="2023-09-06T00:00:00"/>
    <x v="8"/>
    <d v="1900-01-04T00:00:00"/>
    <x v="2"/>
    <s v="No"/>
    <s v="No"/>
    <s v="None"/>
    <x v="3"/>
    <x v="3"/>
    <n v="13"/>
    <n v="143"/>
    <n v="43"/>
    <n v="100"/>
    <n v="0.69930069930069927"/>
    <n v="11"/>
    <n v="139.20634920634922"/>
  </r>
  <r>
    <n v="752"/>
    <d v="2023-09-07T00:00:00"/>
    <x v="8"/>
    <d v="1900-01-05T00:00:00"/>
    <x v="2"/>
    <s v="No"/>
    <s v="No"/>
    <s v="None"/>
    <x v="0"/>
    <x v="4"/>
    <n v="22"/>
    <n v="242"/>
    <n v="12"/>
    <n v="230"/>
    <n v="0.95041322314049592"/>
    <n v="11"/>
    <n v="139.27231121281466"/>
  </r>
  <r>
    <n v="753"/>
    <d v="2023-09-07T00:00:00"/>
    <x v="8"/>
    <d v="1900-01-05T00:00:00"/>
    <x v="2"/>
    <s v="No"/>
    <s v="No"/>
    <s v="None"/>
    <x v="1"/>
    <x v="2"/>
    <n v="10"/>
    <n v="110"/>
    <n v="31"/>
    <n v="79"/>
    <n v="0.71818181818181814"/>
    <n v="11"/>
    <n v="139.27231121281466"/>
  </r>
  <r>
    <n v="754"/>
    <d v="2023-09-07T00:00:00"/>
    <x v="8"/>
    <d v="1900-01-05T00:00:00"/>
    <x v="2"/>
    <s v="No"/>
    <s v="No"/>
    <s v="None"/>
    <x v="2"/>
    <x v="2"/>
    <n v="10"/>
    <n v="110"/>
    <n v="38"/>
    <n v="72"/>
    <n v="0.65454545454545454"/>
    <n v="11"/>
    <n v="139.27231121281466"/>
  </r>
  <r>
    <n v="755"/>
    <d v="2023-09-07T00:00:00"/>
    <x v="8"/>
    <d v="1900-01-05T00:00:00"/>
    <x v="2"/>
    <s v="No"/>
    <s v="No"/>
    <s v="None"/>
    <x v="3"/>
    <x v="3"/>
    <n v="16"/>
    <n v="176"/>
    <n v="11"/>
    <n v="165"/>
    <n v="0.9375"/>
    <n v="11"/>
    <n v="139.27231121281466"/>
  </r>
  <r>
    <n v="756"/>
    <d v="2023-09-08T00:00:00"/>
    <x v="8"/>
    <d v="1900-01-06T00:00:00"/>
    <x v="2"/>
    <s v="No"/>
    <s v="No"/>
    <s v="None"/>
    <x v="0"/>
    <x v="1"/>
    <n v="19"/>
    <n v="209"/>
    <n v="6"/>
    <n v="203"/>
    <n v="0.9712918660287081"/>
    <n v="11"/>
    <n v="139.59353348729792"/>
  </r>
  <r>
    <n v="757"/>
    <d v="2023-09-10T00:00:00"/>
    <x v="8"/>
    <d v="1900-01-01T00:00:00"/>
    <x v="2"/>
    <s v="No"/>
    <s v="No"/>
    <s v="None"/>
    <x v="0"/>
    <x v="4"/>
    <n v="23"/>
    <n v="253"/>
    <n v="31"/>
    <n v="222"/>
    <n v="0.87747035573122534"/>
    <n v="11"/>
    <n v="139.65882352941176"/>
  </r>
  <r>
    <n v="758"/>
    <d v="2023-09-10T00:00:00"/>
    <x v="8"/>
    <d v="1900-01-01T00:00:00"/>
    <x v="2"/>
    <s v="No"/>
    <s v="No"/>
    <s v="None"/>
    <x v="1"/>
    <x v="5"/>
    <n v="11"/>
    <n v="121"/>
    <n v="42"/>
    <n v="79"/>
    <n v="0.65289256198347112"/>
    <n v="11"/>
    <n v="139.65882352941176"/>
  </r>
  <r>
    <n v="759"/>
    <d v="2023-09-10T00:00:00"/>
    <x v="8"/>
    <d v="1900-01-01T00:00:00"/>
    <x v="2"/>
    <s v="No"/>
    <s v="No"/>
    <s v="None"/>
    <x v="2"/>
    <x v="5"/>
    <n v="9"/>
    <n v="99"/>
    <n v="38"/>
    <n v="61"/>
    <n v="0.61616161616161613"/>
    <n v="11"/>
    <n v="139.65882352941176"/>
  </r>
  <r>
    <n v="760"/>
    <d v="2023-09-10T00:00:00"/>
    <x v="8"/>
    <d v="1900-01-01T00:00:00"/>
    <x v="2"/>
    <s v="No"/>
    <s v="No"/>
    <s v="None"/>
    <x v="3"/>
    <x v="5"/>
    <n v="16"/>
    <n v="176"/>
    <n v="30"/>
    <n v="146"/>
    <n v="0.82954545454545459"/>
    <n v="11"/>
    <n v="139.65882352941176"/>
  </r>
  <r>
    <n v="761"/>
    <d v="2023-09-11T00:00:00"/>
    <x v="8"/>
    <d v="1900-01-02T00:00:00"/>
    <x v="2"/>
    <s v="No"/>
    <s v="No"/>
    <s v="None"/>
    <x v="0"/>
    <x v="1"/>
    <n v="17"/>
    <n v="187"/>
    <n v="16"/>
    <n v="171"/>
    <n v="0.91443850267379678"/>
    <n v="11"/>
    <n v="139.52122641509433"/>
  </r>
  <r>
    <n v="762"/>
    <d v="2023-09-11T00:00:00"/>
    <x v="8"/>
    <d v="1900-01-02T00:00:00"/>
    <x v="2"/>
    <s v="No"/>
    <s v="No"/>
    <s v="None"/>
    <x v="1"/>
    <x v="1"/>
    <n v="12"/>
    <n v="132"/>
    <n v="36"/>
    <n v="96"/>
    <n v="0.72727272727272729"/>
    <n v="11"/>
    <n v="139.52122641509433"/>
  </r>
  <r>
    <n v="763"/>
    <d v="2023-09-11T00:00:00"/>
    <x v="8"/>
    <d v="1900-01-02T00:00:00"/>
    <x v="2"/>
    <s v="No"/>
    <s v="No"/>
    <s v="None"/>
    <x v="2"/>
    <x v="2"/>
    <n v="5"/>
    <n v="55"/>
    <n v="24"/>
    <n v="31"/>
    <n v="0.5636363636363636"/>
    <n v="11"/>
    <n v="139.52122641509433"/>
  </r>
  <r>
    <n v="764"/>
    <d v="2023-09-11T00:00:00"/>
    <x v="8"/>
    <d v="1900-01-02T00:00:00"/>
    <x v="2"/>
    <s v="No"/>
    <s v="No"/>
    <s v="None"/>
    <x v="3"/>
    <x v="3"/>
    <n v="13"/>
    <n v="143"/>
    <n v="36"/>
    <n v="107"/>
    <n v="0.74825174825174823"/>
    <n v="11"/>
    <n v="139.52122641509433"/>
  </r>
  <r>
    <n v="765"/>
    <d v="2023-09-12T00:00:00"/>
    <x v="8"/>
    <d v="1900-01-03T00:00:00"/>
    <x v="2"/>
    <s v="No"/>
    <s v="No"/>
    <s v="None"/>
    <x v="0"/>
    <x v="4"/>
    <n v="15"/>
    <n v="165"/>
    <n v="44"/>
    <n v="121"/>
    <n v="0.73333333333333328"/>
    <n v="11"/>
    <n v="139.52122641509433"/>
  </r>
  <r>
    <n v="766"/>
    <d v="2023-09-12T00:00:00"/>
    <x v="8"/>
    <d v="1900-01-03T00:00:00"/>
    <x v="2"/>
    <s v="No"/>
    <s v="No"/>
    <s v="None"/>
    <x v="1"/>
    <x v="5"/>
    <n v="6"/>
    <n v="66"/>
    <n v="21"/>
    <n v="45"/>
    <n v="0.68181818181818177"/>
    <n v="11"/>
    <n v="139.52122641509433"/>
  </r>
  <r>
    <n v="767"/>
    <d v="2023-09-12T00:00:00"/>
    <x v="8"/>
    <d v="1900-01-03T00:00:00"/>
    <x v="2"/>
    <s v="No"/>
    <s v="No"/>
    <s v="None"/>
    <x v="2"/>
    <x v="5"/>
    <n v="5"/>
    <n v="55"/>
    <n v="32"/>
    <n v="23"/>
    <n v="0.41818181818181815"/>
    <n v="11"/>
    <n v="139.52122641509433"/>
  </r>
  <r>
    <n v="768"/>
    <d v="2023-09-12T00:00:00"/>
    <x v="8"/>
    <d v="1900-01-03T00:00:00"/>
    <x v="2"/>
    <s v="No"/>
    <s v="No"/>
    <s v="None"/>
    <x v="3"/>
    <x v="5"/>
    <n v="12"/>
    <n v="132"/>
    <n v="20"/>
    <n v="112"/>
    <n v="0.84848484848484851"/>
    <n v="11"/>
    <n v="139.52122641509433"/>
  </r>
  <r>
    <n v="769"/>
    <d v="2023-09-13T00:00:00"/>
    <x v="8"/>
    <d v="1900-01-04T00:00:00"/>
    <x v="2"/>
    <s v="No"/>
    <s v="No"/>
    <s v="None"/>
    <x v="0"/>
    <x v="1"/>
    <n v="16"/>
    <n v="176"/>
    <n v="40"/>
    <n v="136"/>
    <n v="0.77272727272727271"/>
    <n v="11"/>
    <n v="139.48809523809524"/>
  </r>
  <r>
    <n v="770"/>
    <d v="2023-09-13T00:00:00"/>
    <x v="8"/>
    <d v="1900-01-04T00:00:00"/>
    <x v="2"/>
    <s v="No"/>
    <s v="No"/>
    <s v="None"/>
    <x v="1"/>
    <x v="1"/>
    <n v="11"/>
    <n v="121"/>
    <n v="38"/>
    <n v="83"/>
    <n v="0.68595041322314054"/>
    <n v="11"/>
    <n v="139.48809523809524"/>
  </r>
  <r>
    <n v="771"/>
    <d v="2023-09-13T00:00:00"/>
    <x v="8"/>
    <d v="1900-01-04T00:00:00"/>
    <x v="2"/>
    <s v="No"/>
    <s v="No"/>
    <s v="None"/>
    <x v="2"/>
    <x v="2"/>
    <n v="5"/>
    <n v="55"/>
    <n v="41"/>
    <n v="14"/>
    <n v="0.25454545454545452"/>
    <n v="11"/>
    <n v="139.48809523809524"/>
  </r>
  <r>
    <n v="772"/>
    <d v="2023-09-13T00:00:00"/>
    <x v="8"/>
    <d v="1900-01-04T00:00:00"/>
    <x v="2"/>
    <s v="No"/>
    <s v="No"/>
    <s v="None"/>
    <x v="3"/>
    <x v="3"/>
    <n v="11"/>
    <n v="121"/>
    <n v="1"/>
    <n v="120"/>
    <n v="0.99173553719008267"/>
    <n v="11"/>
    <n v="139.48809523809524"/>
  </r>
  <r>
    <n v="773"/>
    <d v="2023-09-14T00:00:00"/>
    <x v="8"/>
    <d v="1900-01-05T00:00:00"/>
    <x v="2"/>
    <s v="No"/>
    <s v="No"/>
    <s v="None"/>
    <x v="0"/>
    <x v="4"/>
    <n v="18"/>
    <n v="198"/>
    <n v="14"/>
    <n v="184"/>
    <n v="0.92929292929292928"/>
    <n v="11"/>
    <n v="139.53365384615384"/>
  </r>
  <r>
    <n v="774"/>
    <d v="2023-09-14T00:00:00"/>
    <x v="8"/>
    <d v="1900-01-05T00:00:00"/>
    <x v="2"/>
    <s v="No"/>
    <s v="No"/>
    <s v="None"/>
    <x v="1"/>
    <x v="2"/>
    <n v="8"/>
    <n v="88"/>
    <n v="39"/>
    <n v="49"/>
    <n v="0.55681818181818177"/>
    <n v="11"/>
    <n v="139.53365384615384"/>
  </r>
  <r>
    <n v="775"/>
    <d v="2023-09-14T00:00:00"/>
    <x v="8"/>
    <d v="1900-01-05T00:00:00"/>
    <x v="2"/>
    <s v="No"/>
    <s v="No"/>
    <s v="None"/>
    <x v="2"/>
    <x v="2"/>
    <n v="8"/>
    <n v="88"/>
    <n v="4"/>
    <n v="84"/>
    <n v="0.95454545454545459"/>
    <n v="11"/>
    <n v="139.53365384615384"/>
  </r>
  <r>
    <n v="776"/>
    <d v="2023-09-14T00:00:00"/>
    <x v="8"/>
    <d v="1900-01-05T00:00:00"/>
    <x v="2"/>
    <s v="No"/>
    <s v="No"/>
    <s v="None"/>
    <x v="3"/>
    <x v="3"/>
    <n v="18"/>
    <n v="198"/>
    <n v="50"/>
    <n v="148"/>
    <n v="0.74747474747474751"/>
    <n v="11"/>
    <n v="139.53365384615384"/>
  </r>
  <r>
    <n v="777"/>
    <d v="2023-09-15T00:00:00"/>
    <x v="8"/>
    <d v="1900-01-06T00:00:00"/>
    <x v="2"/>
    <s v="No"/>
    <s v="No"/>
    <s v="None"/>
    <x v="0"/>
    <x v="1"/>
    <n v="23"/>
    <n v="253"/>
    <n v="22"/>
    <n v="231"/>
    <n v="0.91304347826086951"/>
    <n v="11"/>
    <n v="139.82038834951456"/>
  </r>
  <r>
    <n v="778"/>
    <d v="2023-09-17T00:00:00"/>
    <x v="8"/>
    <d v="1900-01-01T00:00:00"/>
    <x v="2"/>
    <s v="No"/>
    <s v="No"/>
    <s v="None"/>
    <x v="0"/>
    <x v="4"/>
    <n v="19"/>
    <n v="209"/>
    <n v="23"/>
    <n v="186"/>
    <n v="0.88995215311004783"/>
    <n v="11"/>
    <n v="140.02970297029702"/>
  </r>
  <r>
    <n v="779"/>
    <d v="2023-09-17T00:00:00"/>
    <x v="8"/>
    <d v="1900-01-01T00:00:00"/>
    <x v="2"/>
    <s v="No"/>
    <s v="No"/>
    <s v="None"/>
    <x v="1"/>
    <x v="5"/>
    <n v="10"/>
    <n v="110"/>
    <n v="13"/>
    <n v="97"/>
    <n v="0.88181818181818183"/>
    <n v="11"/>
    <n v="140.02970297029702"/>
  </r>
  <r>
    <n v="780"/>
    <d v="2023-09-17T00:00:00"/>
    <x v="8"/>
    <d v="1900-01-01T00:00:00"/>
    <x v="2"/>
    <s v="No"/>
    <s v="No"/>
    <s v="None"/>
    <x v="2"/>
    <x v="5"/>
    <n v="9"/>
    <n v="99"/>
    <n v="26"/>
    <n v="73"/>
    <n v="0.73737373737373735"/>
    <n v="11"/>
    <n v="140.02970297029702"/>
  </r>
  <r>
    <n v="781"/>
    <d v="2023-09-17T00:00:00"/>
    <x v="8"/>
    <d v="1900-01-01T00:00:00"/>
    <x v="2"/>
    <s v="No"/>
    <s v="No"/>
    <s v="None"/>
    <x v="3"/>
    <x v="5"/>
    <n v="15"/>
    <n v="165"/>
    <n v="2"/>
    <n v="163"/>
    <n v="0.98787878787878791"/>
    <n v="11"/>
    <n v="140.02970297029702"/>
  </r>
  <r>
    <n v="782"/>
    <d v="2023-09-18T00:00:00"/>
    <x v="8"/>
    <d v="1900-01-02T00:00:00"/>
    <x v="2"/>
    <s v="No"/>
    <s v="No"/>
    <s v="None"/>
    <x v="0"/>
    <x v="1"/>
    <n v="16"/>
    <n v="176"/>
    <n v="38"/>
    <n v="138"/>
    <n v="0.78409090909090906"/>
    <n v="11"/>
    <n v="139.83126550868485"/>
  </r>
  <r>
    <n v="783"/>
    <d v="2023-09-18T00:00:00"/>
    <x v="8"/>
    <d v="1900-01-02T00:00:00"/>
    <x v="2"/>
    <s v="No"/>
    <s v="No"/>
    <s v="None"/>
    <x v="1"/>
    <x v="1"/>
    <n v="13"/>
    <n v="143"/>
    <n v="25"/>
    <n v="118"/>
    <n v="0.82517482517482521"/>
    <n v="11"/>
    <n v="139.83126550868485"/>
  </r>
  <r>
    <n v="784"/>
    <d v="2023-09-18T00:00:00"/>
    <x v="8"/>
    <d v="1900-01-02T00:00:00"/>
    <x v="2"/>
    <s v="No"/>
    <s v="No"/>
    <s v="None"/>
    <x v="2"/>
    <x v="2"/>
    <n v="5"/>
    <n v="55"/>
    <n v="4"/>
    <n v="51"/>
    <n v="0.92727272727272725"/>
    <n v="11"/>
    <n v="139.83126550868485"/>
  </r>
  <r>
    <n v="785"/>
    <d v="2023-09-18T00:00:00"/>
    <x v="8"/>
    <d v="1900-01-02T00:00:00"/>
    <x v="2"/>
    <s v="No"/>
    <s v="No"/>
    <s v="None"/>
    <x v="3"/>
    <x v="3"/>
    <n v="11"/>
    <n v="121"/>
    <n v="3"/>
    <n v="118"/>
    <n v="0.97520661157024791"/>
    <n v="11"/>
    <n v="139.83126550868485"/>
  </r>
  <r>
    <n v="786"/>
    <d v="2023-09-19T00:00:00"/>
    <x v="8"/>
    <d v="1900-01-03T00:00:00"/>
    <x v="2"/>
    <s v="No"/>
    <s v="No"/>
    <s v="None"/>
    <x v="0"/>
    <x v="4"/>
    <n v="16"/>
    <n v="176"/>
    <n v="30"/>
    <n v="146"/>
    <n v="0.82954545454545459"/>
    <n v="11"/>
    <n v="139.83126550868485"/>
  </r>
  <r>
    <n v="787"/>
    <d v="2023-09-19T00:00:00"/>
    <x v="8"/>
    <d v="1900-01-03T00:00:00"/>
    <x v="2"/>
    <s v="No"/>
    <s v="No"/>
    <s v="None"/>
    <x v="1"/>
    <x v="5"/>
    <n v="7"/>
    <n v="77"/>
    <n v="14"/>
    <n v="63"/>
    <n v="0.81818181818181823"/>
    <n v="11"/>
    <n v="139.83126550868485"/>
  </r>
  <r>
    <n v="788"/>
    <d v="2023-09-19T00:00:00"/>
    <x v="8"/>
    <d v="1900-01-03T00:00:00"/>
    <x v="2"/>
    <s v="No"/>
    <s v="No"/>
    <s v="None"/>
    <x v="2"/>
    <x v="5"/>
    <n v="5"/>
    <n v="55"/>
    <n v="1"/>
    <n v="54"/>
    <n v="0.98181818181818181"/>
    <n v="11"/>
    <n v="139.83126550868485"/>
  </r>
  <r>
    <n v="789"/>
    <d v="2023-09-19T00:00:00"/>
    <x v="8"/>
    <d v="1900-01-03T00:00:00"/>
    <x v="2"/>
    <s v="No"/>
    <s v="No"/>
    <s v="None"/>
    <x v="3"/>
    <x v="5"/>
    <n v="12"/>
    <n v="132"/>
    <n v="44"/>
    <n v="88"/>
    <n v="0.66666666666666663"/>
    <n v="11"/>
    <n v="139.83126550868485"/>
  </r>
  <r>
    <n v="790"/>
    <d v="2023-09-20T00:00:00"/>
    <x v="8"/>
    <d v="1900-01-04T00:00:00"/>
    <x v="2"/>
    <s v="No"/>
    <s v="No"/>
    <s v="None"/>
    <x v="0"/>
    <x v="1"/>
    <n v="17"/>
    <n v="187"/>
    <n v="19"/>
    <n v="168"/>
    <n v="0.89839572192513373"/>
    <n v="11"/>
    <n v="139.66165413533835"/>
  </r>
  <r>
    <n v="791"/>
    <d v="2023-09-20T00:00:00"/>
    <x v="8"/>
    <d v="1900-01-04T00:00:00"/>
    <x v="2"/>
    <s v="No"/>
    <s v="No"/>
    <s v="None"/>
    <x v="1"/>
    <x v="1"/>
    <n v="13"/>
    <n v="143"/>
    <n v="40"/>
    <n v="103"/>
    <n v="0.72027972027972031"/>
    <n v="11"/>
    <n v="139.66165413533835"/>
  </r>
  <r>
    <n v="792"/>
    <d v="2023-09-20T00:00:00"/>
    <x v="8"/>
    <d v="1900-01-04T00:00:00"/>
    <x v="2"/>
    <s v="No"/>
    <s v="No"/>
    <s v="None"/>
    <x v="2"/>
    <x v="2"/>
    <n v="5"/>
    <n v="55"/>
    <n v="2"/>
    <n v="53"/>
    <n v="0.96363636363636362"/>
    <n v="11"/>
    <n v="139.66165413533835"/>
  </r>
  <r>
    <n v="793"/>
    <d v="2023-09-20T00:00:00"/>
    <x v="8"/>
    <d v="1900-01-04T00:00:00"/>
    <x v="2"/>
    <s v="No"/>
    <s v="No"/>
    <s v="None"/>
    <x v="3"/>
    <x v="3"/>
    <n v="14"/>
    <n v="154"/>
    <n v="44"/>
    <n v="110"/>
    <n v="0.7142857142857143"/>
    <n v="11"/>
    <n v="139.66165413533835"/>
  </r>
  <r>
    <n v="794"/>
    <d v="2023-09-21T00:00:00"/>
    <x v="8"/>
    <d v="1900-01-05T00:00:00"/>
    <x v="2"/>
    <s v="No"/>
    <s v="No"/>
    <s v="None"/>
    <x v="0"/>
    <x v="4"/>
    <n v="20"/>
    <n v="220"/>
    <n v="15"/>
    <n v="205"/>
    <n v="0.93181818181818177"/>
    <n v="11"/>
    <n v="139.82278481012659"/>
  </r>
  <r>
    <n v="795"/>
    <d v="2023-09-21T00:00:00"/>
    <x v="8"/>
    <d v="1900-01-05T00:00:00"/>
    <x v="2"/>
    <s v="No"/>
    <s v="No"/>
    <s v="None"/>
    <x v="1"/>
    <x v="2"/>
    <n v="11"/>
    <n v="121"/>
    <n v="32"/>
    <n v="89"/>
    <n v="0.73553719008264462"/>
    <n v="11"/>
    <n v="139.82278481012659"/>
  </r>
  <r>
    <n v="796"/>
    <d v="2023-09-21T00:00:00"/>
    <x v="8"/>
    <d v="1900-01-05T00:00:00"/>
    <x v="2"/>
    <s v="No"/>
    <s v="No"/>
    <s v="None"/>
    <x v="2"/>
    <x v="2"/>
    <n v="8"/>
    <n v="88"/>
    <n v="36"/>
    <n v="52"/>
    <n v="0.59090909090909094"/>
    <n v="11"/>
    <n v="139.82278481012659"/>
  </r>
  <r>
    <n v="797"/>
    <d v="2023-09-21T00:00:00"/>
    <x v="8"/>
    <d v="1900-01-05T00:00:00"/>
    <x v="2"/>
    <s v="No"/>
    <s v="No"/>
    <s v="None"/>
    <x v="3"/>
    <x v="3"/>
    <n v="18"/>
    <n v="198"/>
    <n v="49"/>
    <n v="149"/>
    <n v="0.75252525252525249"/>
    <n v="11"/>
    <n v="139.82278481012659"/>
  </r>
  <r>
    <n v="798"/>
    <d v="2023-09-22T00:00:00"/>
    <x v="8"/>
    <d v="1900-01-06T00:00:00"/>
    <x v="2"/>
    <s v="No"/>
    <s v="No"/>
    <s v="None"/>
    <x v="0"/>
    <x v="1"/>
    <n v="19"/>
    <n v="209"/>
    <n v="12"/>
    <n v="197"/>
    <n v="0.9425837320574163"/>
    <n v="11"/>
    <n v="140.18414322250641"/>
  </r>
  <r>
    <n v="799"/>
    <d v="2023-09-24T00:00:00"/>
    <x v="8"/>
    <d v="1900-01-01T00:00:00"/>
    <x v="2"/>
    <s v="No"/>
    <s v="Yes"/>
    <s v="First Day of Fall Promotion"/>
    <x v="0"/>
    <x v="4"/>
    <n v="23"/>
    <n v="229"/>
    <n v="41"/>
    <n v="188"/>
    <n v="0.82096069868995636"/>
    <n v="9.9565217391304355"/>
    <n v="140.26892950391644"/>
  </r>
  <r>
    <n v="800"/>
    <d v="2023-09-24T00:00:00"/>
    <x v="8"/>
    <d v="1900-01-01T00:00:00"/>
    <x v="2"/>
    <s v="No"/>
    <s v="Yes"/>
    <s v="First Day of Fall Promotion"/>
    <x v="1"/>
    <x v="5"/>
    <n v="23"/>
    <n v="237"/>
    <n v="5"/>
    <n v="232"/>
    <n v="0.97890295358649793"/>
    <n v="10.304347826086957"/>
    <n v="140.26892950391644"/>
  </r>
  <r>
    <n v="801"/>
    <d v="2023-09-24T00:00:00"/>
    <x v="8"/>
    <d v="1900-01-01T00:00:00"/>
    <x v="2"/>
    <s v="No"/>
    <s v="Yes"/>
    <s v="First Day of Fall Promotion"/>
    <x v="2"/>
    <x v="5"/>
    <n v="26"/>
    <n v="230"/>
    <n v="8"/>
    <n v="222"/>
    <n v="0.9652173913043478"/>
    <n v="8.8461538461538467"/>
    <n v="140.26892950391644"/>
  </r>
  <r>
    <n v="802"/>
    <d v="2023-09-24T00:00:00"/>
    <x v="8"/>
    <d v="1900-01-01T00:00:00"/>
    <x v="2"/>
    <s v="No"/>
    <s v="Yes"/>
    <s v="First Day of Fall Promotion"/>
    <x v="3"/>
    <x v="5"/>
    <n v="25"/>
    <n v="259"/>
    <n v="37"/>
    <n v="222"/>
    <n v="0.8571428571428571"/>
    <n v="10.36"/>
    <n v="140.26892950391644"/>
  </r>
  <r>
    <n v="803"/>
    <d v="2023-09-25T00:00:00"/>
    <x v="8"/>
    <d v="1900-01-02T00:00:00"/>
    <x v="2"/>
    <s v="No"/>
    <s v="Yes"/>
    <s v="First Day of Fall Promotion"/>
    <x v="0"/>
    <x v="1"/>
    <n v="21"/>
    <n v="191"/>
    <n v="13"/>
    <n v="178"/>
    <n v="0.93193717277486909"/>
    <n v="9.0952380952380949"/>
    <n v="139.94502617801047"/>
  </r>
  <r>
    <n v="804"/>
    <d v="2023-09-25T00:00:00"/>
    <x v="8"/>
    <d v="1900-01-02T00:00:00"/>
    <x v="2"/>
    <s v="No"/>
    <s v="Yes"/>
    <s v="First Day of Fall Promotion"/>
    <x v="1"/>
    <x v="1"/>
    <n v="23"/>
    <n v="205"/>
    <n v="35"/>
    <n v="170"/>
    <n v="0.82926829268292679"/>
    <n v="8.9130434782608692"/>
    <n v="139.94502617801047"/>
  </r>
  <r>
    <n v="805"/>
    <d v="2023-09-25T00:00:00"/>
    <x v="8"/>
    <d v="1900-01-02T00:00:00"/>
    <x v="2"/>
    <s v="No"/>
    <s v="Yes"/>
    <s v="First Day of Fall Promotion"/>
    <x v="2"/>
    <x v="2"/>
    <n v="21"/>
    <n v="191"/>
    <n v="10"/>
    <n v="181"/>
    <n v="0.94764397905759157"/>
    <n v="9.0952380952380949"/>
    <n v="139.94502617801047"/>
  </r>
  <r>
    <n v="806"/>
    <d v="2023-09-25T00:00:00"/>
    <x v="8"/>
    <d v="1900-01-02T00:00:00"/>
    <x v="2"/>
    <s v="No"/>
    <s v="Yes"/>
    <s v="First Day of Fall Promotion"/>
    <x v="3"/>
    <x v="3"/>
    <n v="25"/>
    <n v="219"/>
    <n v="37"/>
    <n v="182"/>
    <n v="0.83105022831050224"/>
    <n v="8.76"/>
    <n v="139.94502617801047"/>
  </r>
  <r>
    <n v="807"/>
    <d v="2023-09-26T00:00:00"/>
    <x v="8"/>
    <d v="1900-01-03T00:00:00"/>
    <x v="2"/>
    <s v="No"/>
    <s v="Yes"/>
    <s v="First Day of Fall Promotion"/>
    <x v="0"/>
    <x v="4"/>
    <n v="27"/>
    <n v="233"/>
    <n v="37"/>
    <n v="196"/>
    <n v="0.84120171673819744"/>
    <n v="8.6296296296296298"/>
    <n v="139.94502617801047"/>
  </r>
  <r>
    <n v="808"/>
    <d v="2023-09-26T00:00:00"/>
    <x v="8"/>
    <d v="1900-01-03T00:00:00"/>
    <x v="2"/>
    <s v="No"/>
    <s v="Yes"/>
    <s v="First Day of Fall Promotion"/>
    <x v="1"/>
    <x v="5"/>
    <n v="22"/>
    <n v="178"/>
    <n v="10"/>
    <n v="168"/>
    <n v="0.9438202247191011"/>
    <n v="8.0909090909090917"/>
    <n v="139.94502617801047"/>
  </r>
  <r>
    <n v="809"/>
    <d v="2023-09-26T00:00:00"/>
    <x v="8"/>
    <d v="1900-01-03T00:00:00"/>
    <x v="2"/>
    <s v="No"/>
    <s v="Yes"/>
    <s v="First Day of Fall Promotion"/>
    <x v="2"/>
    <x v="5"/>
    <n v="17"/>
    <n v="163"/>
    <n v="27"/>
    <n v="136"/>
    <n v="0.83435582822085885"/>
    <n v="9.5882352941176467"/>
    <n v="139.94502617801047"/>
  </r>
  <r>
    <n v="810"/>
    <d v="2023-09-26T00:00:00"/>
    <x v="8"/>
    <d v="1900-01-03T00:00:00"/>
    <x v="2"/>
    <s v="No"/>
    <s v="Yes"/>
    <s v="First Day of Fall Promotion"/>
    <x v="3"/>
    <x v="5"/>
    <n v="21"/>
    <n v="207"/>
    <n v="7"/>
    <n v="200"/>
    <n v="0.96618357487922701"/>
    <n v="9.8571428571428577"/>
    <n v="139.94502617801047"/>
  </r>
  <r>
    <n v="811"/>
    <d v="2023-09-27T00:00:00"/>
    <x v="8"/>
    <d v="1900-01-04T00:00:00"/>
    <x v="2"/>
    <s v="No"/>
    <s v="Yes"/>
    <s v="First Day of Fall Promotion"/>
    <x v="0"/>
    <x v="1"/>
    <n v="19"/>
    <n v="177"/>
    <n v="6"/>
    <n v="171"/>
    <n v="0.96610169491525422"/>
    <n v="9.3157894736842106"/>
    <n v="139.85449735449737"/>
  </r>
  <r>
    <n v="812"/>
    <d v="2023-09-27T00:00:00"/>
    <x v="8"/>
    <d v="1900-01-04T00:00:00"/>
    <x v="2"/>
    <s v="No"/>
    <s v="Yes"/>
    <s v="First Day of Fall Promotion"/>
    <x v="1"/>
    <x v="1"/>
    <n v="23"/>
    <n v="197"/>
    <n v="20"/>
    <n v="177"/>
    <n v="0.89847715736040612"/>
    <n v="8.5652173913043477"/>
    <n v="139.85449735449737"/>
  </r>
  <r>
    <n v="813"/>
    <d v="2023-09-27T00:00:00"/>
    <x v="8"/>
    <d v="1900-01-04T00:00:00"/>
    <x v="2"/>
    <s v="No"/>
    <s v="Yes"/>
    <s v="First Day of Fall Promotion"/>
    <x v="2"/>
    <x v="2"/>
    <n v="22"/>
    <n v="178"/>
    <n v="23"/>
    <n v="155"/>
    <n v="0.8707865168539326"/>
    <n v="8.0909090909090917"/>
    <n v="139.85449735449737"/>
  </r>
  <r>
    <n v="814"/>
    <d v="2023-09-27T00:00:00"/>
    <x v="8"/>
    <d v="1900-01-04T00:00:00"/>
    <x v="2"/>
    <s v="No"/>
    <s v="Yes"/>
    <s v="First Day of Fall Promotion"/>
    <x v="3"/>
    <x v="3"/>
    <n v="23"/>
    <n v="205"/>
    <n v="42"/>
    <n v="163"/>
    <n v="0.79512195121951224"/>
    <n v="8.9130434782608692"/>
    <n v="139.85449735449737"/>
  </r>
  <r>
    <n v="815"/>
    <d v="2023-09-28T00:00:00"/>
    <x v="8"/>
    <d v="1900-01-05T00:00:00"/>
    <x v="2"/>
    <s v="No"/>
    <s v="Yes"/>
    <s v="First Day of Fall Promotion"/>
    <x v="0"/>
    <x v="4"/>
    <n v="21"/>
    <n v="215"/>
    <n v="27"/>
    <n v="188"/>
    <n v="0.87441860465116283"/>
    <n v="10.238095238095237"/>
    <n v="139.99732620320856"/>
  </r>
  <r>
    <n v="816"/>
    <d v="2023-09-28T00:00:00"/>
    <x v="8"/>
    <d v="1900-01-05T00:00:00"/>
    <x v="2"/>
    <s v="No"/>
    <s v="Yes"/>
    <s v="First Day of Fall Promotion"/>
    <x v="1"/>
    <x v="2"/>
    <n v="25"/>
    <n v="243"/>
    <n v="39"/>
    <n v="204"/>
    <n v="0.83950617283950613"/>
    <n v="9.7200000000000006"/>
    <n v="139.99732620320856"/>
  </r>
  <r>
    <n v="817"/>
    <d v="2023-09-28T00:00:00"/>
    <x v="8"/>
    <d v="1900-01-05T00:00:00"/>
    <x v="2"/>
    <s v="No"/>
    <s v="Yes"/>
    <s v="First Day of Fall Promotion"/>
    <x v="2"/>
    <x v="2"/>
    <n v="24"/>
    <n v="224"/>
    <n v="50"/>
    <n v="174"/>
    <n v="0.7767857142857143"/>
    <n v="9.3333333333333339"/>
    <n v="139.99732620320856"/>
  </r>
  <r>
    <n v="818"/>
    <d v="2023-09-28T00:00:00"/>
    <x v="8"/>
    <d v="1900-01-05T00:00:00"/>
    <x v="2"/>
    <s v="No"/>
    <s v="Yes"/>
    <s v="First Day of Fall Promotion"/>
    <x v="3"/>
    <x v="3"/>
    <n v="26"/>
    <n v="254"/>
    <n v="41"/>
    <n v="213"/>
    <n v="0.83858267716535428"/>
    <n v="9.7692307692307701"/>
    <n v="139.99732620320856"/>
  </r>
  <r>
    <n v="819"/>
    <d v="2023-09-29T00:00:00"/>
    <x v="8"/>
    <d v="1900-01-06T00:00:00"/>
    <x v="2"/>
    <s v="No"/>
    <s v="Yes"/>
    <s v="First Day of Fall Promotion"/>
    <x v="0"/>
    <x v="1"/>
    <n v="23"/>
    <n v="213"/>
    <n v="47"/>
    <n v="166"/>
    <n v="0.77934272300469487"/>
    <n v="9.2608695652173907"/>
    <n v="140.47027027027028"/>
  </r>
  <r>
    <n v="820"/>
    <d v="2023-10-01T00:00:00"/>
    <x v="9"/>
    <d v="1900-01-01T00:00:00"/>
    <x v="3"/>
    <s v="No"/>
    <s v="No"/>
    <s v="None"/>
    <x v="0"/>
    <x v="4"/>
    <n v="19"/>
    <n v="209"/>
    <n v="40"/>
    <n v="169"/>
    <n v="0.80861244019138756"/>
    <n v="11"/>
    <n v="140.47513812154696"/>
  </r>
  <r>
    <n v="821"/>
    <d v="2023-10-01T00:00:00"/>
    <x v="9"/>
    <d v="1900-01-01T00:00:00"/>
    <x v="3"/>
    <s v="No"/>
    <s v="No"/>
    <s v="None"/>
    <x v="1"/>
    <x v="5"/>
    <n v="12"/>
    <n v="132"/>
    <n v="40"/>
    <n v="92"/>
    <n v="0.69696969696969702"/>
    <n v="11"/>
    <n v="140.47513812154696"/>
  </r>
  <r>
    <n v="822"/>
    <d v="2023-10-01T00:00:00"/>
    <x v="9"/>
    <d v="1900-01-01T00:00:00"/>
    <x v="3"/>
    <s v="No"/>
    <s v="No"/>
    <s v="None"/>
    <x v="2"/>
    <x v="5"/>
    <n v="10"/>
    <n v="110"/>
    <n v="26"/>
    <n v="84"/>
    <n v="0.76363636363636367"/>
    <n v="11"/>
    <n v="140.47513812154696"/>
  </r>
  <r>
    <n v="823"/>
    <d v="2023-10-01T00:00:00"/>
    <x v="9"/>
    <d v="1900-01-01T00:00:00"/>
    <x v="3"/>
    <s v="No"/>
    <s v="No"/>
    <s v="None"/>
    <x v="3"/>
    <x v="5"/>
    <n v="15"/>
    <n v="165"/>
    <n v="29"/>
    <n v="136"/>
    <n v="0.82424242424242422"/>
    <n v="11"/>
    <n v="140.47513812154696"/>
  </r>
  <r>
    <n v="824"/>
    <d v="2023-10-02T00:00:00"/>
    <x v="9"/>
    <d v="1900-01-02T00:00:00"/>
    <x v="3"/>
    <s v="No"/>
    <s v="No"/>
    <s v="None"/>
    <x v="0"/>
    <x v="1"/>
    <n v="17"/>
    <n v="187"/>
    <n v="14"/>
    <n v="173"/>
    <n v="0.92513368983957223"/>
    <n v="11"/>
    <n v="140.13296398891967"/>
  </r>
  <r>
    <n v="825"/>
    <d v="2023-10-02T00:00:00"/>
    <x v="9"/>
    <d v="1900-01-02T00:00:00"/>
    <x v="3"/>
    <s v="No"/>
    <s v="No"/>
    <s v="None"/>
    <x v="1"/>
    <x v="1"/>
    <n v="11"/>
    <n v="121"/>
    <n v="43"/>
    <n v="78"/>
    <n v="0.64462809917355368"/>
    <n v="11"/>
    <n v="140.13296398891967"/>
  </r>
  <r>
    <n v="826"/>
    <d v="2023-10-02T00:00:00"/>
    <x v="9"/>
    <d v="1900-01-02T00:00:00"/>
    <x v="3"/>
    <s v="No"/>
    <s v="No"/>
    <s v="None"/>
    <x v="2"/>
    <x v="2"/>
    <n v="5"/>
    <n v="55"/>
    <n v="49"/>
    <n v="6"/>
    <n v="0.10909090909090909"/>
    <n v="11"/>
    <n v="140.13296398891967"/>
  </r>
  <r>
    <n v="827"/>
    <d v="2023-10-02T00:00:00"/>
    <x v="9"/>
    <d v="1900-01-02T00:00:00"/>
    <x v="3"/>
    <s v="No"/>
    <s v="No"/>
    <s v="None"/>
    <x v="3"/>
    <x v="3"/>
    <n v="11"/>
    <n v="121"/>
    <n v="14"/>
    <n v="107"/>
    <n v="0.88429752066115708"/>
    <n v="11"/>
    <n v="140.13296398891967"/>
  </r>
  <r>
    <n v="828"/>
    <d v="2023-10-03T00:00:00"/>
    <x v="9"/>
    <d v="1900-01-03T00:00:00"/>
    <x v="3"/>
    <s v="No"/>
    <s v="No"/>
    <s v="None"/>
    <x v="0"/>
    <x v="4"/>
    <n v="15"/>
    <n v="165"/>
    <n v="39"/>
    <n v="126"/>
    <n v="0.76363636363636367"/>
    <n v="11"/>
    <n v="140.13296398891967"/>
  </r>
  <r>
    <n v="829"/>
    <d v="2023-10-03T00:00:00"/>
    <x v="9"/>
    <d v="1900-01-03T00:00:00"/>
    <x v="3"/>
    <s v="No"/>
    <s v="No"/>
    <s v="None"/>
    <x v="1"/>
    <x v="5"/>
    <n v="5"/>
    <n v="55"/>
    <n v="30"/>
    <n v="25"/>
    <n v="0.45454545454545453"/>
    <n v="11"/>
    <n v="140.13296398891967"/>
  </r>
  <r>
    <n v="830"/>
    <d v="2023-10-03T00:00:00"/>
    <x v="9"/>
    <d v="1900-01-03T00:00:00"/>
    <x v="3"/>
    <s v="No"/>
    <s v="No"/>
    <s v="None"/>
    <x v="2"/>
    <x v="5"/>
    <n v="5"/>
    <n v="55"/>
    <n v="33"/>
    <n v="22"/>
    <n v="0.4"/>
    <n v="11"/>
    <n v="140.13296398891967"/>
  </r>
  <r>
    <n v="831"/>
    <d v="2023-10-03T00:00:00"/>
    <x v="9"/>
    <d v="1900-01-03T00:00:00"/>
    <x v="3"/>
    <s v="No"/>
    <s v="No"/>
    <s v="None"/>
    <x v="3"/>
    <x v="5"/>
    <n v="9"/>
    <n v="99"/>
    <n v="42"/>
    <n v="57"/>
    <n v="0.5757575757575758"/>
    <n v="11"/>
    <n v="140.13296398891967"/>
  </r>
  <r>
    <n v="832"/>
    <d v="2023-10-04T00:00:00"/>
    <x v="9"/>
    <d v="1900-01-04T00:00:00"/>
    <x v="3"/>
    <s v="No"/>
    <s v="No"/>
    <s v="None"/>
    <x v="0"/>
    <x v="1"/>
    <n v="17"/>
    <n v="187"/>
    <n v="14"/>
    <n v="173"/>
    <n v="0.92513368983957223"/>
    <n v="11"/>
    <n v="140.07002801120447"/>
  </r>
  <r>
    <n v="833"/>
    <d v="2023-10-04T00:00:00"/>
    <x v="9"/>
    <d v="1900-01-04T00:00:00"/>
    <x v="3"/>
    <s v="No"/>
    <s v="No"/>
    <s v="None"/>
    <x v="1"/>
    <x v="1"/>
    <n v="11"/>
    <n v="121"/>
    <n v="9"/>
    <n v="112"/>
    <n v="0.92561983471074383"/>
    <n v="11"/>
    <n v="140.07002801120447"/>
  </r>
  <r>
    <n v="834"/>
    <d v="2023-10-04T00:00:00"/>
    <x v="9"/>
    <d v="1900-01-04T00:00:00"/>
    <x v="3"/>
    <s v="No"/>
    <s v="No"/>
    <s v="None"/>
    <x v="2"/>
    <x v="2"/>
    <n v="5"/>
    <n v="55"/>
    <n v="36"/>
    <n v="19"/>
    <n v="0.34545454545454546"/>
    <n v="11"/>
    <n v="140.07002801120447"/>
  </r>
  <r>
    <n v="835"/>
    <d v="2023-10-04T00:00:00"/>
    <x v="9"/>
    <d v="1900-01-04T00:00:00"/>
    <x v="3"/>
    <s v="No"/>
    <s v="No"/>
    <s v="None"/>
    <x v="3"/>
    <x v="3"/>
    <n v="12"/>
    <n v="132"/>
    <n v="10"/>
    <n v="122"/>
    <n v="0.9242424242424242"/>
    <n v="11"/>
    <n v="140.07002801120447"/>
  </r>
  <r>
    <n v="836"/>
    <d v="2023-10-05T00:00:00"/>
    <x v="9"/>
    <d v="1900-01-05T00:00:00"/>
    <x v="3"/>
    <s v="No"/>
    <s v="No"/>
    <s v="None"/>
    <x v="0"/>
    <x v="4"/>
    <n v="19"/>
    <n v="209"/>
    <n v="21"/>
    <n v="188"/>
    <n v="0.8995215311004785"/>
    <n v="11"/>
    <n v="140.25495750708214"/>
  </r>
  <r>
    <n v="837"/>
    <d v="2023-10-05T00:00:00"/>
    <x v="9"/>
    <d v="1900-01-05T00:00:00"/>
    <x v="3"/>
    <s v="No"/>
    <s v="No"/>
    <s v="None"/>
    <x v="1"/>
    <x v="2"/>
    <n v="11"/>
    <n v="121"/>
    <n v="42"/>
    <n v="79"/>
    <n v="0.65289256198347112"/>
    <n v="11"/>
    <n v="140.25495750708214"/>
  </r>
  <r>
    <n v="838"/>
    <d v="2023-10-05T00:00:00"/>
    <x v="9"/>
    <d v="1900-01-05T00:00:00"/>
    <x v="3"/>
    <s v="No"/>
    <s v="No"/>
    <s v="None"/>
    <x v="2"/>
    <x v="2"/>
    <n v="9"/>
    <n v="99"/>
    <n v="12"/>
    <n v="87"/>
    <n v="0.87878787878787878"/>
    <n v="11"/>
    <n v="140.25495750708214"/>
  </r>
  <r>
    <n v="839"/>
    <d v="2023-10-05T00:00:00"/>
    <x v="9"/>
    <d v="1900-01-05T00:00:00"/>
    <x v="3"/>
    <s v="No"/>
    <s v="No"/>
    <s v="None"/>
    <x v="3"/>
    <x v="3"/>
    <n v="17"/>
    <n v="187"/>
    <n v="29"/>
    <n v="158"/>
    <n v="0.84491978609625673"/>
    <n v="11"/>
    <n v="140.25495750708214"/>
  </r>
  <r>
    <n v="840"/>
    <d v="2023-10-06T00:00:00"/>
    <x v="9"/>
    <d v="1900-01-06T00:00:00"/>
    <x v="3"/>
    <s v="No"/>
    <s v="No"/>
    <s v="None"/>
    <x v="0"/>
    <x v="1"/>
    <n v="22"/>
    <n v="242"/>
    <n v="25"/>
    <n v="217"/>
    <n v="0.89669421487603307"/>
    <n v="11"/>
    <n v="140.60171919770772"/>
  </r>
  <r>
    <n v="841"/>
    <d v="2023-10-08T00:00:00"/>
    <x v="9"/>
    <d v="1900-01-01T00:00:00"/>
    <x v="3"/>
    <s v="Yes"/>
    <s v="No"/>
    <s v="Columbus Day"/>
    <x v="0"/>
    <x v="4"/>
    <n v="17"/>
    <n v="187"/>
    <n v="21"/>
    <n v="166"/>
    <n v="0.88770053475935828"/>
    <n v="11"/>
    <n v="140.60997067448682"/>
  </r>
  <r>
    <n v="842"/>
    <d v="2023-10-08T00:00:00"/>
    <x v="9"/>
    <d v="1900-01-01T00:00:00"/>
    <x v="3"/>
    <s v="Yes"/>
    <s v="No"/>
    <s v="Columbus Day"/>
    <x v="1"/>
    <x v="5"/>
    <n v="9"/>
    <n v="99"/>
    <n v="47"/>
    <n v="52"/>
    <n v="0.5252525252525253"/>
    <n v="11"/>
    <n v="140.60997067448682"/>
  </r>
  <r>
    <n v="843"/>
    <d v="2023-10-08T00:00:00"/>
    <x v="9"/>
    <d v="1900-01-01T00:00:00"/>
    <x v="3"/>
    <s v="Yes"/>
    <s v="No"/>
    <s v="Columbus Day"/>
    <x v="2"/>
    <x v="5"/>
    <n v="10"/>
    <n v="110"/>
    <n v="46"/>
    <n v="64"/>
    <n v="0.58181818181818179"/>
    <n v="11"/>
    <n v="140.60997067448682"/>
  </r>
  <r>
    <n v="844"/>
    <d v="2023-10-08T00:00:00"/>
    <x v="9"/>
    <d v="1900-01-01T00:00:00"/>
    <x v="3"/>
    <s v="Yes"/>
    <s v="No"/>
    <s v="Columbus Day"/>
    <x v="3"/>
    <x v="5"/>
    <n v="13"/>
    <n v="143"/>
    <n v="20"/>
    <n v="123"/>
    <n v="0.8601398601398601"/>
    <n v="11"/>
    <n v="140.60997067448682"/>
  </r>
  <r>
    <n v="845"/>
    <d v="2023-10-09T00:00:00"/>
    <x v="9"/>
    <d v="1900-01-02T00:00:00"/>
    <x v="3"/>
    <s v="No"/>
    <s v="No"/>
    <s v="None"/>
    <x v="0"/>
    <x v="1"/>
    <n v="17"/>
    <n v="187"/>
    <n v="43"/>
    <n v="144"/>
    <n v="0.77005347593582885"/>
    <n v="11"/>
    <n v="140.40882352941176"/>
  </r>
  <r>
    <n v="846"/>
    <d v="2023-10-09T00:00:00"/>
    <x v="9"/>
    <d v="1900-01-02T00:00:00"/>
    <x v="3"/>
    <s v="No"/>
    <s v="No"/>
    <s v="None"/>
    <x v="1"/>
    <x v="1"/>
    <n v="10"/>
    <n v="110"/>
    <n v="15"/>
    <n v="95"/>
    <n v="0.86363636363636365"/>
    <n v="11"/>
    <n v="140.40882352941176"/>
  </r>
  <r>
    <n v="847"/>
    <d v="2023-10-09T00:00:00"/>
    <x v="9"/>
    <d v="1900-01-02T00:00:00"/>
    <x v="3"/>
    <s v="No"/>
    <s v="No"/>
    <s v="None"/>
    <x v="2"/>
    <x v="2"/>
    <n v="5"/>
    <n v="55"/>
    <n v="11"/>
    <n v="44"/>
    <n v="0.8"/>
    <n v="11"/>
    <n v="140.40882352941176"/>
  </r>
  <r>
    <n v="848"/>
    <d v="2023-10-09T00:00:00"/>
    <x v="9"/>
    <d v="1900-01-02T00:00:00"/>
    <x v="3"/>
    <s v="No"/>
    <s v="No"/>
    <s v="None"/>
    <x v="3"/>
    <x v="3"/>
    <n v="12"/>
    <n v="132"/>
    <n v="16"/>
    <n v="116"/>
    <n v="0.87878787878787878"/>
    <n v="11"/>
    <n v="140.40882352941176"/>
  </r>
  <r>
    <n v="849"/>
    <d v="2023-10-10T00:00:00"/>
    <x v="9"/>
    <d v="1900-01-03T00:00:00"/>
    <x v="3"/>
    <s v="No"/>
    <s v="No"/>
    <s v="None"/>
    <x v="0"/>
    <x v="4"/>
    <n v="14"/>
    <n v="154"/>
    <n v="42"/>
    <n v="112"/>
    <n v="0.72727272727272729"/>
    <n v="11"/>
    <n v="140.40882352941176"/>
  </r>
  <r>
    <n v="850"/>
    <d v="2023-10-10T00:00:00"/>
    <x v="9"/>
    <d v="1900-01-03T00:00:00"/>
    <x v="3"/>
    <s v="No"/>
    <s v="No"/>
    <s v="None"/>
    <x v="1"/>
    <x v="5"/>
    <n v="6"/>
    <n v="66"/>
    <n v="5"/>
    <n v="61"/>
    <n v="0.9242424242424242"/>
    <n v="11"/>
    <n v="140.40882352941176"/>
  </r>
  <r>
    <n v="851"/>
    <d v="2023-10-10T00:00:00"/>
    <x v="9"/>
    <d v="1900-01-03T00:00:00"/>
    <x v="3"/>
    <s v="No"/>
    <s v="No"/>
    <s v="None"/>
    <x v="2"/>
    <x v="5"/>
    <n v="5"/>
    <n v="55"/>
    <n v="26"/>
    <n v="29"/>
    <n v="0.52727272727272723"/>
    <n v="11"/>
    <n v="140.40882352941176"/>
  </r>
  <r>
    <n v="852"/>
    <d v="2023-10-10T00:00:00"/>
    <x v="9"/>
    <d v="1900-01-03T00:00:00"/>
    <x v="3"/>
    <s v="No"/>
    <s v="No"/>
    <s v="None"/>
    <x v="3"/>
    <x v="5"/>
    <n v="9"/>
    <n v="99"/>
    <n v="17"/>
    <n v="82"/>
    <n v="0.82828282828282829"/>
    <n v="11"/>
    <n v="140.40882352941176"/>
  </r>
  <r>
    <n v="853"/>
    <d v="2023-10-11T00:00:00"/>
    <x v="9"/>
    <d v="1900-01-04T00:00:00"/>
    <x v="3"/>
    <s v="No"/>
    <s v="No"/>
    <s v="None"/>
    <x v="0"/>
    <x v="1"/>
    <n v="17"/>
    <n v="187"/>
    <n v="12"/>
    <n v="175"/>
    <n v="0.93582887700534756"/>
    <n v="11"/>
    <n v="140.14880952380952"/>
  </r>
  <r>
    <n v="854"/>
    <d v="2023-10-11T00:00:00"/>
    <x v="9"/>
    <d v="1900-01-04T00:00:00"/>
    <x v="3"/>
    <s v="No"/>
    <s v="No"/>
    <s v="None"/>
    <x v="1"/>
    <x v="1"/>
    <n v="9"/>
    <n v="99"/>
    <n v="31"/>
    <n v="68"/>
    <n v="0.68686868686868685"/>
    <n v="11"/>
    <n v="140.14880952380952"/>
  </r>
  <r>
    <n v="855"/>
    <d v="2023-10-11T00:00:00"/>
    <x v="9"/>
    <d v="1900-01-04T00:00:00"/>
    <x v="3"/>
    <s v="No"/>
    <s v="No"/>
    <s v="None"/>
    <x v="2"/>
    <x v="2"/>
    <n v="5"/>
    <n v="55"/>
    <n v="4"/>
    <n v="51"/>
    <n v="0.92727272727272725"/>
    <n v="11"/>
    <n v="140.14880952380952"/>
  </r>
  <r>
    <n v="856"/>
    <d v="2023-10-11T00:00:00"/>
    <x v="9"/>
    <d v="1900-01-04T00:00:00"/>
    <x v="3"/>
    <s v="No"/>
    <s v="No"/>
    <s v="None"/>
    <x v="3"/>
    <x v="3"/>
    <n v="12"/>
    <n v="132"/>
    <n v="25"/>
    <n v="107"/>
    <n v="0.81060606060606055"/>
    <n v="11"/>
    <n v="140.14880952380952"/>
  </r>
  <r>
    <n v="857"/>
    <d v="2023-10-12T00:00:00"/>
    <x v="9"/>
    <d v="1900-01-05T00:00:00"/>
    <x v="3"/>
    <s v="No"/>
    <s v="No"/>
    <s v="None"/>
    <x v="0"/>
    <x v="4"/>
    <n v="23"/>
    <n v="253"/>
    <n v="28"/>
    <n v="225"/>
    <n v="0.88932806324110669"/>
    <n v="11"/>
    <n v="140.28012048192772"/>
  </r>
  <r>
    <n v="858"/>
    <d v="2023-10-12T00:00:00"/>
    <x v="9"/>
    <d v="1900-01-05T00:00:00"/>
    <x v="3"/>
    <s v="No"/>
    <s v="No"/>
    <s v="None"/>
    <x v="1"/>
    <x v="2"/>
    <n v="10"/>
    <n v="110"/>
    <n v="47"/>
    <n v="63"/>
    <n v="0.57272727272727275"/>
    <n v="11"/>
    <n v="140.28012048192772"/>
  </r>
  <r>
    <n v="859"/>
    <d v="2023-10-12T00:00:00"/>
    <x v="9"/>
    <d v="1900-01-05T00:00:00"/>
    <x v="3"/>
    <s v="No"/>
    <s v="No"/>
    <s v="None"/>
    <x v="2"/>
    <x v="2"/>
    <n v="10"/>
    <n v="110"/>
    <n v="10"/>
    <n v="100"/>
    <n v="0.90909090909090906"/>
    <n v="11"/>
    <n v="140.28012048192772"/>
  </r>
  <r>
    <n v="860"/>
    <d v="2023-10-12T00:00:00"/>
    <x v="9"/>
    <d v="1900-01-05T00:00:00"/>
    <x v="3"/>
    <s v="No"/>
    <s v="No"/>
    <s v="None"/>
    <x v="3"/>
    <x v="3"/>
    <n v="20"/>
    <n v="220"/>
    <n v="34"/>
    <n v="186"/>
    <n v="0.84545454545454546"/>
    <n v="11"/>
    <n v="140.28012048192772"/>
  </r>
  <r>
    <n v="861"/>
    <d v="2023-10-13T00:00:00"/>
    <x v="9"/>
    <d v="1900-01-06T00:00:00"/>
    <x v="3"/>
    <s v="No"/>
    <s v="No"/>
    <s v="None"/>
    <x v="0"/>
    <x v="1"/>
    <n v="20"/>
    <n v="220"/>
    <n v="40"/>
    <n v="180"/>
    <n v="0.81818181818181823"/>
    <n v="11"/>
    <n v="140.71646341463415"/>
  </r>
  <r>
    <n v="862"/>
    <d v="2023-10-15T00:00:00"/>
    <x v="9"/>
    <d v="1900-01-01T00:00:00"/>
    <x v="3"/>
    <s v="No"/>
    <s v="No"/>
    <s v="None"/>
    <x v="0"/>
    <x v="4"/>
    <n v="18"/>
    <n v="198"/>
    <n v="18"/>
    <n v="180"/>
    <n v="0.90909090909090906"/>
    <n v="11"/>
    <n v="140.96875"/>
  </r>
  <r>
    <n v="863"/>
    <d v="2023-10-15T00:00:00"/>
    <x v="9"/>
    <d v="1900-01-01T00:00:00"/>
    <x v="3"/>
    <s v="No"/>
    <s v="No"/>
    <s v="None"/>
    <x v="1"/>
    <x v="5"/>
    <n v="11"/>
    <n v="121"/>
    <n v="3"/>
    <n v="118"/>
    <n v="0.97520661157024791"/>
    <n v="11"/>
    <n v="140.96875"/>
  </r>
  <r>
    <n v="864"/>
    <d v="2023-10-15T00:00:00"/>
    <x v="9"/>
    <d v="1900-01-01T00:00:00"/>
    <x v="3"/>
    <s v="No"/>
    <s v="No"/>
    <s v="None"/>
    <x v="2"/>
    <x v="5"/>
    <n v="10"/>
    <n v="110"/>
    <n v="4"/>
    <n v="106"/>
    <n v="0.96363636363636362"/>
    <n v="11"/>
    <n v="140.96875"/>
  </r>
  <r>
    <n v="865"/>
    <d v="2023-10-15T00:00:00"/>
    <x v="9"/>
    <d v="1900-01-01T00:00:00"/>
    <x v="3"/>
    <s v="No"/>
    <s v="No"/>
    <s v="None"/>
    <x v="3"/>
    <x v="5"/>
    <n v="15"/>
    <n v="165"/>
    <n v="15"/>
    <n v="150"/>
    <n v="0.90909090909090906"/>
    <n v="11"/>
    <n v="140.96875"/>
  </r>
  <r>
    <n v="866"/>
    <d v="2023-10-16T00:00:00"/>
    <x v="9"/>
    <d v="1900-01-02T00:00:00"/>
    <x v="3"/>
    <s v="No"/>
    <s v="No"/>
    <s v="None"/>
    <x v="0"/>
    <x v="1"/>
    <n v="15"/>
    <n v="165"/>
    <n v="30"/>
    <n v="135"/>
    <n v="0.81818181818181823"/>
    <n v="11"/>
    <n v="140.61755485893417"/>
  </r>
  <r>
    <n v="867"/>
    <d v="2023-10-16T00:00:00"/>
    <x v="9"/>
    <d v="1900-01-02T00:00:00"/>
    <x v="3"/>
    <s v="No"/>
    <s v="No"/>
    <s v="None"/>
    <x v="1"/>
    <x v="1"/>
    <n v="11"/>
    <n v="121"/>
    <n v="23"/>
    <n v="98"/>
    <n v="0.80991735537190079"/>
    <n v="11"/>
    <n v="140.61755485893417"/>
  </r>
  <r>
    <n v="868"/>
    <d v="2023-10-16T00:00:00"/>
    <x v="9"/>
    <d v="1900-01-02T00:00:00"/>
    <x v="3"/>
    <s v="No"/>
    <s v="No"/>
    <s v="None"/>
    <x v="2"/>
    <x v="2"/>
    <n v="5"/>
    <n v="55"/>
    <n v="11"/>
    <n v="44"/>
    <n v="0.8"/>
    <n v="11"/>
    <n v="140.61755485893417"/>
  </r>
  <r>
    <n v="869"/>
    <d v="2023-10-16T00:00:00"/>
    <x v="9"/>
    <d v="1900-01-02T00:00:00"/>
    <x v="3"/>
    <s v="No"/>
    <s v="No"/>
    <s v="None"/>
    <x v="3"/>
    <x v="3"/>
    <n v="12"/>
    <n v="132"/>
    <n v="43"/>
    <n v="89"/>
    <n v="0.6742424242424242"/>
    <n v="11"/>
    <n v="140.61755485893417"/>
  </r>
  <r>
    <n v="870"/>
    <d v="2023-10-17T00:00:00"/>
    <x v="9"/>
    <d v="1900-01-03T00:00:00"/>
    <x v="3"/>
    <s v="No"/>
    <s v="No"/>
    <s v="None"/>
    <x v="0"/>
    <x v="4"/>
    <n v="15"/>
    <n v="165"/>
    <n v="49"/>
    <n v="116"/>
    <n v="0.70303030303030301"/>
    <n v="11"/>
    <n v="140.61755485893417"/>
  </r>
  <r>
    <n v="871"/>
    <d v="2023-10-17T00:00:00"/>
    <x v="9"/>
    <d v="1900-01-03T00:00:00"/>
    <x v="3"/>
    <s v="No"/>
    <s v="No"/>
    <s v="None"/>
    <x v="1"/>
    <x v="5"/>
    <n v="6"/>
    <n v="66"/>
    <n v="28"/>
    <n v="38"/>
    <n v="0.5757575757575758"/>
    <n v="11"/>
    <n v="140.61755485893417"/>
  </r>
  <r>
    <n v="872"/>
    <d v="2023-10-17T00:00:00"/>
    <x v="9"/>
    <d v="1900-01-03T00:00:00"/>
    <x v="3"/>
    <s v="No"/>
    <s v="No"/>
    <s v="None"/>
    <x v="2"/>
    <x v="5"/>
    <n v="5"/>
    <n v="55"/>
    <n v="35"/>
    <n v="20"/>
    <n v="0.36363636363636365"/>
    <n v="11"/>
    <n v="140.61755485893417"/>
  </r>
  <r>
    <n v="873"/>
    <d v="2023-10-17T00:00:00"/>
    <x v="9"/>
    <d v="1900-01-03T00:00:00"/>
    <x v="3"/>
    <s v="No"/>
    <s v="No"/>
    <s v="None"/>
    <x v="3"/>
    <x v="5"/>
    <n v="12"/>
    <n v="132"/>
    <n v="11"/>
    <n v="121"/>
    <n v="0.91666666666666663"/>
    <n v="11"/>
    <n v="140.61755485893417"/>
  </r>
  <r>
    <n v="874"/>
    <d v="2023-10-18T00:00:00"/>
    <x v="9"/>
    <d v="1900-01-04T00:00:00"/>
    <x v="3"/>
    <s v="No"/>
    <s v="No"/>
    <s v="None"/>
    <x v="0"/>
    <x v="1"/>
    <n v="17"/>
    <n v="187"/>
    <n v="40"/>
    <n v="147"/>
    <n v="0.78609625668449201"/>
    <n v="11"/>
    <n v="140.55238095238096"/>
  </r>
  <r>
    <n v="875"/>
    <d v="2023-10-18T00:00:00"/>
    <x v="9"/>
    <d v="1900-01-04T00:00:00"/>
    <x v="3"/>
    <s v="No"/>
    <s v="No"/>
    <s v="None"/>
    <x v="1"/>
    <x v="1"/>
    <n v="8"/>
    <n v="88"/>
    <n v="6"/>
    <n v="82"/>
    <n v="0.93181818181818177"/>
    <n v="11"/>
    <n v="140.55238095238096"/>
  </r>
  <r>
    <n v="876"/>
    <d v="2023-10-18T00:00:00"/>
    <x v="9"/>
    <d v="1900-01-04T00:00:00"/>
    <x v="3"/>
    <s v="No"/>
    <s v="No"/>
    <s v="None"/>
    <x v="2"/>
    <x v="2"/>
    <n v="5"/>
    <n v="55"/>
    <n v="8"/>
    <n v="47"/>
    <n v="0.8545454545454545"/>
    <n v="11"/>
    <n v="140.55238095238096"/>
  </r>
  <r>
    <n v="877"/>
    <d v="2023-10-18T00:00:00"/>
    <x v="9"/>
    <d v="1900-01-04T00:00:00"/>
    <x v="3"/>
    <s v="No"/>
    <s v="No"/>
    <s v="None"/>
    <x v="3"/>
    <x v="3"/>
    <n v="15"/>
    <n v="165"/>
    <n v="41"/>
    <n v="124"/>
    <n v="0.75151515151515147"/>
    <n v="11"/>
    <n v="140.55238095238096"/>
  </r>
  <r>
    <n v="878"/>
    <d v="2023-10-19T00:00:00"/>
    <x v="9"/>
    <d v="1900-01-05T00:00:00"/>
    <x v="3"/>
    <s v="No"/>
    <s v="No"/>
    <s v="None"/>
    <x v="0"/>
    <x v="4"/>
    <n v="22"/>
    <n v="242"/>
    <n v="20"/>
    <n v="222"/>
    <n v="0.9173553719008265"/>
    <n v="11"/>
    <n v="140.7684887459807"/>
  </r>
  <r>
    <n v="879"/>
    <d v="2023-10-19T00:00:00"/>
    <x v="9"/>
    <d v="1900-01-05T00:00:00"/>
    <x v="3"/>
    <s v="No"/>
    <s v="No"/>
    <s v="None"/>
    <x v="1"/>
    <x v="2"/>
    <n v="9"/>
    <n v="99"/>
    <n v="3"/>
    <n v="96"/>
    <n v="0.96969696969696972"/>
    <n v="11"/>
    <n v="140.7684887459807"/>
  </r>
  <r>
    <n v="880"/>
    <d v="2023-10-19T00:00:00"/>
    <x v="9"/>
    <d v="1900-01-05T00:00:00"/>
    <x v="3"/>
    <s v="No"/>
    <s v="No"/>
    <s v="None"/>
    <x v="2"/>
    <x v="2"/>
    <n v="9"/>
    <n v="99"/>
    <n v="5"/>
    <n v="94"/>
    <n v="0.9494949494949495"/>
    <n v="11"/>
    <n v="140.7684887459807"/>
  </r>
  <r>
    <n v="881"/>
    <d v="2023-10-19T00:00:00"/>
    <x v="9"/>
    <d v="1900-01-05T00:00:00"/>
    <x v="3"/>
    <s v="No"/>
    <s v="No"/>
    <s v="None"/>
    <x v="3"/>
    <x v="3"/>
    <n v="18"/>
    <n v="198"/>
    <n v="8"/>
    <n v="190"/>
    <n v="0.95959595959595956"/>
    <n v="11"/>
    <n v="140.7684887459807"/>
  </r>
  <r>
    <n v="882"/>
    <d v="2023-10-20T00:00:00"/>
    <x v="9"/>
    <d v="1900-01-06T00:00:00"/>
    <x v="3"/>
    <s v="No"/>
    <s v="No"/>
    <s v="None"/>
    <x v="0"/>
    <x v="1"/>
    <n v="21"/>
    <n v="231"/>
    <n v="42"/>
    <n v="189"/>
    <n v="0.81818181818181823"/>
    <n v="11"/>
    <n v="141.16938110749186"/>
  </r>
  <r>
    <n v="883"/>
    <d v="2023-10-22T00:00:00"/>
    <x v="9"/>
    <d v="1900-01-01T00:00:00"/>
    <x v="3"/>
    <s v="No"/>
    <s v="No"/>
    <s v="None"/>
    <x v="0"/>
    <x v="4"/>
    <n v="22"/>
    <n v="242"/>
    <n v="6"/>
    <n v="236"/>
    <n v="0.97520661157024791"/>
    <n v="11"/>
    <n v="141.04682274247492"/>
  </r>
  <r>
    <n v="884"/>
    <d v="2023-10-22T00:00:00"/>
    <x v="9"/>
    <d v="1900-01-01T00:00:00"/>
    <x v="3"/>
    <s v="No"/>
    <s v="No"/>
    <s v="None"/>
    <x v="1"/>
    <x v="5"/>
    <n v="9"/>
    <n v="99"/>
    <n v="8"/>
    <n v="91"/>
    <n v="0.91919191919191923"/>
    <n v="11"/>
    <n v="141.04682274247492"/>
  </r>
  <r>
    <n v="885"/>
    <d v="2023-10-22T00:00:00"/>
    <x v="9"/>
    <d v="1900-01-01T00:00:00"/>
    <x v="3"/>
    <s v="No"/>
    <s v="No"/>
    <s v="None"/>
    <x v="2"/>
    <x v="5"/>
    <n v="9"/>
    <n v="99"/>
    <n v="14"/>
    <n v="85"/>
    <n v="0.85858585858585856"/>
    <n v="11"/>
    <n v="141.04682274247492"/>
  </r>
  <r>
    <n v="886"/>
    <d v="2023-10-22T00:00:00"/>
    <x v="9"/>
    <d v="1900-01-01T00:00:00"/>
    <x v="3"/>
    <s v="No"/>
    <s v="No"/>
    <s v="None"/>
    <x v="3"/>
    <x v="5"/>
    <n v="13"/>
    <n v="143"/>
    <n v="28"/>
    <n v="115"/>
    <n v="0.80419580419580416"/>
    <n v="11"/>
    <n v="141.04682274247492"/>
  </r>
  <r>
    <n v="887"/>
    <d v="2023-10-23T00:00:00"/>
    <x v="9"/>
    <d v="1900-01-02T00:00:00"/>
    <x v="3"/>
    <s v="No"/>
    <s v="No"/>
    <s v="None"/>
    <x v="0"/>
    <x v="1"/>
    <n v="16"/>
    <n v="176"/>
    <n v="13"/>
    <n v="163"/>
    <n v="0.92613636363636365"/>
    <n v="11"/>
    <n v="140.81879194630872"/>
  </r>
  <r>
    <n v="888"/>
    <d v="2023-10-23T00:00:00"/>
    <x v="9"/>
    <d v="1900-01-02T00:00:00"/>
    <x v="3"/>
    <s v="No"/>
    <s v="No"/>
    <s v="None"/>
    <x v="1"/>
    <x v="1"/>
    <n v="9"/>
    <n v="99"/>
    <n v="9"/>
    <n v="90"/>
    <n v="0.90909090909090906"/>
    <n v="11"/>
    <n v="140.81879194630872"/>
  </r>
  <r>
    <n v="889"/>
    <d v="2023-10-23T00:00:00"/>
    <x v="9"/>
    <d v="1900-01-02T00:00:00"/>
    <x v="3"/>
    <s v="No"/>
    <s v="No"/>
    <s v="None"/>
    <x v="2"/>
    <x v="2"/>
    <n v="5"/>
    <n v="55"/>
    <n v="25"/>
    <n v="30"/>
    <n v="0.54545454545454541"/>
    <n v="11"/>
    <n v="140.81879194630872"/>
  </r>
  <r>
    <n v="890"/>
    <d v="2023-10-23T00:00:00"/>
    <x v="9"/>
    <d v="1900-01-02T00:00:00"/>
    <x v="3"/>
    <s v="No"/>
    <s v="No"/>
    <s v="None"/>
    <x v="3"/>
    <x v="3"/>
    <n v="15"/>
    <n v="165"/>
    <n v="42"/>
    <n v="123"/>
    <n v="0.74545454545454548"/>
    <n v="11"/>
    <n v="140.81879194630872"/>
  </r>
  <r>
    <n v="891"/>
    <d v="2023-10-24T00:00:00"/>
    <x v="9"/>
    <d v="1900-01-03T00:00:00"/>
    <x v="3"/>
    <s v="No"/>
    <s v="No"/>
    <s v="None"/>
    <x v="0"/>
    <x v="4"/>
    <n v="14"/>
    <n v="154"/>
    <n v="11"/>
    <n v="143"/>
    <n v="0.9285714285714286"/>
    <n v="11"/>
    <n v="140.81879194630872"/>
  </r>
  <r>
    <n v="892"/>
    <d v="2023-10-24T00:00:00"/>
    <x v="9"/>
    <d v="1900-01-03T00:00:00"/>
    <x v="3"/>
    <s v="No"/>
    <s v="No"/>
    <s v="None"/>
    <x v="1"/>
    <x v="5"/>
    <n v="6"/>
    <n v="66"/>
    <n v="41"/>
    <n v="25"/>
    <n v="0.37878787878787878"/>
    <n v="11"/>
    <n v="140.81879194630872"/>
  </r>
  <r>
    <n v="893"/>
    <d v="2023-10-24T00:00:00"/>
    <x v="9"/>
    <d v="1900-01-03T00:00:00"/>
    <x v="3"/>
    <s v="No"/>
    <s v="No"/>
    <s v="None"/>
    <x v="2"/>
    <x v="5"/>
    <n v="5"/>
    <n v="55"/>
    <n v="50"/>
    <n v="5"/>
    <n v="9.0909090909090912E-2"/>
    <n v="11"/>
    <n v="140.81879194630872"/>
  </r>
  <r>
    <n v="894"/>
    <d v="2023-10-24T00:00:00"/>
    <x v="9"/>
    <d v="1900-01-03T00:00:00"/>
    <x v="3"/>
    <s v="No"/>
    <s v="No"/>
    <s v="None"/>
    <x v="3"/>
    <x v="5"/>
    <n v="9"/>
    <n v="99"/>
    <n v="12"/>
    <n v="87"/>
    <n v="0.87878787878787878"/>
    <n v="11"/>
    <n v="140.81879194630872"/>
  </r>
  <r>
    <n v="895"/>
    <d v="2023-10-25T00:00:00"/>
    <x v="9"/>
    <d v="1900-01-04T00:00:00"/>
    <x v="3"/>
    <s v="No"/>
    <s v="No"/>
    <s v="None"/>
    <x v="0"/>
    <x v="1"/>
    <n v="17"/>
    <n v="187"/>
    <n v="30"/>
    <n v="157"/>
    <n v="0.83957219251336901"/>
    <n v="11"/>
    <n v="139.48639455782313"/>
  </r>
  <r>
    <n v="896"/>
    <d v="2023-10-25T00:00:00"/>
    <x v="9"/>
    <d v="1900-01-04T00:00:00"/>
    <x v="3"/>
    <s v="No"/>
    <s v="No"/>
    <s v="None"/>
    <x v="1"/>
    <x v="1"/>
    <n v="11"/>
    <n v="121"/>
    <n v="2"/>
    <n v="119"/>
    <n v="0.98347107438016534"/>
    <n v="11"/>
    <n v="139.48639455782313"/>
  </r>
  <r>
    <n v="897"/>
    <d v="2023-10-25T00:00:00"/>
    <x v="9"/>
    <d v="1900-01-04T00:00:00"/>
    <x v="3"/>
    <s v="No"/>
    <s v="No"/>
    <s v="None"/>
    <x v="2"/>
    <x v="2"/>
    <n v="5"/>
    <n v="55"/>
    <n v="47"/>
    <n v="8"/>
    <n v="0.14545454545454545"/>
    <n v="11"/>
    <n v="139.48639455782313"/>
  </r>
  <r>
    <n v="898"/>
    <d v="2023-10-25T00:00:00"/>
    <x v="9"/>
    <d v="1900-01-04T00:00:00"/>
    <x v="3"/>
    <s v="No"/>
    <s v="No"/>
    <s v="None"/>
    <x v="3"/>
    <x v="3"/>
    <n v="12"/>
    <n v="132"/>
    <n v="42"/>
    <n v="90"/>
    <n v="0.68181818181818177"/>
    <n v="11"/>
    <n v="139.48639455782313"/>
  </r>
  <r>
    <n v="899"/>
    <d v="2023-10-26T00:00:00"/>
    <x v="9"/>
    <d v="1900-01-05T00:00:00"/>
    <x v="3"/>
    <s v="No"/>
    <s v="No"/>
    <s v="None"/>
    <x v="0"/>
    <x v="4"/>
    <n v="20"/>
    <n v="220"/>
    <n v="10"/>
    <n v="210"/>
    <n v="0.95454545454545459"/>
    <n v="11"/>
    <n v="138.63103448275862"/>
  </r>
  <r>
    <n v="900"/>
    <d v="2023-10-26T00:00:00"/>
    <x v="9"/>
    <d v="1900-01-05T00:00:00"/>
    <x v="3"/>
    <s v="No"/>
    <s v="No"/>
    <s v="None"/>
    <x v="1"/>
    <x v="2"/>
    <n v="9"/>
    <n v="99"/>
    <n v="16"/>
    <n v="83"/>
    <n v="0.83838383838383834"/>
    <n v="11"/>
    <n v="138.63103448275862"/>
  </r>
  <r>
    <n v="901"/>
    <d v="2023-10-26T00:00:00"/>
    <x v="9"/>
    <d v="1900-01-05T00:00:00"/>
    <x v="3"/>
    <s v="No"/>
    <s v="No"/>
    <s v="None"/>
    <x v="2"/>
    <x v="2"/>
    <n v="8"/>
    <n v="88"/>
    <n v="8"/>
    <n v="80"/>
    <n v="0.90909090909090906"/>
    <n v="11"/>
    <n v="138.63103448275862"/>
  </r>
  <r>
    <n v="902"/>
    <d v="2023-10-26T00:00:00"/>
    <x v="9"/>
    <d v="1900-01-05T00:00:00"/>
    <x v="3"/>
    <s v="No"/>
    <s v="No"/>
    <s v="None"/>
    <x v="3"/>
    <x v="3"/>
    <n v="17"/>
    <n v="187"/>
    <n v="6"/>
    <n v="181"/>
    <n v="0.96791443850267378"/>
    <n v="11"/>
    <n v="138.63103448275862"/>
  </r>
  <r>
    <n v="903"/>
    <d v="2023-10-27T00:00:00"/>
    <x v="9"/>
    <d v="1900-01-06T00:00:00"/>
    <x v="3"/>
    <s v="No"/>
    <s v="No"/>
    <s v="None"/>
    <x v="0"/>
    <x v="1"/>
    <n v="19"/>
    <n v="209"/>
    <n v="11"/>
    <n v="198"/>
    <n v="0.94736842105263153"/>
    <n v="11"/>
    <n v="137.83916083916083"/>
  </r>
  <r>
    <n v="904"/>
    <d v="2023-10-29T00:00:00"/>
    <x v="9"/>
    <d v="1900-01-01T00:00:00"/>
    <x v="3"/>
    <s v="No"/>
    <s v="No"/>
    <s v="None"/>
    <x v="0"/>
    <x v="4"/>
    <n v="19"/>
    <n v="209"/>
    <n v="25"/>
    <n v="184"/>
    <n v="0.88038277511961727"/>
    <n v="11"/>
    <n v="135.71582733812949"/>
  </r>
  <r>
    <n v="905"/>
    <d v="2023-10-29T00:00:00"/>
    <x v="9"/>
    <d v="1900-01-01T00:00:00"/>
    <x v="3"/>
    <s v="No"/>
    <s v="No"/>
    <s v="None"/>
    <x v="1"/>
    <x v="5"/>
    <n v="8"/>
    <n v="88"/>
    <n v="13"/>
    <n v="75"/>
    <n v="0.85227272727272729"/>
    <n v="11"/>
    <n v="135.71582733812949"/>
  </r>
  <r>
    <n v="906"/>
    <d v="2023-10-29T00:00:00"/>
    <x v="9"/>
    <d v="1900-01-01T00:00:00"/>
    <x v="3"/>
    <s v="No"/>
    <s v="No"/>
    <s v="None"/>
    <x v="2"/>
    <x v="5"/>
    <n v="8"/>
    <n v="88"/>
    <n v="8"/>
    <n v="80"/>
    <n v="0.90909090909090906"/>
    <n v="11"/>
    <n v="135.71582733812949"/>
  </r>
  <r>
    <n v="907"/>
    <d v="2023-10-29T00:00:00"/>
    <x v="9"/>
    <d v="1900-01-01T00:00:00"/>
    <x v="3"/>
    <s v="No"/>
    <s v="No"/>
    <s v="None"/>
    <x v="3"/>
    <x v="5"/>
    <n v="15"/>
    <n v="165"/>
    <n v="14"/>
    <n v="151"/>
    <n v="0.91515151515151516"/>
    <n v="11"/>
    <n v="135.71582733812949"/>
  </r>
  <r>
    <n v="908"/>
    <d v="2023-10-30T00:00:00"/>
    <x v="9"/>
    <d v="1900-01-02T00:00:00"/>
    <x v="3"/>
    <s v="No"/>
    <s v="No"/>
    <s v="None"/>
    <x v="0"/>
    <x v="1"/>
    <n v="19"/>
    <n v="209"/>
    <n v="48"/>
    <n v="161"/>
    <n v="0.77033492822966509"/>
    <n v="11"/>
    <n v="135.43682310469313"/>
  </r>
  <r>
    <n v="909"/>
    <d v="2023-10-30T00:00:00"/>
    <x v="9"/>
    <d v="1900-01-02T00:00:00"/>
    <x v="3"/>
    <s v="No"/>
    <s v="No"/>
    <s v="None"/>
    <x v="1"/>
    <x v="1"/>
    <n v="13"/>
    <n v="143"/>
    <n v="7"/>
    <n v="136"/>
    <n v="0.95104895104895104"/>
    <n v="11"/>
    <n v="135.43682310469313"/>
  </r>
  <r>
    <n v="910"/>
    <d v="2023-10-30T00:00:00"/>
    <x v="9"/>
    <d v="1900-01-02T00:00:00"/>
    <x v="3"/>
    <s v="No"/>
    <s v="No"/>
    <s v="None"/>
    <x v="2"/>
    <x v="2"/>
    <n v="5"/>
    <n v="55"/>
    <n v="47"/>
    <n v="8"/>
    <n v="0.14545454545454545"/>
    <n v="11"/>
    <n v="135.43682310469313"/>
  </r>
  <r>
    <n v="911"/>
    <d v="2023-10-30T00:00:00"/>
    <x v="9"/>
    <d v="1900-01-02T00:00:00"/>
    <x v="3"/>
    <s v="No"/>
    <s v="No"/>
    <s v="None"/>
    <x v="3"/>
    <x v="3"/>
    <n v="12"/>
    <n v="132"/>
    <n v="39"/>
    <n v="93"/>
    <n v="0.70454545454545459"/>
    <n v="11"/>
    <n v="135.43682310469313"/>
  </r>
  <r>
    <n v="912"/>
    <d v="2023-10-31T00:00:00"/>
    <x v="9"/>
    <d v="1900-01-03T00:00:00"/>
    <x v="3"/>
    <s v="No"/>
    <s v="No"/>
    <s v="None"/>
    <x v="0"/>
    <x v="4"/>
    <n v="17"/>
    <n v="187"/>
    <n v="43"/>
    <n v="144"/>
    <n v="0.77005347593582885"/>
    <n v="11"/>
    <n v="135.43682310469313"/>
  </r>
  <r>
    <n v="913"/>
    <d v="2023-10-31T00:00:00"/>
    <x v="9"/>
    <d v="1900-01-03T00:00:00"/>
    <x v="3"/>
    <s v="No"/>
    <s v="No"/>
    <s v="None"/>
    <x v="1"/>
    <x v="5"/>
    <n v="8"/>
    <n v="88"/>
    <n v="38"/>
    <n v="50"/>
    <n v="0.56818181818181823"/>
    <n v="11"/>
    <n v="135.43682310469313"/>
  </r>
  <r>
    <n v="914"/>
    <d v="2023-10-31T00:00:00"/>
    <x v="9"/>
    <d v="1900-01-03T00:00:00"/>
    <x v="3"/>
    <s v="No"/>
    <s v="No"/>
    <s v="None"/>
    <x v="2"/>
    <x v="5"/>
    <n v="5"/>
    <n v="55"/>
    <n v="12"/>
    <n v="43"/>
    <n v="0.78181818181818186"/>
    <n v="11"/>
    <n v="135.43682310469313"/>
  </r>
  <r>
    <n v="915"/>
    <d v="2023-10-31T00:00:00"/>
    <x v="9"/>
    <d v="1900-01-03T00:00:00"/>
    <x v="3"/>
    <s v="No"/>
    <s v="No"/>
    <s v="None"/>
    <x v="3"/>
    <x v="5"/>
    <n v="10"/>
    <n v="110"/>
    <n v="27"/>
    <n v="83"/>
    <n v="0.75454545454545452"/>
    <n v="11"/>
    <n v="135.43682310469313"/>
  </r>
  <r>
    <n v="916"/>
    <d v="2023-11-01T00:00:00"/>
    <x v="10"/>
    <d v="1900-01-04T00:00:00"/>
    <x v="3"/>
    <s v="No"/>
    <s v="No"/>
    <s v="None"/>
    <x v="0"/>
    <x v="1"/>
    <n v="17"/>
    <n v="187"/>
    <n v="38"/>
    <n v="149"/>
    <n v="0.79679144385026734"/>
    <n v="11"/>
    <n v="135.16483516483515"/>
  </r>
  <r>
    <n v="917"/>
    <d v="2023-11-01T00:00:00"/>
    <x v="10"/>
    <d v="1900-01-04T00:00:00"/>
    <x v="3"/>
    <s v="No"/>
    <s v="No"/>
    <s v="None"/>
    <x v="1"/>
    <x v="1"/>
    <n v="9"/>
    <n v="99"/>
    <n v="15"/>
    <n v="84"/>
    <n v="0.84848484848484851"/>
    <n v="11"/>
    <n v="135.16483516483515"/>
  </r>
  <r>
    <n v="918"/>
    <d v="2023-11-01T00:00:00"/>
    <x v="10"/>
    <d v="1900-01-04T00:00:00"/>
    <x v="3"/>
    <s v="No"/>
    <s v="No"/>
    <s v="None"/>
    <x v="2"/>
    <x v="2"/>
    <n v="5"/>
    <n v="55"/>
    <n v="38"/>
    <n v="17"/>
    <n v="0.30909090909090908"/>
    <n v="11"/>
    <n v="135.16483516483515"/>
  </r>
  <r>
    <n v="919"/>
    <d v="2023-11-01T00:00:00"/>
    <x v="10"/>
    <d v="1900-01-04T00:00:00"/>
    <x v="3"/>
    <s v="No"/>
    <s v="No"/>
    <s v="None"/>
    <x v="3"/>
    <x v="3"/>
    <n v="10"/>
    <n v="110"/>
    <n v="33"/>
    <n v="77"/>
    <n v="0.7"/>
    <n v="11"/>
    <n v="135.16483516483515"/>
  </r>
  <r>
    <n v="920"/>
    <d v="2023-11-02T00:00:00"/>
    <x v="10"/>
    <d v="1900-01-05T00:00:00"/>
    <x v="3"/>
    <s v="No"/>
    <s v="No"/>
    <s v="None"/>
    <x v="0"/>
    <x v="4"/>
    <n v="24"/>
    <n v="264"/>
    <n v="25"/>
    <n v="239"/>
    <n v="0.90530303030303028"/>
    <n v="11"/>
    <n v="135.37546468401487"/>
  </r>
  <r>
    <n v="921"/>
    <d v="2023-11-02T00:00:00"/>
    <x v="10"/>
    <d v="1900-01-05T00:00:00"/>
    <x v="3"/>
    <s v="No"/>
    <s v="No"/>
    <s v="None"/>
    <x v="1"/>
    <x v="2"/>
    <n v="11"/>
    <n v="121"/>
    <n v="14"/>
    <n v="107"/>
    <n v="0.88429752066115708"/>
    <n v="11"/>
    <n v="135.37546468401487"/>
  </r>
  <r>
    <n v="922"/>
    <d v="2023-11-02T00:00:00"/>
    <x v="10"/>
    <d v="1900-01-05T00:00:00"/>
    <x v="3"/>
    <s v="No"/>
    <s v="No"/>
    <s v="None"/>
    <x v="2"/>
    <x v="2"/>
    <n v="8"/>
    <n v="88"/>
    <n v="24"/>
    <n v="64"/>
    <n v="0.72727272727272729"/>
    <n v="11"/>
    <n v="135.37546468401487"/>
  </r>
  <r>
    <n v="923"/>
    <d v="2023-11-02T00:00:00"/>
    <x v="10"/>
    <d v="1900-01-05T00:00:00"/>
    <x v="3"/>
    <s v="No"/>
    <s v="No"/>
    <s v="None"/>
    <x v="3"/>
    <x v="3"/>
    <n v="15"/>
    <n v="165"/>
    <n v="23"/>
    <n v="142"/>
    <n v="0.8606060606060606"/>
    <n v="11"/>
    <n v="135.37546468401487"/>
  </r>
  <r>
    <n v="924"/>
    <d v="2023-11-03T00:00:00"/>
    <x v="10"/>
    <d v="1900-01-06T00:00:00"/>
    <x v="3"/>
    <s v="No"/>
    <s v="No"/>
    <s v="None"/>
    <x v="0"/>
    <x v="1"/>
    <n v="22"/>
    <n v="242"/>
    <n v="40"/>
    <n v="202"/>
    <n v="0.83471074380165289"/>
    <n v="11"/>
    <n v="136.00754716981132"/>
  </r>
  <r>
    <n v="925"/>
    <d v="2023-11-05T00:00:00"/>
    <x v="10"/>
    <d v="1900-01-01T00:00:00"/>
    <x v="3"/>
    <s v="No"/>
    <s v="No"/>
    <s v="None"/>
    <x v="0"/>
    <x v="4"/>
    <n v="22"/>
    <n v="242"/>
    <n v="22"/>
    <n v="220"/>
    <n v="0.90909090909090906"/>
    <n v="11"/>
    <n v="135.9182879377432"/>
  </r>
  <r>
    <n v="926"/>
    <d v="2023-11-05T00:00:00"/>
    <x v="10"/>
    <d v="1900-01-01T00:00:00"/>
    <x v="3"/>
    <s v="No"/>
    <s v="No"/>
    <s v="None"/>
    <x v="1"/>
    <x v="5"/>
    <n v="11"/>
    <n v="121"/>
    <n v="4"/>
    <n v="117"/>
    <n v="0.96694214876033058"/>
    <n v="11"/>
    <n v="135.9182879377432"/>
  </r>
  <r>
    <n v="927"/>
    <d v="2023-11-05T00:00:00"/>
    <x v="10"/>
    <d v="1900-01-01T00:00:00"/>
    <x v="3"/>
    <s v="No"/>
    <s v="No"/>
    <s v="None"/>
    <x v="2"/>
    <x v="5"/>
    <n v="9"/>
    <n v="99"/>
    <n v="8"/>
    <n v="91"/>
    <n v="0.91919191919191923"/>
    <n v="11"/>
    <n v="135.9182879377432"/>
  </r>
  <r>
    <n v="928"/>
    <d v="2023-11-05T00:00:00"/>
    <x v="10"/>
    <d v="1900-01-01T00:00:00"/>
    <x v="3"/>
    <s v="No"/>
    <s v="No"/>
    <s v="None"/>
    <x v="3"/>
    <x v="5"/>
    <n v="16"/>
    <n v="176"/>
    <n v="29"/>
    <n v="147"/>
    <n v="0.83522727272727271"/>
    <n v="11"/>
    <n v="135.9182879377432"/>
  </r>
  <r>
    <n v="929"/>
    <d v="2023-11-06T00:00:00"/>
    <x v="10"/>
    <d v="1900-01-02T00:00:00"/>
    <x v="3"/>
    <s v="No"/>
    <s v="No"/>
    <s v="None"/>
    <x v="0"/>
    <x v="1"/>
    <n v="15"/>
    <n v="165"/>
    <n v="13"/>
    <n v="152"/>
    <n v="0.92121212121212126"/>
    <n v="11"/>
    <n v="135.50390625"/>
  </r>
  <r>
    <n v="930"/>
    <d v="2023-11-06T00:00:00"/>
    <x v="10"/>
    <d v="1900-01-02T00:00:00"/>
    <x v="3"/>
    <s v="No"/>
    <s v="No"/>
    <s v="None"/>
    <x v="1"/>
    <x v="1"/>
    <n v="13"/>
    <n v="143"/>
    <n v="32"/>
    <n v="111"/>
    <n v="0.77622377622377625"/>
    <n v="11"/>
    <n v="135.50390625"/>
  </r>
  <r>
    <n v="931"/>
    <d v="2023-11-06T00:00:00"/>
    <x v="10"/>
    <d v="1900-01-02T00:00:00"/>
    <x v="3"/>
    <s v="No"/>
    <s v="No"/>
    <s v="None"/>
    <x v="2"/>
    <x v="2"/>
    <n v="5"/>
    <n v="55"/>
    <n v="24"/>
    <n v="31"/>
    <n v="0.5636363636363636"/>
    <n v="11"/>
    <n v="135.50390625"/>
  </r>
  <r>
    <n v="932"/>
    <d v="2023-11-06T00:00:00"/>
    <x v="10"/>
    <d v="1900-01-02T00:00:00"/>
    <x v="3"/>
    <s v="No"/>
    <s v="No"/>
    <s v="None"/>
    <x v="3"/>
    <x v="3"/>
    <n v="12"/>
    <n v="132"/>
    <n v="44"/>
    <n v="88"/>
    <n v="0.66666666666666663"/>
    <n v="11"/>
    <n v="135.50390625"/>
  </r>
  <r>
    <n v="933"/>
    <d v="2023-11-07T00:00:00"/>
    <x v="10"/>
    <d v="1900-01-03T00:00:00"/>
    <x v="3"/>
    <s v="No"/>
    <s v="No"/>
    <s v="None"/>
    <x v="0"/>
    <x v="4"/>
    <n v="17"/>
    <n v="187"/>
    <n v="14"/>
    <n v="173"/>
    <n v="0.92513368983957223"/>
    <n v="11"/>
    <n v="135.50390625"/>
  </r>
  <r>
    <n v="934"/>
    <d v="2023-11-07T00:00:00"/>
    <x v="10"/>
    <d v="1900-01-03T00:00:00"/>
    <x v="3"/>
    <s v="No"/>
    <s v="No"/>
    <s v="None"/>
    <x v="1"/>
    <x v="5"/>
    <n v="7"/>
    <n v="77"/>
    <n v="45"/>
    <n v="32"/>
    <n v="0.41558441558441561"/>
    <n v="11"/>
    <n v="135.50390625"/>
  </r>
  <r>
    <n v="935"/>
    <d v="2023-11-07T00:00:00"/>
    <x v="10"/>
    <d v="1900-01-03T00:00:00"/>
    <x v="3"/>
    <s v="No"/>
    <s v="No"/>
    <s v="None"/>
    <x v="2"/>
    <x v="5"/>
    <n v="5"/>
    <n v="55"/>
    <n v="26"/>
    <n v="29"/>
    <n v="0.52727272727272723"/>
    <n v="11"/>
    <n v="135.50390625"/>
  </r>
  <r>
    <n v="936"/>
    <d v="2023-11-07T00:00:00"/>
    <x v="10"/>
    <d v="1900-01-03T00:00:00"/>
    <x v="3"/>
    <s v="No"/>
    <s v="No"/>
    <s v="None"/>
    <x v="3"/>
    <x v="5"/>
    <n v="12"/>
    <n v="132"/>
    <n v="42"/>
    <n v="90"/>
    <n v="0.68181818181818177"/>
    <n v="11"/>
    <n v="135.50390625"/>
  </r>
  <r>
    <n v="937"/>
    <d v="2023-11-08T00:00:00"/>
    <x v="10"/>
    <d v="1900-01-04T00:00:00"/>
    <x v="3"/>
    <s v="No"/>
    <s v="No"/>
    <s v="None"/>
    <x v="0"/>
    <x v="1"/>
    <n v="16"/>
    <n v="176"/>
    <n v="47"/>
    <n v="129"/>
    <n v="0.73295454545454541"/>
    <n v="11"/>
    <n v="135.51587301587301"/>
  </r>
  <r>
    <n v="938"/>
    <d v="2023-11-08T00:00:00"/>
    <x v="10"/>
    <d v="1900-01-04T00:00:00"/>
    <x v="3"/>
    <s v="No"/>
    <s v="No"/>
    <s v="None"/>
    <x v="1"/>
    <x v="1"/>
    <n v="9"/>
    <n v="99"/>
    <n v="9"/>
    <n v="90"/>
    <n v="0.90909090909090906"/>
    <n v="11"/>
    <n v="135.51587301587301"/>
  </r>
  <r>
    <n v="939"/>
    <d v="2023-11-08T00:00:00"/>
    <x v="10"/>
    <d v="1900-01-04T00:00:00"/>
    <x v="3"/>
    <s v="No"/>
    <s v="No"/>
    <s v="None"/>
    <x v="2"/>
    <x v="2"/>
    <n v="5"/>
    <n v="55"/>
    <n v="19"/>
    <n v="36"/>
    <n v="0.65454545454545454"/>
    <n v="11"/>
    <n v="135.51587301587301"/>
  </r>
  <r>
    <n v="940"/>
    <d v="2023-11-08T00:00:00"/>
    <x v="10"/>
    <d v="1900-01-04T00:00:00"/>
    <x v="3"/>
    <s v="No"/>
    <s v="No"/>
    <s v="None"/>
    <x v="3"/>
    <x v="3"/>
    <n v="11"/>
    <n v="121"/>
    <n v="7"/>
    <n v="114"/>
    <n v="0.94214876033057848"/>
    <n v="11"/>
    <n v="135.51587301587301"/>
  </r>
  <r>
    <n v="941"/>
    <d v="2023-11-09T00:00:00"/>
    <x v="10"/>
    <d v="1900-01-05T00:00:00"/>
    <x v="3"/>
    <s v="No"/>
    <s v="No"/>
    <s v="None"/>
    <x v="0"/>
    <x v="4"/>
    <n v="20"/>
    <n v="220"/>
    <n v="47"/>
    <n v="173"/>
    <n v="0.78636363636363638"/>
    <n v="11"/>
    <n v="135.75"/>
  </r>
  <r>
    <n v="942"/>
    <d v="2023-11-09T00:00:00"/>
    <x v="10"/>
    <d v="1900-01-05T00:00:00"/>
    <x v="3"/>
    <s v="No"/>
    <s v="No"/>
    <s v="None"/>
    <x v="1"/>
    <x v="2"/>
    <n v="11"/>
    <n v="121"/>
    <n v="12"/>
    <n v="109"/>
    <n v="0.90082644628099173"/>
    <n v="11"/>
    <n v="135.75"/>
  </r>
  <r>
    <n v="943"/>
    <d v="2023-11-09T00:00:00"/>
    <x v="10"/>
    <d v="1900-01-05T00:00:00"/>
    <x v="3"/>
    <s v="No"/>
    <s v="No"/>
    <s v="None"/>
    <x v="2"/>
    <x v="2"/>
    <n v="10"/>
    <n v="110"/>
    <n v="49"/>
    <n v="61"/>
    <n v="0.55454545454545456"/>
    <n v="11"/>
    <n v="135.75"/>
  </r>
  <r>
    <n v="944"/>
    <d v="2023-11-09T00:00:00"/>
    <x v="10"/>
    <d v="1900-01-05T00:00:00"/>
    <x v="3"/>
    <s v="No"/>
    <s v="No"/>
    <s v="None"/>
    <x v="3"/>
    <x v="3"/>
    <n v="17"/>
    <n v="187"/>
    <n v="22"/>
    <n v="165"/>
    <n v="0.88235294117647056"/>
    <n v="11"/>
    <n v="135.75"/>
  </r>
  <r>
    <n v="945"/>
    <d v="2023-11-10T00:00:00"/>
    <x v="10"/>
    <d v="1900-01-06T00:00:00"/>
    <x v="3"/>
    <s v="No"/>
    <s v="No"/>
    <s v="None"/>
    <x v="0"/>
    <x v="1"/>
    <n v="21"/>
    <n v="231"/>
    <n v="2"/>
    <n v="229"/>
    <n v="0.9913419913419913"/>
    <n v="11"/>
    <n v="136.44262295081967"/>
  </r>
  <r>
    <n v="946"/>
    <d v="2023-11-12T00:00:00"/>
    <x v="10"/>
    <d v="1900-01-01T00:00:00"/>
    <x v="3"/>
    <s v="Yes"/>
    <s v="No"/>
    <s v="Veterans Day Observed"/>
    <x v="0"/>
    <x v="0"/>
    <n v="0"/>
    <n v="0"/>
    <n v="10"/>
    <n v="-10"/>
    <n v="0"/>
    <n v="0"/>
    <n v="136.12711864406779"/>
  </r>
  <r>
    <n v="947"/>
    <d v="2023-11-12T00:00:00"/>
    <x v="10"/>
    <d v="1900-01-01T00:00:00"/>
    <x v="3"/>
    <s v="Yes"/>
    <s v="No"/>
    <s v="Veterans Day Observed"/>
    <x v="1"/>
    <x v="0"/>
    <n v="0"/>
    <n v="0"/>
    <n v="10"/>
    <n v="-10"/>
    <n v="0"/>
    <n v="0"/>
    <n v="136.12711864406779"/>
  </r>
  <r>
    <n v="948"/>
    <d v="2023-11-12T00:00:00"/>
    <x v="10"/>
    <d v="1900-01-01T00:00:00"/>
    <x v="3"/>
    <s v="Yes"/>
    <s v="No"/>
    <s v="Veterans Day Observed"/>
    <x v="2"/>
    <x v="0"/>
    <n v="0"/>
    <n v="0"/>
    <n v="10"/>
    <n v="-10"/>
    <n v="0"/>
    <n v="0"/>
    <n v="136.12711864406779"/>
  </r>
  <r>
    <n v="949"/>
    <d v="2023-11-12T00:00:00"/>
    <x v="10"/>
    <d v="1900-01-01T00:00:00"/>
    <x v="3"/>
    <s v="Yes"/>
    <s v="No"/>
    <s v="Veterans Day Observed"/>
    <x v="3"/>
    <x v="0"/>
    <n v="0"/>
    <n v="0"/>
    <n v="10"/>
    <n v="-10"/>
    <n v="0"/>
    <n v="0"/>
    <n v="136.12711864406779"/>
  </r>
  <r>
    <n v="950"/>
    <d v="2023-11-13T00:00:00"/>
    <x v="10"/>
    <d v="1900-01-02T00:00:00"/>
    <x v="3"/>
    <s v="No"/>
    <s v="No"/>
    <s v="None"/>
    <x v="0"/>
    <x v="1"/>
    <n v="15"/>
    <n v="165"/>
    <n v="31"/>
    <n v="134"/>
    <n v="0.81212121212121213"/>
    <n v="11"/>
    <n v="135.77021276595744"/>
  </r>
  <r>
    <n v="951"/>
    <d v="2023-11-13T00:00:00"/>
    <x v="10"/>
    <d v="1900-01-02T00:00:00"/>
    <x v="3"/>
    <s v="No"/>
    <s v="No"/>
    <s v="None"/>
    <x v="1"/>
    <x v="1"/>
    <n v="8"/>
    <n v="88"/>
    <n v="9"/>
    <n v="79"/>
    <n v="0.89772727272727271"/>
    <n v="11"/>
    <n v="135.77021276595744"/>
  </r>
  <r>
    <n v="952"/>
    <d v="2023-11-13T00:00:00"/>
    <x v="10"/>
    <d v="1900-01-02T00:00:00"/>
    <x v="3"/>
    <s v="No"/>
    <s v="No"/>
    <s v="None"/>
    <x v="2"/>
    <x v="2"/>
    <n v="5"/>
    <n v="55"/>
    <n v="17"/>
    <n v="38"/>
    <n v="0.69090909090909092"/>
    <n v="11"/>
    <n v="135.77021276595744"/>
  </r>
  <r>
    <n v="953"/>
    <d v="2023-11-13T00:00:00"/>
    <x v="10"/>
    <d v="1900-01-02T00:00:00"/>
    <x v="3"/>
    <s v="No"/>
    <s v="No"/>
    <s v="None"/>
    <x v="3"/>
    <x v="3"/>
    <n v="13"/>
    <n v="143"/>
    <n v="5"/>
    <n v="138"/>
    <n v="0.965034965034965"/>
    <n v="11"/>
    <n v="135.77021276595744"/>
  </r>
  <r>
    <n v="954"/>
    <d v="2023-11-14T00:00:00"/>
    <x v="10"/>
    <d v="1900-01-03T00:00:00"/>
    <x v="3"/>
    <s v="No"/>
    <s v="No"/>
    <s v="None"/>
    <x v="0"/>
    <x v="4"/>
    <n v="17"/>
    <n v="187"/>
    <n v="49"/>
    <n v="138"/>
    <n v="0.73796791443850263"/>
    <n v="11"/>
    <n v="135.77021276595744"/>
  </r>
  <r>
    <n v="955"/>
    <d v="2023-11-14T00:00:00"/>
    <x v="10"/>
    <d v="1900-01-03T00:00:00"/>
    <x v="3"/>
    <s v="No"/>
    <s v="No"/>
    <s v="None"/>
    <x v="1"/>
    <x v="5"/>
    <n v="6"/>
    <n v="66"/>
    <n v="35"/>
    <n v="31"/>
    <n v="0.46969696969696972"/>
    <n v="11"/>
    <n v="135.77021276595744"/>
  </r>
  <r>
    <n v="956"/>
    <d v="2023-11-14T00:00:00"/>
    <x v="10"/>
    <d v="1900-01-03T00:00:00"/>
    <x v="3"/>
    <s v="No"/>
    <s v="No"/>
    <s v="None"/>
    <x v="2"/>
    <x v="5"/>
    <n v="5"/>
    <n v="55"/>
    <n v="48"/>
    <n v="7"/>
    <n v="0.12727272727272726"/>
    <n v="11"/>
    <n v="135.77021276595744"/>
  </r>
  <r>
    <n v="957"/>
    <d v="2023-11-14T00:00:00"/>
    <x v="10"/>
    <d v="1900-01-03T00:00:00"/>
    <x v="3"/>
    <s v="No"/>
    <s v="No"/>
    <s v="None"/>
    <x v="3"/>
    <x v="5"/>
    <n v="12"/>
    <n v="132"/>
    <n v="30"/>
    <n v="102"/>
    <n v="0.77272727272727271"/>
    <n v="11"/>
    <n v="135.77021276595744"/>
  </r>
  <r>
    <n v="958"/>
    <d v="2023-11-15T00:00:00"/>
    <x v="10"/>
    <d v="1900-01-04T00:00:00"/>
    <x v="3"/>
    <s v="No"/>
    <s v="No"/>
    <s v="None"/>
    <x v="0"/>
    <x v="1"/>
    <n v="15"/>
    <n v="165"/>
    <n v="11"/>
    <n v="154"/>
    <n v="0.93333333333333335"/>
    <n v="11"/>
    <n v="135.54978354978354"/>
  </r>
  <r>
    <n v="959"/>
    <d v="2023-11-15T00:00:00"/>
    <x v="10"/>
    <d v="1900-01-04T00:00:00"/>
    <x v="3"/>
    <s v="No"/>
    <s v="No"/>
    <s v="None"/>
    <x v="1"/>
    <x v="1"/>
    <n v="11"/>
    <n v="121"/>
    <n v="28"/>
    <n v="93"/>
    <n v="0.76859504132231404"/>
    <n v="11"/>
    <n v="135.54978354978354"/>
  </r>
  <r>
    <n v="960"/>
    <d v="2023-11-15T00:00:00"/>
    <x v="10"/>
    <d v="1900-01-04T00:00:00"/>
    <x v="3"/>
    <s v="No"/>
    <s v="No"/>
    <s v="None"/>
    <x v="2"/>
    <x v="2"/>
    <n v="5"/>
    <n v="55"/>
    <n v="49"/>
    <n v="6"/>
    <n v="0.10909090909090909"/>
    <n v="11"/>
    <n v="135.54978354978354"/>
  </r>
  <r>
    <n v="961"/>
    <d v="2023-11-15T00:00:00"/>
    <x v="10"/>
    <d v="1900-01-04T00:00:00"/>
    <x v="3"/>
    <s v="No"/>
    <s v="No"/>
    <s v="None"/>
    <x v="3"/>
    <x v="3"/>
    <n v="11"/>
    <n v="121"/>
    <n v="18"/>
    <n v="103"/>
    <n v="0.85123966942148765"/>
    <n v="11"/>
    <n v="135.54978354978354"/>
  </r>
  <r>
    <n v="962"/>
    <d v="2023-11-16T00:00:00"/>
    <x v="10"/>
    <d v="1900-01-05T00:00:00"/>
    <x v="3"/>
    <s v="No"/>
    <s v="No"/>
    <s v="None"/>
    <x v="0"/>
    <x v="4"/>
    <n v="21"/>
    <n v="231"/>
    <n v="27"/>
    <n v="204"/>
    <n v="0.88311688311688308"/>
    <n v="11"/>
    <n v="135.85462555066078"/>
  </r>
  <r>
    <n v="963"/>
    <d v="2023-11-16T00:00:00"/>
    <x v="10"/>
    <d v="1900-01-05T00:00:00"/>
    <x v="3"/>
    <s v="No"/>
    <s v="No"/>
    <s v="None"/>
    <x v="1"/>
    <x v="2"/>
    <n v="9"/>
    <n v="99"/>
    <n v="41"/>
    <n v="58"/>
    <n v="0.58585858585858586"/>
    <n v="11"/>
    <n v="135.85462555066078"/>
  </r>
  <r>
    <n v="964"/>
    <d v="2023-11-16T00:00:00"/>
    <x v="10"/>
    <d v="1900-01-05T00:00:00"/>
    <x v="3"/>
    <s v="No"/>
    <s v="No"/>
    <s v="None"/>
    <x v="2"/>
    <x v="2"/>
    <n v="9"/>
    <n v="99"/>
    <n v="46"/>
    <n v="53"/>
    <n v="0.53535353535353536"/>
    <n v="11"/>
    <n v="135.85462555066078"/>
  </r>
  <r>
    <n v="965"/>
    <d v="2023-11-16T00:00:00"/>
    <x v="10"/>
    <d v="1900-01-05T00:00:00"/>
    <x v="3"/>
    <s v="No"/>
    <s v="No"/>
    <s v="None"/>
    <x v="3"/>
    <x v="3"/>
    <n v="19"/>
    <n v="209"/>
    <n v="24"/>
    <n v="185"/>
    <n v="0.88516746411483249"/>
    <n v="11"/>
    <n v="135.85462555066078"/>
  </r>
  <r>
    <n v="966"/>
    <d v="2023-11-17T00:00:00"/>
    <x v="10"/>
    <d v="1900-01-06T00:00:00"/>
    <x v="3"/>
    <s v="No"/>
    <s v="No"/>
    <s v="None"/>
    <x v="0"/>
    <x v="1"/>
    <n v="20"/>
    <n v="220"/>
    <n v="48"/>
    <n v="172"/>
    <n v="0.78181818181818186"/>
    <n v="11"/>
    <n v="136.4170403587444"/>
  </r>
  <r>
    <n v="967"/>
    <d v="2023-11-19T00:00:00"/>
    <x v="10"/>
    <d v="1900-01-01T00:00:00"/>
    <x v="3"/>
    <s v="No"/>
    <s v="No"/>
    <s v="None"/>
    <x v="0"/>
    <x v="4"/>
    <n v="19"/>
    <n v="209"/>
    <n v="12"/>
    <n v="197"/>
    <n v="0.9425837320574163"/>
    <n v="11"/>
    <n v="136.2232558139535"/>
  </r>
  <r>
    <n v="968"/>
    <d v="2023-11-19T00:00:00"/>
    <x v="10"/>
    <d v="1900-01-01T00:00:00"/>
    <x v="3"/>
    <s v="No"/>
    <s v="No"/>
    <s v="None"/>
    <x v="1"/>
    <x v="5"/>
    <n v="11"/>
    <n v="121"/>
    <n v="22"/>
    <n v="99"/>
    <n v="0.81818181818181823"/>
    <n v="11"/>
    <n v="136.2232558139535"/>
  </r>
  <r>
    <n v="969"/>
    <d v="2023-11-19T00:00:00"/>
    <x v="10"/>
    <d v="1900-01-01T00:00:00"/>
    <x v="3"/>
    <s v="No"/>
    <s v="No"/>
    <s v="None"/>
    <x v="2"/>
    <x v="5"/>
    <n v="8"/>
    <n v="88"/>
    <n v="33"/>
    <n v="55"/>
    <n v="0.625"/>
    <n v="11"/>
    <n v="136.2232558139535"/>
  </r>
  <r>
    <n v="970"/>
    <d v="2023-11-19T00:00:00"/>
    <x v="10"/>
    <d v="1900-01-01T00:00:00"/>
    <x v="3"/>
    <s v="No"/>
    <s v="No"/>
    <s v="None"/>
    <x v="3"/>
    <x v="5"/>
    <n v="13"/>
    <n v="143"/>
    <n v="2"/>
    <n v="141"/>
    <n v="0.98601398601398604"/>
    <n v="11"/>
    <n v="136.2232558139535"/>
  </r>
  <r>
    <n v="971"/>
    <d v="2023-11-20T00:00:00"/>
    <x v="10"/>
    <d v="1900-01-02T00:00:00"/>
    <x v="3"/>
    <s v="No"/>
    <s v="No"/>
    <s v="None"/>
    <x v="0"/>
    <x v="1"/>
    <n v="18"/>
    <n v="198"/>
    <n v="33"/>
    <n v="165"/>
    <n v="0.83333333333333337"/>
    <n v="11"/>
    <n v="135.78037383177571"/>
  </r>
  <r>
    <n v="972"/>
    <d v="2023-11-20T00:00:00"/>
    <x v="10"/>
    <d v="1900-01-02T00:00:00"/>
    <x v="3"/>
    <s v="No"/>
    <s v="No"/>
    <s v="None"/>
    <x v="1"/>
    <x v="1"/>
    <n v="8"/>
    <n v="88"/>
    <n v="37"/>
    <n v="51"/>
    <n v="0.57954545454545459"/>
    <n v="11"/>
    <n v="135.78037383177571"/>
  </r>
  <r>
    <n v="973"/>
    <d v="2023-11-20T00:00:00"/>
    <x v="10"/>
    <d v="1900-01-02T00:00:00"/>
    <x v="3"/>
    <s v="No"/>
    <s v="No"/>
    <s v="None"/>
    <x v="2"/>
    <x v="2"/>
    <n v="5"/>
    <n v="55"/>
    <n v="30"/>
    <n v="25"/>
    <n v="0.45454545454545453"/>
    <n v="11"/>
    <n v="135.78037383177571"/>
  </r>
  <r>
    <n v="974"/>
    <d v="2023-11-20T00:00:00"/>
    <x v="10"/>
    <d v="1900-01-02T00:00:00"/>
    <x v="3"/>
    <s v="No"/>
    <s v="No"/>
    <s v="None"/>
    <x v="3"/>
    <x v="3"/>
    <n v="12"/>
    <n v="132"/>
    <n v="10"/>
    <n v="122"/>
    <n v="0.9242424242424242"/>
    <n v="11"/>
    <n v="135.78037383177571"/>
  </r>
  <r>
    <n v="975"/>
    <d v="2023-11-21T00:00:00"/>
    <x v="10"/>
    <d v="1900-01-03T00:00:00"/>
    <x v="3"/>
    <s v="No"/>
    <s v="No"/>
    <s v="None"/>
    <x v="0"/>
    <x v="4"/>
    <n v="17"/>
    <n v="187"/>
    <n v="5"/>
    <n v="182"/>
    <n v="0.9732620320855615"/>
    <n v="11"/>
    <n v="135.78037383177571"/>
  </r>
  <r>
    <n v="976"/>
    <d v="2023-11-21T00:00:00"/>
    <x v="10"/>
    <d v="1900-01-03T00:00:00"/>
    <x v="3"/>
    <s v="No"/>
    <s v="No"/>
    <s v="None"/>
    <x v="1"/>
    <x v="5"/>
    <n v="5"/>
    <n v="55"/>
    <n v="29"/>
    <n v="26"/>
    <n v="0.47272727272727272"/>
    <n v="11"/>
    <n v="135.78037383177571"/>
  </r>
  <r>
    <n v="977"/>
    <d v="2023-11-21T00:00:00"/>
    <x v="10"/>
    <d v="1900-01-03T00:00:00"/>
    <x v="3"/>
    <s v="No"/>
    <s v="No"/>
    <s v="None"/>
    <x v="2"/>
    <x v="5"/>
    <n v="5"/>
    <n v="55"/>
    <n v="39"/>
    <n v="16"/>
    <n v="0.29090909090909089"/>
    <n v="11"/>
    <n v="135.78037383177571"/>
  </r>
  <r>
    <n v="978"/>
    <d v="2023-11-21T00:00:00"/>
    <x v="10"/>
    <d v="1900-01-03T00:00:00"/>
    <x v="3"/>
    <s v="No"/>
    <s v="No"/>
    <s v="None"/>
    <x v="3"/>
    <x v="5"/>
    <n v="10"/>
    <n v="110"/>
    <n v="32"/>
    <n v="78"/>
    <n v="0.70909090909090911"/>
    <n v="11"/>
    <n v="135.78037383177571"/>
  </r>
  <r>
    <n v="979"/>
    <d v="2023-11-22T00:00:00"/>
    <x v="10"/>
    <d v="1900-01-04T00:00:00"/>
    <x v="3"/>
    <s v="Yes"/>
    <s v="No"/>
    <s v="Thanksgiving"/>
    <x v="0"/>
    <x v="0"/>
    <n v="0"/>
    <n v="0"/>
    <n v="10"/>
    <n v="-10"/>
    <n v="0"/>
    <n v="0"/>
    <n v="135.59047619047618"/>
  </r>
  <r>
    <n v="980"/>
    <d v="2023-11-22T00:00:00"/>
    <x v="10"/>
    <d v="1900-01-04T00:00:00"/>
    <x v="3"/>
    <s v="Yes"/>
    <s v="No"/>
    <s v="Thanksgiving"/>
    <x v="1"/>
    <x v="0"/>
    <n v="0"/>
    <n v="0"/>
    <n v="10"/>
    <n v="-10"/>
    <n v="0"/>
    <n v="0"/>
    <n v="135.59047619047618"/>
  </r>
  <r>
    <n v="981"/>
    <d v="2023-11-22T00:00:00"/>
    <x v="10"/>
    <d v="1900-01-04T00:00:00"/>
    <x v="3"/>
    <s v="Yes"/>
    <s v="No"/>
    <s v="Thanksgiving"/>
    <x v="2"/>
    <x v="0"/>
    <n v="0"/>
    <n v="0"/>
    <n v="10"/>
    <n v="-10"/>
    <n v="0"/>
    <n v="0"/>
    <n v="135.59047619047618"/>
  </r>
  <r>
    <n v="982"/>
    <d v="2023-11-22T00:00:00"/>
    <x v="10"/>
    <d v="1900-01-04T00:00:00"/>
    <x v="3"/>
    <s v="Yes"/>
    <s v="No"/>
    <s v="Thanksgiving"/>
    <x v="3"/>
    <x v="0"/>
    <n v="0"/>
    <n v="0"/>
    <n v="10"/>
    <n v="-10"/>
    <n v="0"/>
    <n v="0"/>
    <n v="135.59047619047618"/>
  </r>
  <r>
    <n v="983"/>
    <d v="2023-11-23T00:00:00"/>
    <x v="10"/>
    <d v="1900-01-05T00:00:00"/>
    <x v="3"/>
    <s v="No"/>
    <s v="Yes"/>
    <s v="Black Friday Promotion"/>
    <x v="0"/>
    <x v="4"/>
    <n v="23"/>
    <n v="229"/>
    <n v="34"/>
    <n v="195"/>
    <n v="0.85152838427947597"/>
    <n v="9.9565217391304355"/>
    <n v="135.82038834951456"/>
  </r>
  <r>
    <n v="984"/>
    <d v="2023-11-23T00:00:00"/>
    <x v="10"/>
    <d v="1900-01-05T00:00:00"/>
    <x v="3"/>
    <s v="No"/>
    <s v="Yes"/>
    <s v="Black Friday Promotion"/>
    <x v="1"/>
    <x v="2"/>
    <n v="26"/>
    <n v="246"/>
    <n v="1"/>
    <n v="245"/>
    <n v="0.99593495934959353"/>
    <n v="9.4615384615384617"/>
    <n v="135.82038834951456"/>
  </r>
  <r>
    <n v="985"/>
    <d v="2023-11-23T00:00:00"/>
    <x v="10"/>
    <d v="1900-01-05T00:00:00"/>
    <x v="3"/>
    <s v="No"/>
    <s v="Yes"/>
    <s v="Black Friday Promotion"/>
    <x v="2"/>
    <x v="2"/>
    <n v="23"/>
    <n v="237"/>
    <n v="7"/>
    <n v="230"/>
    <n v="0.97046413502109707"/>
    <n v="10.304347826086957"/>
    <n v="135.82038834951456"/>
  </r>
  <r>
    <n v="986"/>
    <d v="2023-11-23T00:00:00"/>
    <x v="10"/>
    <d v="1900-01-05T00:00:00"/>
    <x v="3"/>
    <s v="No"/>
    <s v="Yes"/>
    <s v="Black Friday Promotion"/>
    <x v="3"/>
    <x v="3"/>
    <n v="25"/>
    <n v="235"/>
    <n v="9"/>
    <n v="226"/>
    <n v="0.96170212765957441"/>
    <n v="9.4"/>
    <n v="135.82038834951456"/>
  </r>
  <r>
    <n v="987"/>
    <d v="2023-11-24T00:00:00"/>
    <x v="10"/>
    <d v="1900-01-06T00:00:00"/>
    <x v="3"/>
    <s v="No"/>
    <s v="Yes"/>
    <s v="Black Friday Promotion"/>
    <x v="0"/>
    <x v="1"/>
    <n v="28"/>
    <n v="244"/>
    <n v="11"/>
    <n v="233"/>
    <n v="0.95491803278688525"/>
    <n v="8.7142857142857135"/>
    <n v="136.65841584158414"/>
  </r>
  <r>
    <n v="988"/>
    <d v="2023-11-26T00:00:00"/>
    <x v="10"/>
    <d v="1900-01-01T00:00:00"/>
    <x v="3"/>
    <s v="No"/>
    <s v="Yes"/>
    <s v="Black Friday Promotion"/>
    <x v="0"/>
    <x v="4"/>
    <n v="24"/>
    <n v="232"/>
    <n v="29"/>
    <n v="203"/>
    <n v="0.875"/>
    <n v="9.6666666666666661"/>
    <n v="136.68041237113403"/>
  </r>
  <r>
    <n v="989"/>
    <d v="2023-11-26T00:00:00"/>
    <x v="10"/>
    <d v="1900-01-01T00:00:00"/>
    <x v="3"/>
    <s v="No"/>
    <s v="Yes"/>
    <s v="Black Friday Promotion"/>
    <x v="1"/>
    <x v="5"/>
    <n v="24"/>
    <n v="208"/>
    <n v="30"/>
    <n v="178"/>
    <n v="0.85576923076923073"/>
    <n v="8.6666666666666661"/>
    <n v="136.68041237113403"/>
  </r>
  <r>
    <n v="990"/>
    <d v="2023-11-26T00:00:00"/>
    <x v="10"/>
    <d v="1900-01-01T00:00:00"/>
    <x v="3"/>
    <s v="No"/>
    <s v="Yes"/>
    <s v="Black Friday Promotion"/>
    <x v="2"/>
    <x v="5"/>
    <n v="25"/>
    <n v="251"/>
    <n v="20"/>
    <n v="231"/>
    <n v="0.92031872509960155"/>
    <n v="10.039999999999999"/>
    <n v="136.68041237113403"/>
  </r>
  <r>
    <n v="991"/>
    <d v="2023-11-26T00:00:00"/>
    <x v="10"/>
    <d v="1900-01-01T00:00:00"/>
    <x v="3"/>
    <s v="No"/>
    <s v="Yes"/>
    <s v="Black Friday Promotion"/>
    <x v="3"/>
    <x v="5"/>
    <n v="22"/>
    <n v="226"/>
    <n v="14"/>
    <n v="212"/>
    <n v="0.93805309734513276"/>
    <n v="10.272727272727273"/>
    <n v="136.68041237113403"/>
  </r>
  <r>
    <n v="992"/>
    <d v="2023-11-27T00:00:00"/>
    <x v="10"/>
    <d v="1900-01-02T00:00:00"/>
    <x v="3"/>
    <s v="No"/>
    <s v="Yes"/>
    <s v="Black Friday Promotion"/>
    <x v="0"/>
    <x v="1"/>
    <n v="24"/>
    <n v="208"/>
    <n v="43"/>
    <n v="165"/>
    <n v="0.79326923076923073"/>
    <n v="8.6666666666666661"/>
    <n v="136.30569948186528"/>
  </r>
  <r>
    <n v="993"/>
    <d v="2023-11-27T00:00:00"/>
    <x v="10"/>
    <d v="1900-01-02T00:00:00"/>
    <x v="3"/>
    <s v="No"/>
    <s v="Yes"/>
    <s v="Black Friday Promotion"/>
    <x v="1"/>
    <x v="1"/>
    <n v="19"/>
    <n v="185"/>
    <n v="26"/>
    <n v="159"/>
    <n v="0.85945945945945945"/>
    <n v="9.7368421052631575"/>
    <n v="136.30569948186528"/>
  </r>
  <r>
    <n v="994"/>
    <d v="2023-11-27T00:00:00"/>
    <x v="10"/>
    <d v="1900-01-02T00:00:00"/>
    <x v="3"/>
    <s v="No"/>
    <s v="Yes"/>
    <s v="Black Friday Promotion"/>
    <x v="2"/>
    <x v="2"/>
    <n v="23"/>
    <n v="197"/>
    <n v="16"/>
    <n v="181"/>
    <n v="0.91878172588832485"/>
    <n v="8.5652173913043477"/>
    <n v="136.30569948186528"/>
  </r>
  <r>
    <n v="995"/>
    <d v="2023-11-27T00:00:00"/>
    <x v="10"/>
    <d v="1900-01-02T00:00:00"/>
    <x v="3"/>
    <s v="No"/>
    <s v="Yes"/>
    <s v="Black Friday Promotion"/>
    <x v="3"/>
    <x v="3"/>
    <n v="20"/>
    <n v="188"/>
    <n v="18"/>
    <n v="170"/>
    <n v="0.9042553191489362"/>
    <n v="9.4"/>
    <n v="136.30569948186528"/>
  </r>
  <r>
    <n v="996"/>
    <d v="2023-11-28T00:00:00"/>
    <x v="10"/>
    <d v="1900-01-03T00:00:00"/>
    <x v="3"/>
    <s v="No"/>
    <s v="Yes"/>
    <s v="Black Friday Promotion"/>
    <x v="0"/>
    <x v="4"/>
    <n v="20"/>
    <n v="180"/>
    <n v="3"/>
    <n v="177"/>
    <n v="0.98333333333333328"/>
    <n v="9"/>
    <n v="136.30569948186528"/>
  </r>
  <r>
    <n v="997"/>
    <d v="2023-11-28T00:00:00"/>
    <x v="10"/>
    <d v="1900-01-03T00:00:00"/>
    <x v="3"/>
    <s v="No"/>
    <s v="Yes"/>
    <s v="Black Friday Promotion"/>
    <x v="1"/>
    <x v="5"/>
    <n v="23"/>
    <n v="213"/>
    <n v="5"/>
    <n v="208"/>
    <n v="0.97652582159624413"/>
    <n v="9.2608695652173907"/>
    <n v="136.30569948186528"/>
  </r>
  <r>
    <n v="998"/>
    <d v="2023-11-28T00:00:00"/>
    <x v="10"/>
    <d v="1900-01-03T00:00:00"/>
    <x v="3"/>
    <s v="No"/>
    <s v="Yes"/>
    <s v="Black Friday Promotion"/>
    <x v="2"/>
    <x v="5"/>
    <n v="21"/>
    <n v="191"/>
    <n v="45"/>
    <n v="146"/>
    <n v="0.76439790575916233"/>
    <n v="9.0952380952380949"/>
    <n v="136.30569948186528"/>
  </r>
  <r>
    <n v="999"/>
    <d v="2023-11-28T00:00:00"/>
    <x v="10"/>
    <d v="1900-01-03T00:00:00"/>
    <x v="3"/>
    <s v="No"/>
    <s v="Yes"/>
    <s v="Black Friday Promotion"/>
    <x v="3"/>
    <x v="5"/>
    <n v="17"/>
    <n v="163"/>
    <n v="32"/>
    <n v="131"/>
    <n v="0.80368098159509205"/>
    <n v="9.5882352941176467"/>
    <n v="136.30569948186528"/>
  </r>
  <r>
    <n v="1000"/>
    <d v="2023-11-29T00:00:00"/>
    <x v="10"/>
    <d v="1900-01-04T00:00:00"/>
    <x v="3"/>
    <s v="No"/>
    <s v="Yes"/>
    <s v="Black Friday Promotion"/>
    <x v="0"/>
    <x v="1"/>
    <n v="25"/>
    <n v="219"/>
    <n v="29"/>
    <n v="190"/>
    <n v="0.86757990867579904"/>
    <n v="8.76"/>
    <n v="136.28042328042329"/>
  </r>
  <r>
    <n v="1001"/>
    <d v="2023-11-29T00:00:00"/>
    <x v="10"/>
    <d v="1900-01-04T00:00:00"/>
    <x v="3"/>
    <s v="No"/>
    <s v="Yes"/>
    <s v="Black Friday Promotion"/>
    <x v="1"/>
    <x v="1"/>
    <n v="21"/>
    <n v="199"/>
    <n v="39"/>
    <n v="160"/>
    <n v="0.8040201005025126"/>
    <n v="9.4761904761904763"/>
    <n v="136.28042328042329"/>
  </r>
  <r>
    <n v="1002"/>
    <d v="2023-11-29T00:00:00"/>
    <x v="10"/>
    <d v="1900-01-04T00:00:00"/>
    <x v="3"/>
    <s v="No"/>
    <s v="Yes"/>
    <s v="Black Friday Promotion"/>
    <x v="2"/>
    <x v="2"/>
    <n v="20"/>
    <n v="180"/>
    <n v="17"/>
    <n v="163"/>
    <n v="0.90555555555555556"/>
    <n v="9"/>
    <n v="136.28042328042329"/>
  </r>
  <r>
    <n v="1003"/>
    <d v="2023-11-29T00:00:00"/>
    <x v="10"/>
    <d v="1900-01-04T00:00:00"/>
    <x v="3"/>
    <s v="No"/>
    <s v="Yes"/>
    <s v="Black Friday Promotion"/>
    <x v="3"/>
    <x v="3"/>
    <n v="19"/>
    <n v="185"/>
    <n v="19"/>
    <n v="166"/>
    <n v="0.89729729729729735"/>
    <n v="9.7368421052631575"/>
    <n v="136.28042328042329"/>
  </r>
  <r>
    <n v="1004"/>
    <d v="2023-11-30T00:00:00"/>
    <x v="10"/>
    <d v="1900-01-05T00:00:00"/>
    <x v="3"/>
    <s v="No"/>
    <s v="Yes"/>
    <s v="Black Friday Promotion"/>
    <x v="0"/>
    <x v="4"/>
    <n v="27"/>
    <n v="257"/>
    <n v="42"/>
    <n v="215"/>
    <n v="0.83657587548638135"/>
    <n v="9.518518518518519"/>
    <n v="136.31351351351353"/>
  </r>
  <r>
    <n v="1005"/>
    <d v="2023-11-30T00:00:00"/>
    <x v="10"/>
    <d v="1900-01-05T00:00:00"/>
    <x v="3"/>
    <s v="No"/>
    <s v="Yes"/>
    <s v="Black Friday Promotion"/>
    <x v="1"/>
    <x v="2"/>
    <n v="24"/>
    <n v="248"/>
    <n v="34"/>
    <n v="214"/>
    <n v="0.86290322580645162"/>
    <n v="10.333333333333334"/>
    <n v="136.31351351351353"/>
  </r>
  <r>
    <n v="1006"/>
    <d v="2023-11-30T00:00:00"/>
    <x v="10"/>
    <d v="1900-01-05T00:00:00"/>
    <x v="3"/>
    <s v="No"/>
    <s v="Yes"/>
    <s v="Black Friday Promotion"/>
    <x v="2"/>
    <x v="2"/>
    <n v="25"/>
    <n v="219"/>
    <n v="33"/>
    <n v="186"/>
    <n v="0.84931506849315064"/>
    <n v="8.76"/>
    <n v="136.31351351351353"/>
  </r>
  <r>
    <n v="1007"/>
    <d v="2023-11-30T00:00:00"/>
    <x v="10"/>
    <d v="1900-01-05T00:00:00"/>
    <x v="3"/>
    <s v="No"/>
    <s v="Yes"/>
    <s v="Black Friday Promotion"/>
    <x v="3"/>
    <x v="3"/>
    <n v="23"/>
    <n v="213"/>
    <n v="33"/>
    <n v="180"/>
    <n v="0.84507042253521125"/>
    <n v="9.2608695652173907"/>
    <n v="136.31351351351353"/>
  </r>
  <r>
    <n v="1008"/>
    <d v="2023-12-01T00:00:00"/>
    <x v="11"/>
    <d v="1900-01-06T00:00:00"/>
    <x v="3"/>
    <s v="No"/>
    <s v="Yes"/>
    <s v="Black Friday Promotion"/>
    <x v="0"/>
    <x v="1"/>
    <n v="25"/>
    <n v="243"/>
    <n v="32"/>
    <n v="211"/>
    <n v="0.86831275720164613"/>
    <n v="9.7200000000000006"/>
    <n v="136.89502762430939"/>
  </r>
  <r>
    <n v="1009"/>
    <d v="2023-12-03T00:00:00"/>
    <x v="11"/>
    <d v="1900-01-01T00:00:00"/>
    <x v="3"/>
    <s v="No"/>
    <s v="No"/>
    <s v="None"/>
    <x v="0"/>
    <x v="4"/>
    <n v="20"/>
    <n v="220"/>
    <n v="23"/>
    <n v="197"/>
    <n v="0.8954545454545455"/>
    <n v="11"/>
    <n v="136.93063583815029"/>
  </r>
  <r>
    <n v="1010"/>
    <d v="2023-12-03T00:00:00"/>
    <x v="11"/>
    <d v="1900-01-01T00:00:00"/>
    <x v="3"/>
    <s v="No"/>
    <s v="No"/>
    <s v="None"/>
    <x v="1"/>
    <x v="5"/>
    <n v="11"/>
    <n v="121"/>
    <n v="13"/>
    <n v="108"/>
    <n v="0.8925619834710744"/>
    <n v="11"/>
    <n v="136.93063583815029"/>
  </r>
  <r>
    <n v="1011"/>
    <d v="2023-12-03T00:00:00"/>
    <x v="11"/>
    <d v="1900-01-01T00:00:00"/>
    <x v="3"/>
    <s v="No"/>
    <s v="No"/>
    <s v="None"/>
    <x v="2"/>
    <x v="5"/>
    <n v="9"/>
    <n v="99"/>
    <n v="15"/>
    <n v="84"/>
    <n v="0.84848484848484851"/>
    <n v="11"/>
    <n v="136.93063583815029"/>
  </r>
  <r>
    <n v="1012"/>
    <d v="2023-12-03T00:00:00"/>
    <x v="11"/>
    <d v="1900-01-01T00:00:00"/>
    <x v="3"/>
    <s v="No"/>
    <s v="No"/>
    <s v="None"/>
    <x v="3"/>
    <x v="5"/>
    <n v="14"/>
    <n v="154"/>
    <n v="30"/>
    <n v="124"/>
    <n v="0.80519480519480524"/>
    <n v="11"/>
    <n v="136.93063583815029"/>
  </r>
  <r>
    <n v="1013"/>
    <d v="2023-12-04T00:00:00"/>
    <x v="11"/>
    <d v="1900-01-02T00:00:00"/>
    <x v="3"/>
    <s v="No"/>
    <s v="No"/>
    <s v="None"/>
    <x v="0"/>
    <x v="1"/>
    <n v="18"/>
    <n v="198"/>
    <n v="29"/>
    <n v="169"/>
    <n v="0.85353535353535348"/>
    <n v="11"/>
    <n v="136.31976744186048"/>
  </r>
  <r>
    <n v="1014"/>
    <d v="2023-12-04T00:00:00"/>
    <x v="11"/>
    <d v="1900-01-02T00:00:00"/>
    <x v="3"/>
    <s v="No"/>
    <s v="No"/>
    <s v="None"/>
    <x v="1"/>
    <x v="1"/>
    <n v="10"/>
    <n v="110"/>
    <n v="7"/>
    <n v="103"/>
    <n v="0.9363636363636364"/>
    <n v="11"/>
    <n v="136.31976744186048"/>
  </r>
  <r>
    <n v="1015"/>
    <d v="2023-12-04T00:00:00"/>
    <x v="11"/>
    <d v="1900-01-02T00:00:00"/>
    <x v="3"/>
    <s v="No"/>
    <s v="No"/>
    <s v="None"/>
    <x v="2"/>
    <x v="2"/>
    <n v="5"/>
    <n v="55"/>
    <n v="32"/>
    <n v="23"/>
    <n v="0.41818181818181815"/>
    <n v="11"/>
    <n v="136.31976744186048"/>
  </r>
  <r>
    <n v="1016"/>
    <d v="2023-12-04T00:00:00"/>
    <x v="11"/>
    <d v="1900-01-02T00:00:00"/>
    <x v="3"/>
    <s v="No"/>
    <s v="No"/>
    <s v="None"/>
    <x v="3"/>
    <x v="3"/>
    <n v="13"/>
    <n v="143"/>
    <n v="3"/>
    <n v="140"/>
    <n v="0.97902097902097907"/>
    <n v="11"/>
    <n v="136.31976744186048"/>
  </r>
  <r>
    <n v="1017"/>
    <d v="2023-12-05T00:00:00"/>
    <x v="11"/>
    <d v="1900-01-03T00:00:00"/>
    <x v="3"/>
    <s v="No"/>
    <s v="No"/>
    <s v="None"/>
    <x v="0"/>
    <x v="4"/>
    <n v="16"/>
    <n v="176"/>
    <n v="33"/>
    <n v="143"/>
    <n v="0.8125"/>
    <n v="11"/>
    <n v="136.31976744186048"/>
  </r>
  <r>
    <n v="1018"/>
    <d v="2023-12-05T00:00:00"/>
    <x v="11"/>
    <d v="1900-01-03T00:00:00"/>
    <x v="3"/>
    <s v="No"/>
    <s v="No"/>
    <s v="None"/>
    <x v="1"/>
    <x v="5"/>
    <n v="8"/>
    <n v="88"/>
    <n v="30"/>
    <n v="58"/>
    <n v="0.65909090909090906"/>
    <n v="11"/>
    <n v="136.31976744186048"/>
  </r>
  <r>
    <n v="1019"/>
    <d v="2023-12-05T00:00:00"/>
    <x v="11"/>
    <d v="1900-01-03T00:00:00"/>
    <x v="3"/>
    <s v="No"/>
    <s v="No"/>
    <s v="None"/>
    <x v="2"/>
    <x v="5"/>
    <n v="5"/>
    <n v="55"/>
    <n v="27"/>
    <n v="28"/>
    <n v="0.50909090909090904"/>
    <n v="11"/>
    <n v="136.31976744186048"/>
  </r>
  <r>
    <n v="1020"/>
    <d v="2023-12-05T00:00:00"/>
    <x v="11"/>
    <d v="1900-01-03T00:00:00"/>
    <x v="3"/>
    <s v="No"/>
    <s v="No"/>
    <s v="None"/>
    <x v="3"/>
    <x v="5"/>
    <n v="9"/>
    <n v="99"/>
    <n v="18"/>
    <n v="81"/>
    <n v="0.81818181818181823"/>
    <n v="11"/>
    <n v="136.31976744186048"/>
  </r>
  <r>
    <n v="1021"/>
    <d v="2023-12-06T00:00:00"/>
    <x v="11"/>
    <d v="1900-01-04T00:00:00"/>
    <x v="3"/>
    <s v="No"/>
    <s v="No"/>
    <s v="None"/>
    <x v="0"/>
    <x v="1"/>
    <n v="17"/>
    <n v="187"/>
    <n v="43"/>
    <n v="144"/>
    <n v="0.77005347593582885"/>
    <n v="11"/>
    <n v="135.76785714285714"/>
  </r>
  <r>
    <n v="1022"/>
    <d v="2023-12-06T00:00:00"/>
    <x v="11"/>
    <d v="1900-01-04T00:00:00"/>
    <x v="3"/>
    <s v="No"/>
    <s v="No"/>
    <s v="None"/>
    <x v="1"/>
    <x v="1"/>
    <n v="13"/>
    <n v="143"/>
    <n v="41"/>
    <n v="102"/>
    <n v="0.71328671328671334"/>
    <n v="11"/>
    <n v="135.76785714285714"/>
  </r>
  <r>
    <n v="1023"/>
    <d v="2023-12-06T00:00:00"/>
    <x v="11"/>
    <d v="1900-01-04T00:00:00"/>
    <x v="3"/>
    <s v="No"/>
    <s v="No"/>
    <s v="None"/>
    <x v="2"/>
    <x v="2"/>
    <n v="5"/>
    <n v="55"/>
    <n v="30"/>
    <n v="25"/>
    <n v="0.45454545454545453"/>
    <n v="11"/>
    <n v="135.76785714285714"/>
  </r>
  <r>
    <n v="1024"/>
    <d v="2023-12-06T00:00:00"/>
    <x v="11"/>
    <d v="1900-01-04T00:00:00"/>
    <x v="3"/>
    <s v="No"/>
    <s v="No"/>
    <s v="None"/>
    <x v="3"/>
    <x v="3"/>
    <n v="13"/>
    <n v="143"/>
    <n v="5"/>
    <n v="138"/>
    <n v="0.965034965034965"/>
    <n v="11"/>
    <n v="135.76785714285714"/>
  </r>
  <r>
    <n v="1025"/>
    <d v="2023-12-07T00:00:00"/>
    <x v="11"/>
    <d v="1900-01-05T00:00:00"/>
    <x v="3"/>
    <s v="No"/>
    <s v="No"/>
    <s v="None"/>
    <x v="0"/>
    <x v="4"/>
    <n v="20"/>
    <n v="220"/>
    <n v="34"/>
    <n v="186"/>
    <n v="0.84545454545454546"/>
    <n v="11"/>
    <n v="136.0609756097561"/>
  </r>
  <r>
    <n v="1026"/>
    <d v="2023-12-07T00:00:00"/>
    <x v="11"/>
    <d v="1900-01-05T00:00:00"/>
    <x v="3"/>
    <s v="No"/>
    <s v="No"/>
    <s v="None"/>
    <x v="1"/>
    <x v="2"/>
    <n v="10"/>
    <n v="110"/>
    <n v="12"/>
    <n v="98"/>
    <n v="0.89090909090909087"/>
    <n v="11"/>
    <n v="136.0609756097561"/>
  </r>
  <r>
    <n v="1027"/>
    <d v="2023-12-07T00:00:00"/>
    <x v="11"/>
    <d v="1900-01-05T00:00:00"/>
    <x v="3"/>
    <s v="No"/>
    <s v="No"/>
    <s v="None"/>
    <x v="2"/>
    <x v="2"/>
    <n v="9"/>
    <n v="99"/>
    <n v="37"/>
    <n v="62"/>
    <n v="0.6262626262626263"/>
    <n v="11"/>
    <n v="136.0609756097561"/>
  </r>
  <r>
    <n v="1028"/>
    <d v="2023-12-07T00:00:00"/>
    <x v="11"/>
    <d v="1900-01-05T00:00:00"/>
    <x v="3"/>
    <s v="No"/>
    <s v="No"/>
    <s v="None"/>
    <x v="3"/>
    <x v="3"/>
    <n v="15"/>
    <n v="165"/>
    <n v="3"/>
    <n v="162"/>
    <n v="0.98181818181818181"/>
    <n v="11"/>
    <n v="136.0609756097561"/>
  </r>
  <r>
    <n v="1029"/>
    <d v="2023-12-08T00:00:00"/>
    <x v="11"/>
    <d v="1900-01-06T00:00:00"/>
    <x v="3"/>
    <s v="No"/>
    <s v="No"/>
    <s v="None"/>
    <x v="0"/>
    <x v="1"/>
    <n v="21"/>
    <n v="231"/>
    <n v="1"/>
    <n v="230"/>
    <n v="0.99567099567099571"/>
    <n v="11"/>
    <n v="136.64375000000001"/>
  </r>
  <r>
    <n v="1030"/>
    <d v="2023-12-10T00:00:00"/>
    <x v="11"/>
    <d v="1900-01-01T00:00:00"/>
    <x v="3"/>
    <s v="No"/>
    <s v="No"/>
    <s v="None"/>
    <x v="0"/>
    <x v="4"/>
    <n v="20"/>
    <n v="220"/>
    <n v="27"/>
    <n v="193"/>
    <n v="0.87727272727272732"/>
    <n v="11"/>
    <n v="136.67105263157896"/>
  </r>
  <r>
    <n v="1031"/>
    <d v="2023-12-10T00:00:00"/>
    <x v="11"/>
    <d v="1900-01-01T00:00:00"/>
    <x v="3"/>
    <s v="No"/>
    <s v="No"/>
    <s v="None"/>
    <x v="1"/>
    <x v="5"/>
    <n v="9"/>
    <n v="99"/>
    <n v="47"/>
    <n v="52"/>
    <n v="0.5252525252525253"/>
    <n v="11"/>
    <n v="136.67105263157896"/>
  </r>
  <r>
    <n v="1032"/>
    <d v="2023-12-10T00:00:00"/>
    <x v="11"/>
    <d v="1900-01-01T00:00:00"/>
    <x v="3"/>
    <s v="No"/>
    <s v="No"/>
    <s v="None"/>
    <x v="2"/>
    <x v="5"/>
    <n v="9"/>
    <n v="99"/>
    <n v="40"/>
    <n v="59"/>
    <n v="0.59595959595959591"/>
    <n v="11"/>
    <n v="136.67105263157896"/>
  </r>
  <r>
    <n v="1033"/>
    <d v="2023-12-10T00:00:00"/>
    <x v="11"/>
    <d v="1900-01-01T00:00:00"/>
    <x v="3"/>
    <s v="No"/>
    <s v="No"/>
    <s v="None"/>
    <x v="3"/>
    <x v="5"/>
    <n v="14"/>
    <n v="154"/>
    <n v="48"/>
    <n v="106"/>
    <n v="0.68831168831168832"/>
    <n v="11"/>
    <n v="136.67105263157896"/>
  </r>
  <r>
    <n v="1034"/>
    <d v="2023-12-11T00:00:00"/>
    <x v="11"/>
    <d v="1900-01-02T00:00:00"/>
    <x v="3"/>
    <s v="No"/>
    <s v="No"/>
    <s v="None"/>
    <x v="0"/>
    <x v="1"/>
    <n v="15"/>
    <n v="165"/>
    <n v="44"/>
    <n v="121"/>
    <n v="0.73333333333333328"/>
    <n v="11"/>
    <n v="136.04635761589404"/>
  </r>
  <r>
    <n v="1035"/>
    <d v="2023-12-11T00:00:00"/>
    <x v="11"/>
    <d v="1900-01-02T00:00:00"/>
    <x v="3"/>
    <s v="No"/>
    <s v="No"/>
    <s v="None"/>
    <x v="1"/>
    <x v="1"/>
    <n v="12"/>
    <n v="132"/>
    <n v="12"/>
    <n v="120"/>
    <n v="0.90909090909090906"/>
    <n v="11"/>
    <n v="136.04635761589404"/>
  </r>
  <r>
    <n v="1036"/>
    <d v="2023-12-11T00:00:00"/>
    <x v="11"/>
    <d v="1900-01-02T00:00:00"/>
    <x v="3"/>
    <s v="No"/>
    <s v="No"/>
    <s v="None"/>
    <x v="2"/>
    <x v="2"/>
    <n v="5"/>
    <n v="55"/>
    <n v="17"/>
    <n v="38"/>
    <n v="0.69090909090909092"/>
    <n v="11"/>
    <n v="136.04635761589404"/>
  </r>
  <r>
    <n v="1037"/>
    <d v="2023-12-11T00:00:00"/>
    <x v="11"/>
    <d v="1900-01-02T00:00:00"/>
    <x v="3"/>
    <s v="No"/>
    <s v="No"/>
    <s v="None"/>
    <x v="3"/>
    <x v="3"/>
    <n v="11"/>
    <n v="121"/>
    <n v="23"/>
    <n v="98"/>
    <n v="0.80991735537190079"/>
    <n v="11"/>
    <n v="136.04635761589404"/>
  </r>
  <r>
    <n v="1038"/>
    <d v="2023-12-12T00:00:00"/>
    <x v="11"/>
    <d v="1900-01-03T00:00:00"/>
    <x v="3"/>
    <s v="No"/>
    <s v="No"/>
    <s v="None"/>
    <x v="0"/>
    <x v="4"/>
    <n v="15"/>
    <n v="165"/>
    <n v="33"/>
    <n v="132"/>
    <n v="0.8"/>
    <n v="11"/>
    <n v="136.04635761589404"/>
  </r>
  <r>
    <n v="1039"/>
    <d v="2023-12-12T00:00:00"/>
    <x v="11"/>
    <d v="1900-01-03T00:00:00"/>
    <x v="3"/>
    <s v="No"/>
    <s v="No"/>
    <s v="None"/>
    <x v="1"/>
    <x v="5"/>
    <n v="8"/>
    <n v="88"/>
    <n v="11"/>
    <n v="77"/>
    <n v="0.875"/>
    <n v="11"/>
    <n v="136.04635761589404"/>
  </r>
  <r>
    <n v="1040"/>
    <d v="2023-12-12T00:00:00"/>
    <x v="11"/>
    <d v="1900-01-03T00:00:00"/>
    <x v="3"/>
    <s v="No"/>
    <s v="No"/>
    <s v="None"/>
    <x v="2"/>
    <x v="5"/>
    <n v="5"/>
    <n v="55"/>
    <n v="31"/>
    <n v="24"/>
    <n v="0.43636363636363634"/>
    <n v="11"/>
    <n v="136.04635761589404"/>
  </r>
  <r>
    <n v="1041"/>
    <d v="2023-12-12T00:00:00"/>
    <x v="11"/>
    <d v="1900-01-03T00:00:00"/>
    <x v="3"/>
    <s v="No"/>
    <s v="No"/>
    <s v="None"/>
    <x v="3"/>
    <x v="5"/>
    <n v="11"/>
    <n v="121"/>
    <n v="12"/>
    <n v="109"/>
    <n v="0.90082644628099173"/>
    <n v="11"/>
    <n v="136.04635761589404"/>
  </r>
  <r>
    <n v="1042"/>
    <d v="2023-12-13T00:00:00"/>
    <x v="11"/>
    <d v="1900-01-04T00:00:00"/>
    <x v="3"/>
    <s v="No"/>
    <s v="No"/>
    <s v="None"/>
    <x v="0"/>
    <x v="1"/>
    <n v="17"/>
    <n v="187"/>
    <n v="42"/>
    <n v="145"/>
    <n v="0.77540106951871657"/>
    <n v="11"/>
    <n v="139.74829931972789"/>
  </r>
  <r>
    <n v="1043"/>
    <d v="2023-12-13T00:00:00"/>
    <x v="11"/>
    <d v="1900-01-04T00:00:00"/>
    <x v="3"/>
    <s v="No"/>
    <s v="No"/>
    <s v="None"/>
    <x v="1"/>
    <x v="1"/>
    <n v="12"/>
    <n v="132"/>
    <n v="4"/>
    <n v="128"/>
    <n v="0.96969696969696972"/>
    <n v="11"/>
    <n v="139.74829931972789"/>
  </r>
  <r>
    <n v="1044"/>
    <d v="2023-12-13T00:00:00"/>
    <x v="11"/>
    <d v="1900-01-04T00:00:00"/>
    <x v="3"/>
    <s v="No"/>
    <s v="No"/>
    <s v="None"/>
    <x v="2"/>
    <x v="2"/>
    <n v="5"/>
    <n v="55"/>
    <n v="39"/>
    <n v="16"/>
    <n v="0.29090909090909089"/>
    <n v="11"/>
    <n v="139.74829931972789"/>
  </r>
  <r>
    <n v="1045"/>
    <d v="2023-12-13T00:00:00"/>
    <x v="11"/>
    <d v="1900-01-04T00:00:00"/>
    <x v="3"/>
    <s v="No"/>
    <s v="No"/>
    <s v="None"/>
    <x v="3"/>
    <x v="3"/>
    <n v="11"/>
    <n v="121"/>
    <n v="17"/>
    <n v="104"/>
    <n v="0.85950413223140498"/>
    <n v="11"/>
    <n v="139.74829931972789"/>
  </r>
  <r>
    <n v="1046"/>
    <d v="2023-12-14T00:00:00"/>
    <x v="11"/>
    <d v="1900-01-05T00:00:00"/>
    <x v="3"/>
    <s v="No"/>
    <s v="No"/>
    <s v="None"/>
    <x v="0"/>
    <x v="4"/>
    <n v="19"/>
    <n v="209"/>
    <n v="36"/>
    <n v="173"/>
    <n v="0.82775119617224879"/>
    <n v="11"/>
    <n v="140.50349650349651"/>
  </r>
  <r>
    <n v="1047"/>
    <d v="2023-12-14T00:00:00"/>
    <x v="11"/>
    <d v="1900-01-05T00:00:00"/>
    <x v="3"/>
    <s v="No"/>
    <s v="No"/>
    <s v="None"/>
    <x v="1"/>
    <x v="2"/>
    <n v="9"/>
    <n v="99"/>
    <n v="15"/>
    <n v="84"/>
    <n v="0.84848484848484851"/>
    <n v="11"/>
    <n v="140.50349650349651"/>
  </r>
  <r>
    <n v="1048"/>
    <d v="2023-12-14T00:00:00"/>
    <x v="11"/>
    <d v="1900-01-05T00:00:00"/>
    <x v="3"/>
    <s v="No"/>
    <s v="No"/>
    <s v="None"/>
    <x v="2"/>
    <x v="2"/>
    <n v="9"/>
    <n v="99"/>
    <n v="4"/>
    <n v="95"/>
    <n v="0.95959595959595956"/>
    <n v="11"/>
    <n v="140.50349650349651"/>
  </r>
  <r>
    <n v="1049"/>
    <d v="2023-12-14T00:00:00"/>
    <x v="11"/>
    <d v="1900-01-05T00:00:00"/>
    <x v="3"/>
    <s v="No"/>
    <s v="No"/>
    <s v="None"/>
    <x v="3"/>
    <x v="3"/>
    <n v="19"/>
    <n v="209"/>
    <n v="37"/>
    <n v="172"/>
    <n v="0.82296650717703346"/>
    <n v="11"/>
    <n v="140.50349650349651"/>
  </r>
  <r>
    <n v="1050"/>
    <d v="2023-12-15T00:00:00"/>
    <x v="11"/>
    <d v="1900-01-06T00:00:00"/>
    <x v="3"/>
    <s v="No"/>
    <s v="No"/>
    <s v="None"/>
    <x v="0"/>
    <x v="1"/>
    <n v="19"/>
    <n v="209"/>
    <n v="6"/>
    <n v="203"/>
    <n v="0.9712918660287081"/>
    <n v="11"/>
    <n v="141.38129496402877"/>
  </r>
  <r>
    <n v="1051"/>
    <d v="2023-12-17T00:00:00"/>
    <x v="11"/>
    <d v="1900-01-01T00:00:00"/>
    <x v="3"/>
    <s v="No"/>
    <s v="No"/>
    <s v="None"/>
    <x v="0"/>
    <x v="4"/>
    <n v="21"/>
    <n v="231"/>
    <n v="24"/>
    <n v="207"/>
    <n v="0.89610389610389607"/>
    <n v="11"/>
    <n v="141.61832061068702"/>
  </r>
  <r>
    <n v="1052"/>
    <d v="2023-12-17T00:00:00"/>
    <x v="11"/>
    <d v="1900-01-01T00:00:00"/>
    <x v="3"/>
    <s v="No"/>
    <s v="No"/>
    <s v="None"/>
    <x v="1"/>
    <x v="5"/>
    <n v="11"/>
    <n v="121"/>
    <n v="50"/>
    <n v="71"/>
    <n v="0.58677685950413228"/>
    <n v="11"/>
    <n v="141.61832061068702"/>
  </r>
  <r>
    <n v="1053"/>
    <d v="2023-12-17T00:00:00"/>
    <x v="11"/>
    <d v="1900-01-01T00:00:00"/>
    <x v="3"/>
    <s v="No"/>
    <s v="No"/>
    <s v="None"/>
    <x v="2"/>
    <x v="5"/>
    <n v="10"/>
    <n v="110"/>
    <n v="26"/>
    <n v="84"/>
    <n v="0.76363636363636367"/>
    <n v="11"/>
    <n v="141.61832061068702"/>
  </r>
  <r>
    <n v="1054"/>
    <d v="2023-12-17T00:00:00"/>
    <x v="11"/>
    <d v="1900-01-01T00:00:00"/>
    <x v="3"/>
    <s v="No"/>
    <s v="No"/>
    <s v="None"/>
    <x v="3"/>
    <x v="5"/>
    <n v="14"/>
    <n v="154"/>
    <n v="13"/>
    <n v="141"/>
    <n v="0.91558441558441561"/>
    <n v="11"/>
    <n v="141.61832061068702"/>
  </r>
  <r>
    <n v="1055"/>
    <d v="2023-12-18T00:00:00"/>
    <x v="11"/>
    <d v="1900-01-02T00:00:00"/>
    <x v="3"/>
    <s v="No"/>
    <s v="No"/>
    <s v="None"/>
    <x v="0"/>
    <x v="1"/>
    <n v="17"/>
    <n v="187"/>
    <n v="13"/>
    <n v="174"/>
    <n v="0.93048128342245995"/>
    <n v="11"/>
    <n v="141.01538461538462"/>
  </r>
  <r>
    <n v="1056"/>
    <d v="2023-12-18T00:00:00"/>
    <x v="11"/>
    <d v="1900-01-02T00:00:00"/>
    <x v="3"/>
    <s v="No"/>
    <s v="No"/>
    <s v="None"/>
    <x v="1"/>
    <x v="1"/>
    <n v="8"/>
    <n v="88"/>
    <n v="29"/>
    <n v="59"/>
    <n v="0.67045454545454541"/>
    <n v="11"/>
    <n v="141.01538461538462"/>
  </r>
  <r>
    <n v="1057"/>
    <d v="2023-12-18T00:00:00"/>
    <x v="11"/>
    <d v="1900-01-02T00:00:00"/>
    <x v="3"/>
    <s v="No"/>
    <s v="No"/>
    <s v="None"/>
    <x v="2"/>
    <x v="2"/>
    <n v="5"/>
    <n v="55"/>
    <n v="34"/>
    <n v="21"/>
    <n v="0.38181818181818183"/>
    <n v="11"/>
    <n v="141.01538461538462"/>
  </r>
  <r>
    <n v="1058"/>
    <d v="2023-12-18T00:00:00"/>
    <x v="11"/>
    <d v="1900-01-02T00:00:00"/>
    <x v="3"/>
    <s v="No"/>
    <s v="No"/>
    <s v="None"/>
    <x v="3"/>
    <x v="3"/>
    <n v="11"/>
    <n v="121"/>
    <n v="28"/>
    <n v="93"/>
    <n v="0.76859504132231404"/>
    <n v="11"/>
    <n v="141.01538461538462"/>
  </r>
  <r>
    <n v="1059"/>
    <d v="2023-12-19T00:00:00"/>
    <x v="11"/>
    <d v="1900-01-03T00:00:00"/>
    <x v="3"/>
    <s v="No"/>
    <s v="Yes"/>
    <s v="First Day of Winter Promotion"/>
    <x v="0"/>
    <x v="4"/>
    <n v="23"/>
    <n v="205"/>
    <n v="26"/>
    <n v="179"/>
    <n v="0.87317073170731707"/>
    <n v="8.9130434782608692"/>
    <n v="141.01538461538462"/>
  </r>
  <r>
    <n v="1060"/>
    <d v="2023-12-19T00:00:00"/>
    <x v="11"/>
    <d v="1900-01-03T00:00:00"/>
    <x v="3"/>
    <s v="No"/>
    <s v="Yes"/>
    <s v="First Day of Winter Promotion"/>
    <x v="1"/>
    <x v="5"/>
    <n v="21"/>
    <n v="199"/>
    <n v="19"/>
    <n v="180"/>
    <n v="0.90452261306532666"/>
    <n v="9.4761904761904763"/>
    <n v="141.01538461538462"/>
  </r>
  <r>
    <n v="1061"/>
    <d v="2023-12-19T00:00:00"/>
    <x v="11"/>
    <d v="1900-01-03T00:00:00"/>
    <x v="3"/>
    <s v="No"/>
    <s v="Yes"/>
    <s v="First Day of Winter Promotion"/>
    <x v="2"/>
    <x v="5"/>
    <n v="20"/>
    <n v="196"/>
    <n v="7"/>
    <n v="189"/>
    <n v="0.9642857142857143"/>
    <n v="9.8000000000000007"/>
    <n v="141.01538461538462"/>
  </r>
  <r>
    <n v="1062"/>
    <d v="2023-12-19T00:00:00"/>
    <x v="11"/>
    <d v="1900-01-03T00:00:00"/>
    <x v="3"/>
    <s v="No"/>
    <s v="Yes"/>
    <s v="First Day of Winter Promotion"/>
    <x v="3"/>
    <x v="5"/>
    <n v="19"/>
    <n v="185"/>
    <n v="13"/>
    <n v="172"/>
    <n v="0.92972972972972978"/>
    <n v="9.7368421052631575"/>
    <n v="141.01538461538462"/>
  </r>
  <r>
    <n v="1063"/>
    <d v="2023-12-20T00:00:00"/>
    <x v="11"/>
    <d v="1900-01-04T00:00:00"/>
    <x v="3"/>
    <s v="No"/>
    <s v="Yes"/>
    <s v="First Day of Winter Promotion"/>
    <x v="0"/>
    <x v="1"/>
    <n v="20"/>
    <n v="188"/>
    <n v="45"/>
    <n v="143"/>
    <n v="0.76063829787234039"/>
    <n v="9.4"/>
    <n v="141.03968253968253"/>
  </r>
  <r>
    <n v="1064"/>
    <d v="2023-12-20T00:00:00"/>
    <x v="11"/>
    <d v="1900-01-04T00:00:00"/>
    <x v="3"/>
    <s v="No"/>
    <s v="Yes"/>
    <s v="First Day of Winter Promotion"/>
    <x v="1"/>
    <x v="1"/>
    <n v="24"/>
    <n v="200"/>
    <n v="14"/>
    <n v="186"/>
    <n v="0.93"/>
    <n v="8.3333333333333339"/>
    <n v="141.03968253968253"/>
  </r>
  <r>
    <n v="1065"/>
    <d v="2023-12-20T00:00:00"/>
    <x v="11"/>
    <d v="1900-01-04T00:00:00"/>
    <x v="3"/>
    <s v="No"/>
    <s v="Yes"/>
    <s v="First Day of Winter Promotion"/>
    <x v="2"/>
    <x v="2"/>
    <n v="23"/>
    <n v="197"/>
    <n v="38"/>
    <n v="159"/>
    <n v="0.80710659898477155"/>
    <n v="8.5652173913043477"/>
    <n v="141.03968253968253"/>
  </r>
  <r>
    <n v="1066"/>
    <d v="2023-12-20T00:00:00"/>
    <x v="11"/>
    <d v="1900-01-04T00:00:00"/>
    <x v="3"/>
    <s v="No"/>
    <s v="Yes"/>
    <s v="First Day of Winter Promotion"/>
    <x v="3"/>
    <x v="3"/>
    <n v="23"/>
    <n v="205"/>
    <n v="45"/>
    <n v="160"/>
    <n v="0.78048780487804881"/>
    <n v="8.9130434782608692"/>
    <n v="141.03968253968253"/>
  </r>
  <r>
    <n v="1067"/>
    <d v="2023-12-21T00:00:00"/>
    <x v="11"/>
    <d v="1900-01-05T00:00:00"/>
    <x v="3"/>
    <s v="No"/>
    <s v="Yes"/>
    <s v="First Day of Winter Promotion"/>
    <x v="0"/>
    <x v="4"/>
    <n v="23"/>
    <n v="237"/>
    <n v="43"/>
    <n v="194"/>
    <n v="0.81856540084388185"/>
    <n v="10.304347826086957"/>
    <n v="141.78688524590163"/>
  </r>
  <r>
    <n v="1068"/>
    <d v="2023-12-21T00:00:00"/>
    <x v="11"/>
    <d v="1900-01-05T00:00:00"/>
    <x v="3"/>
    <s v="No"/>
    <s v="Yes"/>
    <s v="First Day of Winter Promotion"/>
    <x v="1"/>
    <x v="2"/>
    <n v="30"/>
    <n v="266"/>
    <n v="40"/>
    <n v="226"/>
    <n v="0.84962406015037595"/>
    <n v="8.8666666666666671"/>
    <n v="141.78688524590163"/>
  </r>
  <r>
    <n v="1069"/>
    <d v="2023-12-21T00:00:00"/>
    <x v="11"/>
    <d v="1900-01-05T00:00:00"/>
    <x v="3"/>
    <s v="No"/>
    <s v="Yes"/>
    <s v="First Day of Winter Promotion"/>
    <x v="2"/>
    <x v="2"/>
    <n v="27"/>
    <n v="233"/>
    <n v="39"/>
    <n v="194"/>
    <n v="0.83261802575107291"/>
    <n v="8.6296296296296298"/>
    <n v="141.78688524590163"/>
  </r>
  <r>
    <n v="1070"/>
    <d v="2023-12-21T00:00:00"/>
    <x v="11"/>
    <d v="1900-01-05T00:00:00"/>
    <x v="3"/>
    <s v="No"/>
    <s v="Yes"/>
    <s v="First Day of Winter Promotion"/>
    <x v="3"/>
    <x v="3"/>
    <n v="28"/>
    <n v="252"/>
    <n v="15"/>
    <n v="237"/>
    <n v="0.94047619047619047"/>
    <n v="9"/>
    <n v="141.78688524590163"/>
  </r>
  <r>
    <n v="1071"/>
    <d v="2023-12-22T00:00:00"/>
    <x v="11"/>
    <d v="1900-01-06T00:00:00"/>
    <x v="3"/>
    <s v="No"/>
    <s v="Yes"/>
    <s v="First Day of Winter Promotion"/>
    <x v="0"/>
    <x v="1"/>
    <n v="22"/>
    <n v="218"/>
    <n v="35"/>
    <n v="183"/>
    <n v="0.83944954128440363"/>
    <n v="9.9090909090909083"/>
    <n v="143.14406779661016"/>
  </r>
  <r>
    <n v="1072"/>
    <d v="2023-12-24T00:00:00"/>
    <x v="11"/>
    <d v="1900-01-01T00:00:00"/>
    <x v="3"/>
    <s v="Yes"/>
    <s v="No"/>
    <s v="Christmas Eve"/>
    <x v="0"/>
    <x v="0"/>
    <n v="0"/>
    <n v="0"/>
    <n v="10"/>
    <n v="-10"/>
    <n v="0"/>
    <n v="0"/>
    <n v="144.94545454545454"/>
  </r>
  <r>
    <n v="1073"/>
    <d v="2023-12-24T00:00:00"/>
    <x v="11"/>
    <d v="1900-01-01T00:00:00"/>
    <x v="3"/>
    <s v="Yes"/>
    <s v="No"/>
    <s v="Christmas Eve"/>
    <x v="1"/>
    <x v="0"/>
    <n v="0"/>
    <n v="0"/>
    <n v="10"/>
    <n v="-10"/>
    <n v="0"/>
    <n v="0"/>
    <n v="144.94545454545454"/>
  </r>
  <r>
    <n v="1074"/>
    <d v="2023-12-24T00:00:00"/>
    <x v="11"/>
    <d v="1900-01-01T00:00:00"/>
    <x v="3"/>
    <s v="Yes"/>
    <s v="No"/>
    <s v="Christmas Eve"/>
    <x v="2"/>
    <x v="0"/>
    <n v="0"/>
    <n v="0"/>
    <n v="10"/>
    <n v="-10"/>
    <n v="0"/>
    <n v="0"/>
    <n v="144.94545454545454"/>
  </r>
  <r>
    <n v="1075"/>
    <d v="2023-12-24T00:00:00"/>
    <x v="11"/>
    <d v="1900-01-01T00:00:00"/>
    <x v="3"/>
    <s v="Yes"/>
    <s v="No"/>
    <s v="Christmas Eve"/>
    <x v="3"/>
    <x v="0"/>
    <n v="0"/>
    <n v="0"/>
    <n v="10"/>
    <n v="-10"/>
    <n v="0"/>
    <n v="0"/>
    <n v="144.94545454545454"/>
  </r>
  <r>
    <n v="1076"/>
    <d v="2023-12-25T00:00:00"/>
    <x v="11"/>
    <d v="1900-01-02T00:00:00"/>
    <x v="3"/>
    <s v="Yes"/>
    <s v="No"/>
    <s v="Christmas Day"/>
    <x v="0"/>
    <x v="0"/>
    <n v="0"/>
    <n v="0"/>
    <n v="10"/>
    <n v="-10"/>
    <n v="0"/>
    <n v="0"/>
    <n v="144.03669724770643"/>
  </r>
  <r>
    <n v="1077"/>
    <d v="2023-12-25T00:00:00"/>
    <x v="11"/>
    <d v="1900-01-02T00:00:00"/>
    <x v="3"/>
    <s v="Yes"/>
    <s v="No"/>
    <s v="Christmas Day"/>
    <x v="1"/>
    <x v="0"/>
    <n v="0"/>
    <n v="0"/>
    <n v="10"/>
    <n v="-10"/>
    <n v="0"/>
    <n v="0"/>
    <n v="144.03669724770643"/>
  </r>
  <r>
    <n v="1078"/>
    <d v="2023-12-25T00:00:00"/>
    <x v="11"/>
    <d v="1900-01-02T00:00:00"/>
    <x v="3"/>
    <s v="Yes"/>
    <s v="No"/>
    <s v="Christmas Day"/>
    <x v="2"/>
    <x v="0"/>
    <n v="0"/>
    <n v="0"/>
    <n v="10"/>
    <n v="-10"/>
    <n v="0"/>
    <n v="0"/>
    <n v="144.03669724770643"/>
  </r>
  <r>
    <n v="1079"/>
    <d v="2023-12-25T00:00:00"/>
    <x v="11"/>
    <d v="1900-01-02T00:00:00"/>
    <x v="3"/>
    <s v="Yes"/>
    <s v="No"/>
    <s v="Christmas Day"/>
    <x v="3"/>
    <x v="0"/>
    <n v="0"/>
    <n v="0"/>
    <n v="10"/>
    <n v="-10"/>
    <n v="0"/>
    <n v="0"/>
    <n v="144.03669724770643"/>
  </r>
  <r>
    <n v="1080"/>
    <d v="2023-12-26T00:00:00"/>
    <x v="11"/>
    <d v="1900-01-03T00:00:00"/>
    <x v="3"/>
    <s v="No"/>
    <s v="No"/>
    <s v="None"/>
    <x v="0"/>
    <x v="4"/>
    <n v="15"/>
    <n v="165"/>
    <n v="5"/>
    <n v="160"/>
    <n v="0.96969696969696972"/>
    <n v="11"/>
    <n v="144.03669724770643"/>
  </r>
  <r>
    <n v="1081"/>
    <d v="2023-12-26T00:00:00"/>
    <x v="11"/>
    <d v="1900-01-03T00:00:00"/>
    <x v="3"/>
    <s v="No"/>
    <s v="No"/>
    <s v="None"/>
    <x v="1"/>
    <x v="5"/>
    <n v="7"/>
    <n v="77"/>
    <n v="29"/>
    <n v="48"/>
    <n v="0.62337662337662336"/>
    <n v="11"/>
    <n v="144.03669724770643"/>
  </r>
  <r>
    <n v="1082"/>
    <d v="2023-12-26T00:00:00"/>
    <x v="11"/>
    <d v="1900-01-03T00:00:00"/>
    <x v="3"/>
    <s v="No"/>
    <s v="No"/>
    <s v="None"/>
    <x v="2"/>
    <x v="5"/>
    <n v="5"/>
    <n v="55"/>
    <n v="48"/>
    <n v="7"/>
    <n v="0.12727272727272726"/>
    <n v="11"/>
    <n v="144.03669724770643"/>
  </r>
  <r>
    <n v="1083"/>
    <d v="2023-12-26T00:00:00"/>
    <x v="11"/>
    <d v="1900-01-03T00:00:00"/>
    <x v="3"/>
    <s v="No"/>
    <s v="No"/>
    <s v="None"/>
    <x v="3"/>
    <x v="5"/>
    <n v="12"/>
    <n v="132"/>
    <n v="27"/>
    <n v="105"/>
    <n v="0.79545454545454541"/>
    <n v="11"/>
    <n v="144.03669724770643"/>
  </r>
  <r>
    <n v="1084"/>
    <d v="2023-12-27T00:00:00"/>
    <x v="11"/>
    <d v="1900-01-04T00:00:00"/>
    <x v="3"/>
    <s v="No"/>
    <s v="No"/>
    <s v="None"/>
    <x v="0"/>
    <x v="1"/>
    <n v="18"/>
    <n v="198"/>
    <n v="32"/>
    <n v="166"/>
    <n v="0.83838383838383834"/>
    <n v="11"/>
    <n v="140.7904761904762"/>
  </r>
  <r>
    <n v="1085"/>
    <d v="2023-12-27T00:00:00"/>
    <x v="11"/>
    <d v="1900-01-04T00:00:00"/>
    <x v="3"/>
    <s v="No"/>
    <s v="No"/>
    <s v="None"/>
    <x v="1"/>
    <x v="1"/>
    <n v="11"/>
    <n v="121"/>
    <n v="29"/>
    <n v="92"/>
    <n v="0.76033057851239672"/>
    <n v="11"/>
    <n v="140.7904761904762"/>
  </r>
  <r>
    <n v="1086"/>
    <d v="2023-12-27T00:00:00"/>
    <x v="11"/>
    <d v="1900-01-04T00:00:00"/>
    <x v="3"/>
    <s v="No"/>
    <s v="No"/>
    <s v="None"/>
    <x v="2"/>
    <x v="2"/>
    <n v="5"/>
    <n v="55"/>
    <n v="27"/>
    <n v="28"/>
    <n v="0.50909090909090904"/>
    <n v="11"/>
    <n v="140.7904761904762"/>
  </r>
  <r>
    <n v="1087"/>
    <d v="2023-12-27T00:00:00"/>
    <x v="11"/>
    <d v="1900-01-04T00:00:00"/>
    <x v="3"/>
    <s v="No"/>
    <s v="No"/>
    <s v="None"/>
    <x v="3"/>
    <x v="3"/>
    <n v="13"/>
    <n v="143"/>
    <n v="13"/>
    <n v="130"/>
    <n v="0.90909090909090906"/>
    <n v="11"/>
    <n v="140.7904761904762"/>
  </r>
  <r>
    <n v="1088"/>
    <d v="2023-12-28T00:00:00"/>
    <x v="11"/>
    <d v="1900-01-05T00:00:00"/>
    <x v="3"/>
    <s v="No"/>
    <s v="No"/>
    <s v="None"/>
    <x v="0"/>
    <x v="4"/>
    <n v="19"/>
    <n v="209"/>
    <n v="15"/>
    <n v="194"/>
    <n v="0.92822966507177029"/>
    <n v="11"/>
    <n v="138.66336633663366"/>
  </r>
  <r>
    <n v="1089"/>
    <d v="2023-12-28T00:00:00"/>
    <x v="11"/>
    <d v="1900-01-05T00:00:00"/>
    <x v="3"/>
    <s v="No"/>
    <s v="No"/>
    <s v="None"/>
    <x v="1"/>
    <x v="2"/>
    <n v="12"/>
    <n v="132"/>
    <n v="32"/>
    <n v="100"/>
    <n v="0.75757575757575757"/>
    <n v="11"/>
    <n v="138.66336633663366"/>
  </r>
  <r>
    <n v="1090"/>
    <d v="2023-12-28T00:00:00"/>
    <x v="11"/>
    <d v="1900-01-05T00:00:00"/>
    <x v="3"/>
    <s v="No"/>
    <s v="No"/>
    <s v="None"/>
    <x v="2"/>
    <x v="2"/>
    <n v="8"/>
    <n v="88"/>
    <n v="45"/>
    <n v="43"/>
    <n v="0.48863636363636365"/>
    <n v="11"/>
    <n v="138.66336633663366"/>
  </r>
  <r>
    <n v="1091"/>
    <d v="2023-12-28T00:00:00"/>
    <x v="11"/>
    <d v="1900-01-05T00:00:00"/>
    <x v="3"/>
    <s v="No"/>
    <s v="No"/>
    <s v="None"/>
    <x v="3"/>
    <x v="3"/>
    <n v="15"/>
    <n v="165"/>
    <n v="8"/>
    <n v="157"/>
    <n v="0.95151515151515154"/>
    <n v="11"/>
    <n v="138.66336633663366"/>
  </r>
  <r>
    <n v="1092"/>
    <d v="2023-12-29T00:00:00"/>
    <x v="11"/>
    <d v="1900-01-06T00:00:00"/>
    <x v="3"/>
    <s v="No"/>
    <s v="No"/>
    <s v="None"/>
    <x v="0"/>
    <x v="1"/>
    <n v="22"/>
    <n v="242"/>
    <n v="17"/>
    <n v="225"/>
    <n v="0.92975206611570249"/>
    <n v="11"/>
    <n v="136.68041237113403"/>
  </r>
  <r>
    <n v="1093"/>
    <d v="2023-12-31T00:00:00"/>
    <x v="11"/>
    <d v="1900-01-01T00:00:00"/>
    <x v="3"/>
    <s v="Yes"/>
    <s v="No"/>
    <s v="New Years Eve"/>
    <x v="0"/>
    <x v="0"/>
    <n v="0"/>
    <n v="0"/>
    <n v="10"/>
    <n v="-10"/>
    <n v="0"/>
    <n v="0"/>
    <n v="129.64044943820224"/>
  </r>
  <r>
    <n v="1094"/>
    <d v="2023-12-31T00:00:00"/>
    <x v="11"/>
    <d v="1900-01-01T00:00:00"/>
    <x v="3"/>
    <s v="Yes"/>
    <s v="No"/>
    <s v="New Years Eve"/>
    <x v="1"/>
    <x v="0"/>
    <n v="0"/>
    <n v="0"/>
    <n v="10"/>
    <n v="-10"/>
    <n v="0"/>
    <n v="0"/>
    <n v="129.64044943820224"/>
  </r>
  <r>
    <n v="1095"/>
    <d v="2023-12-31T00:00:00"/>
    <x v="11"/>
    <d v="1900-01-01T00:00:00"/>
    <x v="3"/>
    <s v="Yes"/>
    <s v="No"/>
    <s v="New Years Eve"/>
    <x v="2"/>
    <x v="0"/>
    <n v="0"/>
    <n v="0"/>
    <n v="10"/>
    <n v="-10"/>
    <n v="0"/>
    <n v="0"/>
    <n v="129.64044943820224"/>
  </r>
  <r>
    <n v="1096"/>
    <d v="2023-12-31T00:00:00"/>
    <x v="11"/>
    <d v="1900-01-01T00:00:00"/>
    <x v="3"/>
    <s v="Yes"/>
    <s v="No"/>
    <s v="New Years Eve"/>
    <x v="3"/>
    <x v="0"/>
    <n v="0"/>
    <n v="0"/>
    <n v="10"/>
    <n v="-10"/>
    <n v="0"/>
    <n v="0"/>
    <n v="129.640449438202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A0029-CAF7-41E0-B648-283122F5219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Employee">
  <location ref="A3:F10" firstHeaderRow="0" firstDataRow="1" firstDataCol="1"/>
  <pivotFields count="17">
    <pivotField showAll="0"/>
    <pivotField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6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7">
        <item x="4"/>
        <item x="5"/>
        <item x="1"/>
        <item x="3"/>
        <item x="0"/>
        <item x="2"/>
        <item t="default"/>
      </items>
    </pivotField>
    <pivotField dataField="1" showAll="0"/>
    <pivotField dataField="1" numFmtId="2" showAll="0"/>
    <pivotField numFmtId="2" showAll="0"/>
    <pivotField dataField="1" numFmtId="2" showAll="0"/>
    <pivotField dataField="1" numFmtId="167" showAll="0"/>
    <pivotField dataField="1" numFmtId="167" showAll="0"/>
    <pivotField numFmtId="167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ustomer" fld="10" baseField="0" baseItem="0"/>
    <dataField name="Sum of Profit" fld="13" baseField="0" baseItem="0" numFmtId="2"/>
    <dataField name="Average of Profit Margin" fld="14" subtotal="average" baseField="0" baseItem="0" numFmtId="167"/>
    <dataField name="Sum of Revenue" fld="11" baseField="0" baseItem="0" numFmtId="2"/>
    <dataField name="Sum of Revenue per Customer" fld="15" baseField="0" baseItem="0" numFmtId="167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97"/>
  <sheetViews>
    <sheetView zoomScale="115" zoomScaleNormal="115" workbookViewId="0">
      <pane ySplit="1" topLeftCell="A2" activePane="bottomLeft" state="frozen"/>
      <selection pane="bottomLeft" activeCell="T18" sqref="T18"/>
    </sheetView>
  </sheetViews>
  <sheetFormatPr defaultColWidth="14.42578125" defaultRowHeight="15.75" customHeight="1" x14ac:dyDescent="0.2"/>
  <cols>
    <col min="1" max="1" width="7" customWidth="1"/>
    <col min="2" max="2" width="12.28515625" customWidth="1"/>
    <col min="3" max="3" width="12.140625" customWidth="1"/>
    <col min="4" max="4" width="10.85546875" bestFit="1" customWidth="1"/>
    <col min="5" max="5" width="9.7109375" customWidth="1"/>
    <col min="6" max="6" width="8.42578125" bestFit="1" customWidth="1"/>
    <col min="7" max="7" width="11.42578125" bestFit="1" customWidth="1"/>
    <col min="8" max="8" width="27.7109375" bestFit="1" customWidth="1"/>
    <col min="9" max="9" width="8.85546875" bestFit="1" customWidth="1"/>
    <col min="10" max="11" width="10.85546875" bestFit="1" customWidth="1"/>
    <col min="12" max="12" width="10.28515625" style="16" bestFit="1" customWidth="1"/>
    <col min="13" max="13" width="5.7109375" bestFit="1" customWidth="1"/>
    <col min="14" max="14" width="6.5703125" bestFit="1" customWidth="1"/>
    <col min="15" max="15" width="14.28515625" bestFit="1" customWidth="1"/>
    <col min="16" max="16" width="25.140625" bestFit="1" customWidth="1"/>
    <col min="18" max="18" width="17.42578125" bestFit="1" customWidth="1"/>
  </cols>
  <sheetData>
    <row r="1" spans="1:18" s="13" customFormat="1" ht="15" x14ac:dyDescent="0.25">
      <c r="A1" s="9" t="s">
        <v>0</v>
      </c>
      <c r="B1" s="25" t="s">
        <v>1</v>
      </c>
      <c r="C1" s="27" t="s">
        <v>2</v>
      </c>
      <c r="D1" s="10" t="s">
        <v>3</v>
      </c>
      <c r="E1" s="20" t="s">
        <v>4</v>
      </c>
      <c r="F1" s="11" t="s">
        <v>5</v>
      </c>
      <c r="G1" s="11" t="s">
        <v>6</v>
      </c>
      <c r="H1" s="11" t="s">
        <v>61</v>
      </c>
      <c r="I1" s="11" t="s">
        <v>57</v>
      </c>
      <c r="J1" s="11" t="s">
        <v>58</v>
      </c>
      <c r="K1" s="12" t="s">
        <v>59</v>
      </c>
      <c r="L1" s="28" t="s">
        <v>7</v>
      </c>
      <c r="M1" s="12" t="s">
        <v>60</v>
      </c>
      <c r="N1" s="14" t="s">
        <v>62</v>
      </c>
      <c r="O1" s="14" t="s">
        <v>63</v>
      </c>
      <c r="P1" s="14" t="s">
        <v>64</v>
      </c>
      <c r="Q1" s="29" t="s">
        <v>72</v>
      </c>
      <c r="R1" s="29" t="s">
        <v>70</v>
      </c>
    </row>
    <row r="2" spans="1:18" ht="12.75" x14ac:dyDescent="0.2">
      <c r="A2" s="3">
        <v>1</v>
      </c>
      <c r="B2" s="26">
        <v>44927</v>
      </c>
      <c r="C2" s="23" t="s">
        <v>8</v>
      </c>
      <c r="D2" s="4">
        <v>2</v>
      </c>
      <c r="E2" s="24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6">
        <v>0</v>
      </c>
      <c r="L2" s="15">
        <v>0</v>
      </c>
      <c r="M2" s="15">
        <v>10</v>
      </c>
      <c r="N2" s="16">
        <f>L2-M2</f>
        <v>-10</v>
      </c>
      <c r="O2" s="18">
        <f t="shared" ref="O2:O65" si="0">IF(L2=0, 0, N2/L2)</f>
        <v>0</v>
      </c>
      <c r="P2" s="19">
        <f>IF(K2=0, 0, L2/K2)</f>
        <v>0</v>
      </c>
      <c r="Q2" s="16">
        <f>IF(COUNTIF($B$2:B2,B2)=1,SUMIF($B$2:$B$1097,B2,$L$2:$L$1097),"")</f>
        <v>0</v>
      </c>
    </row>
    <row r="3" spans="1:18" ht="12.75" x14ac:dyDescent="0.2">
      <c r="A3" s="3">
        <v>2</v>
      </c>
      <c r="B3" s="26">
        <v>44927</v>
      </c>
      <c r="C3" s="23" t="s">
        <v>8</v>
      </c>
      <c r="D3" s="4">
        <v>2</v>
      </c>
      <c r="E3" s="24" t="s">
        <v>9</v>
      </c>
      <c r="F3" s="5" t="s">
        <v>10</v>
      </c>
      <c r="G3" s="5" t="s">
        <v>11</v>
      </c>
      <c r="H3" s="5" t="s">
        <v>12</v>
      </c>
      <c r="I3" s="5" t="s">
        <v>15</v>
      </c>
      <c r="J3" s="5" t="s">
        <v>14</v>
      </c>
      <c r="K3" s="6">
        <v>0</v>
      </c>
      <c r="L3" s="15">
        <v>0</v>
      </c>
      <c r="M3" s="15">
        <v>10</v>
      </c>
      <c r="N3" s="16">
        <f t="shared" ref="N3:N66" si="1">L3-M3</f>
        <v>-10</v>
      </c>
      <c r="O3" s="18">
        <f t="shared" si="0"/>
        <v>0</v>
      </c>
      <c r="P3" s="19">
        <f t="shared" ref="P3:P66" si="2">IF(K3=0, 0, L3/K3)</f>
        <v>0</v>
      </c>
      <c r="Q3" s="16" t="str">
        <f>IF(COUNTIF($B$2:B3,B3)=1,SUMIF($B$2:$B$1097,B3,$L$2:$L$1097),"")</f>
        <v/>
      </c>
    </row>
    <row r="4" spans="1:18" ht="12.75" x14ac:dyDescent="0.2">
      <c r="A4" s="3">
        <v>3</v>
      </c>
      <c r="B4" s="26">
        <v>44927</v>
      </c>
      <c r="C4" s="23" t="s">
        <v>8</v>
      </c>
      <c r="D4" s="4">
        <v>2</v>
      </c>
      <c r="E4" s="24" t="s">
        <v>9</v>
      </c>
      <c r="F4" s="5" t="s">
        <v>10</v>
      </c>
      <c r="G4" s="5" t="s">
        <v>11</v>
      </c>
      <c r="H4" s="5" t="s">
        <v>12</v>
      </c>
      <c r="I4" s="5" t="s">
        <v>16</v>
      </c>
      <c r="J4" s="5" t="s">
        <v>14</v>
      </c>
      <c r="K4" s="6">
        <v>0</v>
      </c>
      <c r="L4" s="15">
        <v>0</v>
      </c>
      <c r="M4" s="15">
        <v>10</v>
      </c>
      <c r="N4" s="16">
        <f t="shared" si="1"/>
        <v>-10</v>
      </c>
      <c r="O4" s="18">
        <f t="shared" si="0"/>
        <v>0</v>
      </c>
      <c r="P4" s="19">
        <f t="shared" si="2"/>
        <v>0</v>
      </c>
      <c r="Q4" s="16" t="str">
        <f>IF(COUNTIF($B$2:B4,B4)=1,SUMIF($B$2:$B$1097,B4,$L$2:$L$1097),"")</f>
        <v/>
      </c>
    </row>
    <row r="5" spans="1:18" ht="12.75" x14ac:dyDescent="0.2">
      <c r="A5" s="3">
        <v>4</v>
      </c>
      <c r="B5" s="26">
        <v>44927</v>
      </c>
      <c r="C5" s="23" t="s">
        <v>8</v>
      </c>
      <c r="D5" s="4">
        <v>2</v>
      </c>
      <c r="E5" s="24" t="s">
        <v>9</v>
      </c>
      <c r="F5" s="5" t="s">
        <v>10</v>
      </c>
      <c r="G5" s="5" t="s">
        <v>11</v>
      </c>
      <c r="H5" s="5" t="s">
        <v>12</v>
      </c>
      <c r="I5" s="5" t="s">
        <v>17</v>
      </c>
      <c r="J5" s="5" t="s">
        <v>14</v>
      </c>
      <c r="K5" s="6">
        <v>0</v>
      </c>
      <c r="L5" s="15">
        <v>0</v>
      </c>
      <c r="M5" s="15">
        <v>10</v>
      </c>
      <c r="N5" s="16">
        <f t="shared" si="1"/>
        <v>-10</v>
      </c>
      <c r="O5" s="18">
        <f t="shared" si="0"/>
        <v>0</v>
      </c>
      <c r="P5" s="19">
        <f t="shared" si="2"/>
        <v>0</v>
      </c>
      <c r="Q5" s="16" t="str">
        <f>IF(COUNTIF($B$2:B5,B5)=1,SUMIF($B$2:$B$1097,B5,$L$2:$L$1097),"")</f>
        <v/>
      </c>
    </row>
    <row r="6" spans="1:18" ht="12.75" x14ac:dyDescent="0.2">
      <c r="A6" s="3">
        <v>5</v>
      </c>
      <c r="B6" s="26">
        <v>44928</v>
      </c>
      <c r="C6" s="23" t="s">
        <v>8</v>
      </c>
      <c r="D6" s="4">
        <v>3</v>
      </c>
      <c r="E6" s="24" t="s">
        <v>9</v>
      </c>
      <c r="F6" s="5" t="s">
        <v>11</v>
      </c>
      <c r="G6" s="5" t="s">
        <v>10</v>
      </c>
      <c r="H6" s="5" t="s">
        <v>18</v>
      </c>
      <c r="I6" s="5" t="s">
        <v>13</v>
      </c>
      <c r="J6" s="5" t="s">
        <v>56</v>
      </c>
      <c r="K6" s="6">
        <v>29</v>
      </c>
      <c r="L6" s="15">
        <v>295</v>
      </c>
      <c r="M6" s="15">
        <v>12.813172442809233</v>
      </c>
      <c r="N6" s="16">
        <f t="shared" si="1"/>
        <v>282.18682755719078</v>
      </c>
      <c r="O6" s="18">
        <f t="shared" si="0"/>
        <v>0.95656551714301963</v>
      </c>
      <c r="P6" s="19">
        <f t="shared" si="2"/>
        <v>10.172413793103448</v>
      </c>
      <c r="Q6" s="16">
        <f>IF(COUNTIF($B$2:B6,B6)=1,SUMIF($B$2:$B$1097,B6,$L$2:$L$1097),"")</f>
        <v>882</v>
      </c>
    </row>
    <row r="7" spans="1:18" ht="12.75" x14ac:dyDescent="0.2">
      <c r="A7" s="3">
        <v>6</v>
      </c>
      <c r="B7" s="26">
        <v>44928</v>
      </c>
      <c r="C7" s="23" t="s">
        <v>8</v>
      </c>
      <c r="D7" s="4">
        <v>3</v>
      </c>
      <c r="E7" s="24" t="s">
        <v>9</v>
      </c>
      <c r="F7" s="5" t="s">
        <v>11</v>
      </c>
      <c r="G7" s="5" t="s">
        <v>10</v>
      </c>
      <c r="H7" s="5" t="s">
        <v>18</v>
      </c>
      <c r="I7" s="5" t="s">
        <v>15</v>
      </c>
      <c r="J7" s="5" t="s">
        <v>56</v>
      </c>
      <c r="K7" s="6">
        <v>21</v>
      </c>
      <c r="L7" s="15">
        <v>215</v>
      </c>
      <c r="M7" s="15">
        <v>13.91956428930415</v>
      </c>
      <c r="N7" s="16">
        <f t="shared" si="1"/>
        <v>201.08043571069584</v>
      </c>
      <c r="O7" s="18">
        <f t="shared" si="0"/>
        <v>0.93525784051486438</v>
      </c>
      <c r="P7" s="19">
        <f t="shared" si="2"/>
        <v>10.238095238095237</v>
      </c>
      <c r="Q7" s="16" t="str">
        <f>IF(COUNTIF($B$2:B7,B7)=1,SUMIF($B$2:$B$1097,B7,$L$2:$L$1097),"")</f>
        <v/>
      </c>
    </row>
    <row r="8" spans="1:18" ht="12.75" x14ac:dyDescent="0.2">
      <c r="A8" s="3">
        <v>7</v>
      </c>
      <c r="B8" s="26">
        <v>44928</v>
      </c>
      <c r="C8" s="23" t="s">
        <v>8</v>
      </c>
      <c r="D8" s="4">
        <v>3</v>
      </c>
      <c r="E8" s="24" t="s">
        <v>9</v>
      </c>
      <c r="F8" s="5" t="s">
        <v>11</v>
      </c>
      <c r="G8" s="5" t="s">
        <v>10</v>
      </c>
      <c r="H8" s="5" t="s">
        <v>18</v>
      </c>
      <c r="I8" s="5" t="s">
        <v>16</v>
      </c>
      <c r="J8" s="5" t="s">
        <v>55</v>
      </c>
      <c r="K8" s="6">
        <v>20</v>
      </c>
      <c r="L8" s="15">
        <v>156</v>
      </c>
      <c r="M8" s="15">
        <f ca="1">RANDBETWEEN(1,50)</f>
        <v>48</v>
      </c>
      <c r="N8" s="16">
        <f t="shared" ca="1" si="1"/>
        <v>108</v>
      </c>
      <c r="O8" s="18">
        <f t="shared" ca="1" si="0"/>
        <v>0.69230769230769229</v>
      </c>
      <c r="P8" s="19">
        <f t="shared" si="2"/>
        <v>7.8</v>
      </c>
      <c r="Q8" s="16" t="str">
        <f>IF(COUNTIF($B$2:B8,B8)=1,SUMIF($B$2:$B$1097,B8,$L$2:$L$1097),"")</f>
        <v/>
      </c>
    </row>
    <row r="9" spans="1:18" ht="12.75" x14ac:dyDescent="0.2">
      <c r="A9" s="3">
        <v>8</v>
      </c>
      <c r="B9" s="26">
        <v>44928</v>
      </c>
      <c r="C9" s="23" t="s">
        <v>8</v>
      </c>
      <c r="D9" s="4">
        <v>3</v>
      </c>
      <c r="E9" s="24" t="s">
        <v>9</v>
      </c>
      <c r="F9" s="5" t="s">
        <v>11</v>
      </c>
      <c r="G9" s="5" t="s">
        <v>10</v>
      </c>
      <c r="H9" s="5" t="s">
        <v>18</v>
      </c>
      <c r="I9" s="5" t="s">
        <v>17</v>
      </c>
      <c r="J9" s="5" t="s">
        <v>53</v>
      </c>
      <c r="K9" s="6">
        <v>24</v>
      </c>
      <c r="L9" s="15">
        <v>216</v>
      </c>
      <c r="M9" s="15">
        <f t="shared" ref="M9:M72" ca="1" si="3">RANDBETWEEN(1,50)</f>
        <v>36</v>
      </c>
      <c r="N9" s="16">
        <f t="shared" ca="1" si="1"/>
        <v>180</v>
      </c>
      <c r="O9" s="18">
        <f t="shared" ca="1" si="0"/>
        <v>0.83333333333333337</v>
      </c>
      <c r="P9" s="19">
        <f t="shared" si="2"/>
        <v>9</v>
      </c>
      <c r="Q9" s="16" t="str">
        <f>IF(COUNTIF($B$2:B9,B9)=1,SUMIF($B$2:$B$1097,B9,$L$2:$L$1097),"")</f>
        <v/>
      </c>
    </row>
    <row r="10" spans="1:18" ht="12.75" x14ac:dyDescent="0.2">
      <c r="A10" s="3">
        <v>9</v>
      </c>
      <c r="B10" s="26">
        <v>44929</v>
      </c>
      <c r="C10" s="23" t="s">
        <v>8</v>
      </c>
      <c r="D10" s="4">
        <v>4</v>
      </c>
      <c r="E10" s="24" t="s">
        <v>9</v>
      </c>
      <c r="F10" s="5" t="s">
        <v>11</v>
      </c>
      <c r="G10" s="5" t="s">
        <v>10</v>
      </c>
      <c r="H10" s="5" t="s">
        <v>18</v>
      </c>
      <c r="I10" s="5" t="s">
        <v>13</v>
      </c>
      <c r="J10" s="5" t="s">
        <v>52</v>
      </c>
      <c r="K10" s="6">
        <v>32</v>
      </c>
      <c r="L10" s="15">
        <v>296</v>
      </c>
      <c r="M10" s="15">
        <f t="shared" ca="1" si="3"/>
        <v>33</v>
      </c>
      <c r="N10" s="16">
        <f t="shared" ca="1" si="1"/>
        <v>263</v>
      </c>
      <c r="O10" s="18">
        <f t="shared" ca="1" si="0"/>
        <v>0.88851351351351349</v>
      </c>
      <c r="P10" s="19">
        <f t="shared" si="2"/>
        <v>9.25</v>
      </c>
      <c r="Q10" s="16">
        <f>IF(COUNTIF($B$2:B10,B10)=1,SUMIF($B$2:$B$1097,B10,$L$2:$L$1097),"")</f>
        <v>778</v>
      </c>
    </row>
    <row r="11" spans="1:18" ht="12.75" x14ac:dyDescent="0.2">
      <c r="A11" s="3">
        <v>10</v>
      </c>
      <c r="B11" s="26">
        <v>44929</v>
      </c>
      <c r="C11" s="23" t="s">
        <v>8</v>
      </c>
      <c r="D11" s="4">
        <v>4</v>
      </c>
      <c r="E11" s="24" t="s">
        <v>9</v>
      </c>
      <c r="F11" s="5" t="s">
        <v>11</v>
      </c>
      <c r="G11" s="5" t="s">
        <v>10</v>
      </c>
      <c r="H11" s="5" t="s">
        <v>18</v>
      </c>
      <c r="I11" s="5" t="s">
        <v>15</v>
      </c>
      <c r="J11" s="5" t="s">
        <v>54</v>
      </c>
      <c r="K11" s="6">
        <v>14</v>
      </c>
      <c r="L11" s="15">
        <v>130</v>
      </c>
      <c r="M11" s="15">
        <f t="shared" ca="1" si="3"/>
        <v>44</v>
      </c>
      <c r="N11" s="16">
        <f t="shared" ca="1" si="1"/>
        <v>86</v>
      </c>
      <c r="O11" s="18">
        <f t="shared" ca="1" si="0"/>
        <v>0.66153846153846152</v>
      </c>
      <c r="P11" s="19">
        <f t="shared" si="2"/>
        <v>9.2857142857142865</v>
      </c>
      <c r="Q11" s="16" t="str">
        <f>IF(COUNTIF($B$2:B11,B11)=1,SUMIF($B$2:$B$1097,B11,$L$2:$L$1097),"")</f>
        <v/>
      </c>
    </row>
    <row r="12" spans="1:18" ht="12.75" x14ac:dyDescent="0.2">
      <c r="A12" s="3">
        <v>11</v>
      </c>
      <c r="B12" s="26">
        <v>44929</v>
      </c>
      <c r="C12" s="23" t="s">
        <v>8</v>
      </c>
      <c r="D12" s="4">
        <v>4</v>
      </c>
      <c r="E12" s="24" t="s">
        <v>9</v>
      </c>
      <c r="F12" s="5" t="s">
        <v>11</v>
      </c>
      <c r="G12" s="5" t="s">
        <v>10</v>
      </c>
      <c r="H12" s="5" t="s">
        <v>18</v>
      </c>
      <c r="I12" s="5" t="s">
        <v>16</v>
      </c>
      <c r="J12" s="5" t="s">
        <v>54</v>
      </c>
      <c r="K12" s="6">
        <v>17</v>
      </c>
      <c r="L12" s="15">
        <v>155</v>
      </c>
      <c r="M12" s="15">
        <f t="shared" ca="1" si="3"/>
        <v>38</v>
      </c>
      <c r="N12" s="16">
        <f t="shared" ca="1" si="1"/>
        <v>117</v>
      </c>
      <c r="O12" s="18">
        <f t="shared" ca="1" si="0"/>
        <v>0.75483870967741939</v>
      </c>
      <c r="P12" s="19">
        <f t="shared" si="2"/>
        <v>9.117647058823529</v>
      </c>
      <c r="Q12" s="16" t="str">
        <f>IF(COUNTIF($B$2:B12,B12)=1,SUMIF($B$2:$B$1097,B12,$L$2:$L$1097),"")</f>
        <v/>
      </c>
    </row>
    <row r="13" spans="1:18" ht="12.75" x14ac:dyDescent="0.2">
      <c r="A13" s="3">
        <v>12</v>
      </c>
      <c r="B13" s="26">
        <v>44929</v>
      </c>
      <c r="C13" s="23" t="s">
        <v>8</v>
      </c>
      <c r="D13" s="4">
        <v>4</v>
      </c>
      <c r="E13" s="24" t="s">
        <v>9</v>
      </c>
      <c r="F13" s="5" t="s">
        <v>11</v>
      </c>
      <c r="G13" s="5" t="s">
        <v>10</v>
      </c>
      <c r="H13" s="5" t="s">
        <v>18</v>
      </c>
      <c r="I13" s="5" t="s">
        <v>17</v>
      </c>
      <c r="J13" s="5" t="s">
        <v>54</v>
      </c>
      <c r="K13" s="6">
        <v>23</v>
      </c>
      <c r="L13" s="15">
        <v>197</v>
      </c>
      <c r="M13" s="15">
        <f t="shared" ca="1" si="3"/>
        <v>40</v>
      </c>
      <c r="N13" s="16">
        <f t="shared" ca="1" si="1"/>
        <v>157</v>
      </c>
      <c r="O13" s="18">
        <f t="shared" ca="1" si="0"/>
        <v>0.79695431472081213</v>
      </c>
      <c r="P13" s="19">
        <f t="shared" si="2"/>
        <v>8.5652173913043477</v>
      </c>
      <c r="Q13" s="16" t="str">
        <f>IF(COUNTIF($B$2:B13,B13)=1,SUMIF($B$2:$B$1097,B13,$L$2:$L$1097),"")</f>
        <v/>
      </c>
    </row>
    <row r="14" spans="1:18" ht="12.75" x14ac:dyDescent="0.2">
      <c r="A14" s="3">
        <v>13</v>
      </c>
      <c r="B14" s="26">
        <v>44930</v>
      </c>
      <c r="C14" s="23" t="s">
        <v>8</v>
      </c>
      <c r="D14" s="4">
        <v>5</v>
      </c>
      <c r="E14" s="24" t="s">
        <v>9</v>
      </c>
      <c r="F14" s="5" t="s">
        <v>11</v>
      </c>
      <c r="G14" s="5" t="s">
        <v>10</v>
      </c>
      <c r="H14" s="5" t="s">
        <v>18</v>
      </c>
      <c r="I14" s="5" t="s">
        <v>13</v>
      </c>
      <c r="J14" s="5" t="s">
        <v>56</v>
      </c>
      <c r="K14" s="6">
        <v>28</v>
      </c>
      <c r="L14" s="15">
        <v>268</v>
      </c>
      <c r="M14" s="15">
        <f t="shared" ca="1" si="3"/>
        <v>47</v>
      </c>
      <c r="N14" s="16">
        <f t="shared" ca="1" si="1"/>
        <v>221</v>
      </c>
      <c r="O14" s="18">
        <f t="shared" ca="1" si="0"/>
        <v>0.82462686567164178</v>
      </c>
      <c r="P14" s="19">
        <f t="shared" si="2"/>
        <v>9.5714285714285712</v>
      </c>
      <c r="Q14" s="16">
        <f>IF(COUNTIF($B$2:B14,B14)=1,SUMIF($B$2:$B$1097,B14,$L$2:$L$1097),"")</f>
        <v>819</v>
      </c>
    </row>
    <row r="15" spans="1:18" ht="12.75" x14ac:dyDescent="0.2">
      <c r="A15" s="3">
        <v>14</v>
      </c>
      <c r="B15" s="26">
        <v>44930</v>
      </c>
      <c r="C15" s="23" t="s">
        <v>8</v>
      </c>
      <c r="D15" s="4">
        <v>5</v>
      </c>
      <c r="E15" s="24" t="s">
        <v>9</v>
      </c>
      <c r="F15" s="5" t="s">
        <v>11</v>
      </c>
      <c r="G15" s="5" t="s">
        <v>10</v>
      </c>
      <c r="H15" s="5" t="s">
        <v>18</v>
      </c>
      <c r="I15" s="5" t="s">
        <v>15</v>
      </c>
      <c r="J15" s="5" t="s">
        <v>56</v>
      </c>
      <c r="K15" s="6">
        <v>18</v>
      </c>
      <c r="L15" s="15">
        <v>166</v>
      </c>
      <c r="M15" s="15">
        <f t="shared" ca="1" si="3"/>
        <v>20</v>
      </c>
      <c r="N15" s="16">
        <f t="shared" ca="1" si="1"/>
        <v>146</v>
      </c>
      <c r="O15" s="18">
        <f t="shared" ca="1" si="0"/>
        <v>0.87951807228915657</v>
      </c>
      <c r="P15" s="19">
        <f t="shared" si="2"/>
        <v>9.2222222222222214</v>
      </c>
      <c r="Q15" s="16" t="str">
        <f>IF(COUNTIF($B$2:B15,B15)=1,SUMIF($B$2:$B$1097,B15,$L$2:$L$1097),"")</f>
        <v/>
      </c>
    </row>
    <row r="16" spans="1:18" ht="12.75" x14ac:dyDescent="0.2">
      <c r="A16" s="3">
        <v>15</v>
      </c>
      <c r="B16" s="26">
        <v>44930</v>
      </c>
      <c r="C16" s="23" t="s">
        <v>8</v>
      </c>
      <c r="D16" s="4">
        <v>5</v>
      </c>
      <c r="E16" s="24" t="s">
        <v>9</v>
      </c>
      <c r="F16" s="5" t="s">
        <v>11</v>
      </c>
      <c r="G16" s="5" t="s">
        <v>10</v>
      </c>
      <c r="H16" s="5" t="s">
        <v>18</v>
      </c>
      <c r="I16" s="5" t="s">
        <v>16</v>
      </c>
      <c r="J16" s="5" t="s">
        <v>55</v>
      </c>
      <c r="K16" s="6">
        <v>15</v>
      </c>
      <c r="L16" s="15">
        <v>141</v>
      </c>
      <c r="M16" s="15">
        <f t="shared" ca="1" si="3"/>
        <v>1</v>
      </c>
      <c r="N16" s="16">
        <f t="shared" ca="1" si="1"/>
        <v>140</v>
      </c>
      <c r="O16" s="18">
        <f t="shared" ca="1" si="0"/>
        <v>0.99290780141843971</v>
      </c>
      <c r="P16" s="19">
        <f t="shared" si="2"/>
        <v>9.4</v>
      </c>
      <c r="Q16" s="16" t="str">
        <f>IF(COUNTIF($B$2:B16,B16)=1,SUMIF($B$2:$B$1097,B16,$L$2:$L$1097),"")</f>
        <v/>
      </c>
    </row>
    <row r="17" spans="1:18" ht="12.75" x14ac:dyDescent="0.2">
      <c r="A17" s="3">
        <v>16</v>
      </c>
      <c r="B17" s="26">
        <v>44930</v>
      </c>
      <c r="C17" s="23" t="s">
        <v>8</v>
      </c>
      <c r="D17" s="4">
        <v>5</v>
      </c>
      <c r="E17" s="24" t="s">
        <v>9</v>
      </c>
      <c r="F17" s="5" t="s">
        <v>11</v>
      </c>
      <c r="G17" s="5" t="s">
        <v>10</v>
      </c>
      <c r="H17" s="5" t="s">
        <v>18</v>
      </c>
      <c r="I17" s="5" t="s">
        <v>17</v>
      </c>
      <c r="J17" s="5" t="s">
        <v>53</v>
      </c>
      <c r="K17" s="6">
        <v>28</v>
      </c>
      <c r="L17" s="15">
        <v>244</v>
      </c>
      <c r="M17" s="15">
        <f t="shared" ca="1" si="3"/>
        <v>16</v>
      </c>
      <c r="N17" s="16">
        <f t="shared" ca="1" si="1"/>
        <v>228</v>
      </c>
      <c r="O17" s="18">
        <f t="shared" ca="1" si="0"/>
        <v>0.93442622950819676</v>
      </c>
      <c r="P17" s="19">
        <f t="shared" si="2"/>
        <v>8.7142857142857135</v>
      </c>
      <c r="Q17" s="16" t="str">
        <f>IF(COUNTIF($B$2:B17,B17)=1,SUMIF($B$2:$B$1097,B17,$L$2:$L$1097),"")</f>
        <v/>
      </c>
    </row>
    <row r="18" spans="1:18" ht="12.75" x14ac:dyDescent="0.2">
      <c r="A18" s="3">
        <v>17</v>
      </c>
      <c r="B18" s="26">
        <v>44931</v>
      </c>
      <c r="C18" s="23" t="s">
        <v>8</v>
      </c>
      <c r="D18" s="4">
        <v>6</v>
      </c>
      <c r="E18" s="24" t="s">
        <v>9</v>
      </c>
      <c r="F18" s="5" t="s">
        <v>11</v>
      </c>
      <c r="G18" s="5" t="s">
        <v>10</v>
      </c>
      <c r="H18" s="5" t="s">
        <v>18</v>
      </c>
      <c r="I18" s="5" t="s">
        <v>13</v>
      </c>
      <c r="J18" s="5" t="s">
        <v>52</v>
      </c>
      <c r="K18" s="6">
        <v>33</v>
      </c>
      <c r="L18" s="15">
        <v>331</v>
      </c>
      <c r="M18" s="15">
        <f t="shared" ca="1" si="3"/>
        <v>47</v>
      </c>
      <c r="N18" s="16">
        <f t="shared" ca="1" si="1"/>
        <v>284</v>
      </c>
      <c r="O18" s="18">
        <f t="shared" ca="1" si="0"/>
        <v>0.85800604229607247</v>
      </c>
      <c r="P18" s="19">
        <f t="shared" si="2"/>
        <v>10.030303030303031</v>
      </c>
      <c r="Q18" s="16">
        <f>IF(COUNTIF($B$2:B18,B18)=1,SUMIF($B$2:$B$1097,B18,$L$2:$L$1097),"")</f>
        <v>1039</v>
      </c>
    </row>
    <row r="19" spans="1:18" ht="12.75" x14ac:dyDescent="0.2">
      <c r="A19" s="3">
        <v>18</v>
      </c>
      <c r="B19" s="26">
        <v>44931</v>
      </c>
      <c r="C19" s="23" t="s">
        <v>8</v>
      </c>
      <c r="D19" s="4">
        <v>6</v>
      </c>
      <c r="E19" s="24" t="s">
        <v>9</v>
      </c>
      <c r="F19" s="5" t="s">
        <v>11</v>
      </c>
      <c r="G19" s="5" t="s">
        <v>10</v>
      </c>
      <c r="H19" s="5" t="s">
        <v>18</v>
      </c>
      <c r="I19" s="5" t="s">
        <v>15</v>
      </c>
      <c r="J19" s="5" t="s">
        <v>55</v>
      </c>
      <c r="K19" s="6">
        <v>25</v>
      </c>
      <c r="L19" s="15">
        <v>227</v>
      </c>
      <c r="M19" s="15">
        <f t="shared" ca="1" si="3"/>
        <v>47</v>
      </c>
      <c r="N19" s="16">
        <f t="shared" ca="1" si="1"/>
        <v>180</v>
      </c>
      <c r="O19" s="18">
        <f t="shared" ca="1" si="0"/>
        <v>0.79295154185022021</v>
      </c>
      <c r="P19" s="19">
        <f t="shared" si="2"/>
        <v>9.08</v>
      </c>
      <c r="Q19" s="16" t="str">
        <f>IF(COUNTIF($B$2:B19,B19)=1,SUMIF($B$2:$B$1097,B19,$L$2:$L$1097),"")</f>
        <v/>
      </c>
    </row>
    <row r="20" spans="1:18" ht="12.75" x14ac:dyDescent="0.2">
      <c r="A20" s="3">
        <v>19</v>
      </c>
      <c r="B20" s="26">
        <v>44931</v>
      </c>
      <c r="C20" s="23" t="s">
        <v>8</v>
      </c>
      <c r="D20" s="4">
        <v>6</v>
      </c>
      <c r="E20" s="24" t="s">
        <v>9</v>
      </c>
      <c r="F20" s="5" t="s">
        <v>11</v>
      </c>
      <c r="G20" s="5" t="s">
        <v>10</v>
      </c>
      <c r="H20" s="5" t="s">
        <v>18</v>
      </c>
      <c r="I20" s="5" t="s">
        <v>16</v>
      </c>
      <c r="J20" s="5" t="s">
        <v>55</v>
      </c>
      <c r="K20" s="6">
        <v>16</v>
      </c>
      <c r="L20" s="15">
        <v>160</v>
      </c>
      <c r="M20" s="15">
        <f t="shared" ca="1" si="3"/>
        <v>3</v>
      </c>
      <c r="N20" s="16">
        <f t="shared" ca="1" si="1"/>
        <v>157</v>
      </c>
      <c r="O20" s="18">
        <f t="shared" ca="1" si="0"/>
        <v>0.98124999999999996</v>
      </c>
      <c r="P20" s="19">
        <f t="shared" si="2"/>
        <v>10</v>
      </c>
      <c r="Q20" s="16" t="str">
        <f>IF(COUNTIF($B$2:B20,B20)=1,SUMIF($B$2:$B$1097,B20,$L$2:$L$1097),"")</f>
        <v/>
      </c>
    </row>
    <row r="21" spans="1:18" ht="12.75" x14ac:dyDescent="0.2">
      <c r="A21" s="3">
        <v>20</v>
      </c>
      <c r="B21" s="26">
        <v>44931</v>
      </c>
      <c r="C21" s="23" t="s">
        <v>8</v>
      </c>
      <c r="D21" s="4">
        <v>6</v>
      </c>
      <c r="E21" s="24" t="s">
        <v>9</v>
      </c>
      <c r="F21" s="5" t="s">
        <v>11</v>
      </c>
      <c r="G21" s="5" t="s">
        <v>10</v>
      </c>
      <c r="H21" s="5" t="s">
        <v>18</v>
      </c>
      <c r="I21" s="5" t="s">
        <v>17</v>
      </c>
      <c r="J21" s="5" t="s">
        <v>53</v>
      </c>
      <c r="K21" s="6">
        <v>35</v>
      </c>
      <c r="L21" s="15">
        <v>321</v>
      </c>
      <c r="M21" s="15">
        <f t="shared" ca="1" si="3"/>
        <v>39</v>
      </c>
      <c r="N21" s="16">
        <f t="shared" ca="1" si="1"/>
        <v>282</v>
      </c>
      <c r="O21" s="18">
        <f t="shared" ca="1" si="0"/>
        <v>0.87850467289719625</v>
      </c>
      <c r="P21" s="19">
        <f t="shared" si="2"/>
        <v>9.1714285714285708</v>
      </c>
      <c r="Q21" s="16" t="str">
        <f>IF(COUNTIF($B$2:B21,B21)=1,SUMIF($B$2:$B$1097,B21,$L$2:$L$1097),"")</f>
        <v/>
      </c>
    </row>
    <row r="22" spans="1:18" ht="12.75" x14ac:dyDescent="0.2">
      <c r="A22" s="3">
        <v>21</v>
      </c>
      <c r="B22" s="26">
        <v>44932</v>
      </c>
      <c r="C22" s="23" t="s">
        <v>8</v>
      </c>
      <c r="D22" s="4">
        <v>7</v>
      </c>
      <c r="E22" s="24" t="s">
        <v>9</v>
      </c>
      <c r="F22" s="5" t="s">
        <v>11</v>
      </c>
      <c r="G22" s="5" t="s">
        <v>10</v>
      </c>
      <c r="H22" s="5" t="s">
        <v>18</v>
      </c>
      <c r="I22" s="5" t="s">
        <v>13</v>
      </c>
      <c r="J22" s="5" t="s">
        <v>56</v>
      </c>
      <c r="K22" s="6">
        <v>37</v>
      </c>
      <c r="L22" s="15">
        <v>375</v>
      </c>
      <c r="M22" s="15">
        <f t="shared" ca="1" si="3"/>
        <v>7</v>
      </c>
      <c r="N22" s="16">
        <f t="shared" ca="1" si="1"/>
        <v>368</v>
      </c>
      <c r="O22" s="18">
        <f t="shared" ca="1" si="0"/>
        <v>0.98133333333333328</v>
      </c>
      <c r="P22" s="19">
        <f t="shared" si="2"/>
        <v>10.135135135135135</v>
      </c>
      <c r="Q22" s="16">
        <f>IF(COUNTIF($B$2:B22,B22)=1,SUMIF($B$2:$B$1097,B22,$L$2:$L$1097),"")</f>
        <v>375</v>
      </c>
      <c r="R22" s="16">
        <f>AVERAGE(Q2:Q22)</f>
        <v>648.83333333333337</v>
      </c>
    </row>
    <row r="23" spans="1:18" ht="12.75" x14ac:dyDescent="0.2">
      <c r="A23" s="3">
        <v>22</v>
      </c>
      <c r="B23" s="26">
        <v>44934</v>
      </c>
      <c r="C23" s="23" t="s">
        <v>8</v>
      </c>
      <c r="D23" s="4">
        <v>2</v>
      </c>
      <c r="E23" s="24" t="s">
        <v>9</v>
      </c>
      <c r="F23" s="5" t="s">
        <v>11</v>
      </c>
      <c r="G23" s="5" t="s">
        <v>11</v>
      </c>
      <c r="H23" s="5" t="s">
        <v>14</v>
      </c>
      <c r="I23" s="5" t="s">
        <v>13</v>
      </c>
      <c r="J23" s="5" t="s">
        <v>52</v>
      </c>
      <c r="K23" s="6">
        <v>32</v>
      </c>
      <c r="L23" s="15">
        <v>352</v>
      </c>
      <c r="M23" s="15">
        <f t="shared" ca="1" si="3"/>
        <v>39</v>
      </c>
      <c r="N23" s="16">
        <f t="shared" ca="1" si="1"/>
        <v>313</v>
      </c>
      <c r="O23" s="18">
        <f t="shared" ca="1" si="0"/>
        <v>0.88920454545454541</v>
      </c>
      <c r="P23" s="19">
        <f t="shared" si="2"/>
        <v>11</v>
      </c>
      <c r="Q23" s="16">
        <f>IF(COUNTIF($B$2:B23,B23)=1,SUMIF($B$2:$B$1097,B23,$L$2:$L$1097),"")</f>
        <v>968</v>
      </c>
      <c r="R23" s="16">
        <f>AVERAGE(Q3:Q23)</f>
        <v>810.16666666666663</v>
      </c>
    </row>
    <row r="24" spans="1:18" ht="12.75" x14ac:dyDescent="0.2">
      <c r="A24" s="3">
        <v>23</v>
      </c>
      <c r="B24" s="26">
        <v>44934</v>
      </c>
      <c r="C24" s="23" t="s">
        <v>8</v>
      </c>
      <c r="D24" s="4">
        <v>2</v>
      </c>
      <c r="E24" s="24" t="s">
        <v>9</v>
      </c>
      <c r="F24" s="5" t="s">
        <v>11</v>
      </c>
      <c r="G24" s="5" t="s">
        <v>11</v>
      </c>
      <c r="H24" s="5" t="s">
        <v>14</v>
      </c>
      <c r="I24" s="5" t="s">
        <v>15</v>
      </c>
      <c r="J24" s="5" t="s">
        <v>54</v>
      </c>
      <c r="K24" s="6">
        <v>16</v>
      </c>
      <c r="L24" s="15">
        <v>176</v>
      </c>
      <c r="M24" s="15">
        <f t="shared" ca="1" si="3"/>
        <v>16</v>
      </c>
      <c r="N24" s="16">
        <f t="shared" ca="1" si="1"/>
        <v>160</v>
      </c>
      <c r="O24" s="18">
        <f t="shared" ca="1" si="0"/>
        <v>0.90909090909090906</v>
      </c>
      <c r="P24" s="19">
        <f t="shared" si="2"/>
        <v>11</v>
      </c>
      <c r="Q24" s="16" t="str">
        <f>IF(COUNTIF($B$2:B24,B24)=1,SUMIF($B$2:$B$1097,B24,$L$2:$L$1097),"")</f>
        <v/>
      </c>
    </row>
    <row r="25" spans="1:18" ht="12.75" x14ac:dyDescent="0.2">
      <c r="A25" s="3">
        <v>24</v>
      </c>
      <c r="B25" s="26">
        <v>44934</v>
      </c>
      <c r="C25" s="23" t="s">
        <v>8</v>
      </c>
      <c r="D25" s="4">
        <v>2</v>
      </c>
      <c r="E25" s="24" t="s">
        <v>9</v>
      </c>
      <c r="F25" s="5" t="s">
        <v>11</v>
      </c>
      <c r="G25" s="5" t="s">
        <v>11</v>
      </c>
      <c r="H25" s="5" t="s">
        <v>14</v>
      </c>
      <c r="I25" s="5" t="s">
        <v>16</v>
      </c>
      <c r="J25" s="5" t="s">
        <v>54</v>
      </c>
      <c r="K25" s="6">
        <v>19</v>
      </c>
      <c r="L25" s="15">
        <v>209</v>
      </c>
      <c r="M25" s="15">
        <f t="shared" ca="1" si="3"/>
        <v>8</v>
      </c>
      <c r="N25" s="16">
        <f t="shared" ca="1" si="1"/>
        <v>201</v>
      </c>
      <c r="O25" s="18">
        <f t="shared" ca="1" si="0"/>
        <v>0.96172248803827753</v>
      </c>
      <c r="P25" s="19">
        <f t="shared" si="2"/>
        <v>11</v>
      </c>
      <c r="Q25" s="16" t="str">
        <f>IF(COUNTIF($B$2:B25,B25)=1,SUMIF($B$2:$B$1097,B25,$L$2:$L$1097),"")</f>
        <v/>
      </c>
    </row>
    <row r="26" spans="1:18" ht="12.75" x14ac:dyDescent="0.2">
      <c r="A26" s="3">
        <v>25</v>
      </c>
      <c r="B26" s="26">
        <v>44934</v>
      </c>
      <c r="C26" s="23" t="s">
        <v>8</v>
      </c>
      <c r="D26" s="4">
        <v>2</v>
      </c>
      <c r="E26" s="24" t="s">
        <v>9</v>
      </c>
      <c r="F26" s="5" t="s">
        <v>11</v>
      </c>
      <c r="G26" s="5" t="s">
        <v>11</v>
      </c>
      <c r="H26" s="5" t="s">
        <v>14</v>
      </c>
      <c r="I26" s="5" t="s">
        <v>17</v>
      </c>
      <c r="J26" s="5" t="s">
        <v>54</v>
      </c>
      <c r="K26" s="6">
        <v>21</v>
      </c>
      <c r="L26" s="15">
        <v>231</v>
      </c>
      <c r="M26" s="15">
        <f t="shared" ca="1" si="3"/>
        <v>42</v>
      </c>
      <c r="N26" s="16">
        <f t="shared" ca="1" si="1"/>
        <v>189</v>
      </c>
      <c r="O26" s="18">
        <f t="shared" ca="1" si="0"/>
        <v>0.81818181818181823</v>
      </c>
      <c r="P26" s="19">
        <f t="shared" si="2"/>
        <v>11</v>
      </c>
      <c r="Q26" s="16" t="str">
        <f>IF(COUNTIF($B$2:B26,B26)=1,SUMIF($B$2:$B$1097,B26,$L$2:$L$1097),"")</f>
        <v/>
      </c>
    </row>
    <row r="27" spans="1:18" ht="12.75" x14ac:dyDescent="0.2">
      <c r="A27" s="3">
        <v>26</v>
      </c>
      <c r="B27" s="26">
        <v>44935</v>
      </c>
      <c r="C27" s="23" t="s">
        <v>8</v>
      </c>
      <c r="D27" s="4">
        <v>3</v>
      </c>
      <c r="E27" s="24" t="s">
        <v>9</v>
      </c>
      <c r="F27" s="5" t="s">
        <v>11</v>
      </c>
      <c r="G27" s="5" t="s">
        <v>11</v>
      </c>
      <c r="H27" s="5" t="s">
        <v>14</v>
      </c>
      <c r="I27" s="5" t="s">
        <v>13</v>
      </c>
      <c r="J27" s="5" t="s">
        <v>56</v>
      </c>
      <c r="K27" s="6">
        <v>25</v>
      </c>
      <c r="L27" s="15">
        <v>275</v>
      </c>
      <c r="M27" s="15">
        <f t="shared" ca="1" si="3"/>
        <v>44</v>
      </c>
      <c r="N27" s="16">
        <f t="shared" ca="1" si="1"/>
        <v>231</v>
      </c>
      <c r="O27" s="18">
        <f t="shared" ca="1" si="0"/>
        <v>0.84</v>
      </c>
      <c r="P27" s="19">
        <f t="shared" si="2"/>
        <v>11</v>
      </c>
      <c r="Q27" s="16">
        <f>IF(COUNTIF($B$2:B27,B27)=1,SUMIF($B$2:$B$1097,B27,$L$2:$L$1097),"")</f>
        <v>825</v>
      </c>
      <c r="R27" s="16">
        <f>AVERAGE(Q7:Q27)</f>
        <v>800.66666666666663</v>
      </c>
    </row>
    <row r="28" spans="1:18" ht="12.75" x14ac:dyDescent="0.2">
      <c r="A28" s="3">
        <v>27</v>
      </c>
      <c r="B28" s="26">
        <v>44935</v>
      </c>
      <c r="C28" s="23" t="s">
        <v>8</v>
      </c>
      <c r="D28" s="4">
        <v>3</v>
      </c>
      <c r="E28" s="24" t="s">
        <v>9</v>
      </c>
      <c r="F28" s="5" t="s">
        <v>11</v>
      </c>
      <c r="G28" s="5" t="s">
        <v>11</v>
      </c>
      <c r="H28" s="5" t="s">
        <v>14</v>
      </c>
      <c r="I28" s="5" t="s">
        <v>15</v>
      </c>
      <c r="J28" s="5" t="s">
        <v>56</v>
      </c>
      <c r="K28" s="6">
        <v>16</v>
      </c>
      <c r="L28" s="15">
        <v>176</v>
      </c>
      <c r="M28" s="15">
        <f t="shared" ca="1" si="3"/>
        <v>2</v>
      </c>
      <c r="N28" s="16">
        <f t="shared" ca="1" si="1"/>
        <v>174</v>
      </c>
      <c r="O28" s="18">
        <f t="shared" ca="1" si="0"/>
        <v>0.98863636363636365</v>
      </c>
      <c r="P28" s="19">
        <f t="shared" si="2"/>
        <v>11</v>
      </c>
      <c r="Q28" s="16" t="str">
        <f>IF(COUNTIF($B$2:B28,B28)=1,SUMIF($B$2:$B$1097,B28,$L$2:$L$1097),"")</f>
        <v/>
      </c>
    </row>
    <row r="29" spans="1:18" ht="12.75" x14ac:dyDescent="0.2">
      <c r="A29" s="3">
        <v>28</v>
      </c>
      <c r="B29" s="26">
        <v>44935</v>
      </c>
      <c r="C29" s="23" t="s">
        <v>8</v>
      </c>
      <c r="D29" s="4">
        <v>3</v>
      </c>
      <c r="E29" s="24" t="s">
        <v>9</v>
      </c>
      <c r="F29" s="5" t="s">
        <v>11</v>
      </c>
      <c r="G29" s="5" t="s">
        <v>11</v>
      </c>
      <c r="H29" s="5" t="s">
        <v>14</v>
      </c>
      <c r="I29" s="5" t="s">
        <v>16</v>
      </c>
      <c r="J29" s="5" t="s">
        <v>55</v>
      </c>
      <c r="K29" s="6">
        <v>12</v>
      </c>
      <c r="L29" s="15">
        <v>132</v>
      </c>
      <c r="M29" s="15">
        <f t="shared" ca="1" si="3"/>
        <v>8</v>
      </c>
      <c r="N29" s="16">
        <f t="shared" ca="1" si="1"/>
        <v>124</v>
      </c>
      <c r="O29" s="18">
        <f t="shared" ca="1" si="0"/>
        <v>0.93939393939393945</v>
      </c>
      <c r="P29" s="19">
        <f t="shared" si="2"/>
        <v>11</v>
      </c>
      <c r="Q29" s="16" t="str">
        <f>IF(COUNTIF($B$2:B29,B29)=1,SUMIF($B$2:$B$1097,B29,$L$2:$L$1097),"")</f>
        <v/>
      </c>
    </row>
    <row r="30" spans="1:18" ht="12.75" x14ac:dyDescent="0.2">
      <c r="A30" s="3">
        <v>29</v>
      </c>
      <c r="B30" s="26">
        <v>44935</v>
      </c>
      <c r="C30" s="23" t="s">
        <v>8</v>
      </c>
      <c r="D30" s="4">
        <v>3</v>
      </c>
      <c r="E30" s="24" t="s">
        <v>9</v>
      </c>
      <c r="F30" s="5" t="s">
        <v>11</v>
      </c>
      <c r="G30" s="5" t="s">
        <v>11</v>
      </c>
      <c r="H30" s="5" t="s">
        <v>14</v>
      </c>
      <c r="I30" s="5" t="s">
        <v>17</v>
      </c>
      <c r="J30" s="5" t="s">
        <v>53</v>
      </c>
      <c r="K30" s="6">
        <v>22</v>
      </c>
      <c r="L30" s="15">
        <v>242</v>
      </c>
      <c r="M30" s="15">
        <f t="shared" ca="1" si="3"/>
        <v>11</v>
      </c>
      <c r="N30" s="16">
        <f t="shared" ca="1" si="1"/>
        <v>231</v>
      </c>
      <c r="O30" s="18">
        <f t="shared" ca="1" si="0"/>
        <v>0.95454545454545459</v>
      </c>
      <c r="P30" s="19">
        <f t="shared" si="2"/>
        <v>11</v>
      </c>
      <c r="Q30" s="16" t="str">
        <f>IF(COUNTIF($B$2:B30,B30)=1,SUMIF($B$2:$B$1097,B30,$L$2:$L$1097),"")</f>
        <v/>
      </c>
    </row>
    <row r="31" spans="1:18" ht="12.75" x14ac:dyDescent="0.2">
      <c r="A31" s="3">
        <v>30</v>
      </c>
      <c r="B31" s="26">
        <v>44936</v>
      </c>
      <c r="C31" s="23" t="s">
        <v>8</v>
      </c>
      <c r="D31" s="4">
        <v>4</v>
      </c>
      <c r="E31" s="24" t="s">
        <v>9</v>
      </c>
      <c r="F31" s="5" t="s">
        <v>11</v>
      </c>
      <c r="G31" s="5" t="s">
        <v>11</v>
      </c>
      <c r="H31" s="5" t="s">
        <v>14</v>
      </c>
      <c r="I31" s="5" t="s">
        <v>13</v>
      </c>
      <c r="J31" s="5" t="s">
        <v>52</v>
      </c>
      <c r="K31" s="6">
        <v>25</v>
      </c>
      <c r="L31" s="15">
        <v>275</v>
      </c>
      <c r="M31" s="15">
        <f t="shared" ca="1" si="3"/>
        <v>49</v>
      </c>
      <c r="N31" s="16">
        <f t="shared" ca="1" si="1"/>
        <v>226</v>
      </c>
      <c r="O31" s="18">
        <f t="shared" ca="1" si="0"/>
        <v>0.82181818181818178</v>
      </c>
      <c r="P31" s="19">
        <f t="shared" si="2"/>
        <v>11</v>
      </c>
      <c r="Q31" s="16">
        <f>IF(COUNTIF($B$2:B31,B31)=1,SUMIF($B$2:$B$1097,B31,$L$2:$L$1097),"")</f>
        <v>726</v>
      </c>
      <c r="R31" s="16">
        <f>AVERAGE(Q11:Q31)</f>
        <v>792</v>
      </c>
    </row>
    <row r="32" spans="1:18" ht="12.75" x14ac:dyDescent="0.2">
      <c r="A32" s="3">
        <v>31</v>
      </c>
      <c r="B32" s="26">
        <v>44936</v>
      </c>
      <c r="C32" s="23" t="s">
        <v>8</v>
      </c>
      <c r="D32" s="4">
        <v>4</v>
      </c>
      <c r="E32" s="24" t="s">
        <v>9</v>
      </c>
      <c r="F32" s="5" t="s">
        <v>11</v>
      </c>
      <c r="G32" s="5" t="s">
        <v>11</v>
      </c>
      <c r="H32" s="5" t="s">
        <v>14</v>
      </c>
      <c r="I32" s="5" t="s">
        <v>15</v>
      </c>
      <c r="J32" s="5" t="s">
        <v>54</v>
      </c>
      <c r="K32" s="6">
        <v>13</v>
      </c>
      <c r="L32" s="15">
        <v>143</v>
      </c>
      <c r="M32" s="15">
        <f t="shared" ca="1" si="3"/>
        <v>24</v>
      </c>
      <c r="N32" s="16">
        <f t="shared" ca="1" si="1"/>
        <v>119</v>
      </c>
      <c r="O32" s="18">
        <f t="shared" ca="1" si="0"/>
        <v>0.83216783216783219</v>
      </c>
      <c r="P32" s="19">
        <f t="shared" si="2"/>
        <v>11</v>
      </c>
      <c r="Q32" s="16" t="str">
        <f>IF(COUNTIF($B$2:B32,B32)=1,SUMIF($B$2:$B$1097,B32,$L$2:$L$1097),"")</f>
        <v/>
      </c>
    </row>
    <row r="33" spans="1:18" ht="12.75" x14ac:dyDescent="0.2">
      <c r="A33" s="3">
        <v>32</v>
      </c>
      <c r="B33" s="26">
        <v>44936</v>
      </c>
      <c r="C33" s="23" t="s">
        <v>8</v>
      </c>
      <c r="D33" s="4">
        <v>4</v>
      </c>
      <c r="E33" s="24" t="s">
        <v>9</v>
      </c>
      <c r="F33" s="5" t="s">
        <v>11</v>
      </c>
      <c r="G33" s="5" t="s">
        <v>11</v>
      </c>
      <c r="H33" s="5" t="s">
        <v>14</v>
      </c>
      <c r="I33" s="5" t="s">
        <v>16</v>
      </c>
      <c r="J33" s="5" t="s">
        <v>54</v>
      </c>
      <c r="K33" s="6">
        <v>12</v>
      </c>
      <c r="L33" s="15">
        <v>132</v>
      </c>
      <c r="M33" s="15">
        <f t="shared" ca="1" si="3"/>
        <v>19</v>
      </c>
      <c r="N33" s="16">
        <f t="shared" ca="1" si="1"/>
        <v>113</v>
      </c>
      <c r="O33" s="18">
        <f t="shared" ca="1" si="0"/>
        <v>0.85606060606060608</v>
      </c>
      <c r="P33" s="19">
        <f t="shared" si="2"/>
        <v>11</v>
      </c>
      <c r="Q33" s="16" t="str">
        <f>IF(COUNTIF($B$2:B33,B33)=1,SUMIF($B$2:$B$1097,B33,$L$2:$L$1097),"")</f>
        <v/>
      </c>
    </row>
    <row r="34" spans="1:18" ht="12.75" x14ac:dyDescent="0.2">
      <c r="A34" s="3">
        <v>33</v>
      </c>
      <c r="B34" s="26">
        <v>44936</v>
      </c>
      <c r="C34" s="23" t="s">
        <v>8</v>
      </c>
      <c r="D34" s="4">
        <v>4</v>
      </c>
      <c r="E34" s="24" t="s">
        <v>9</v>
      </c>
      <c r="F34" s="5" t="s">
        <v>11</v>
      </c>
      <c r="G34" s="5" t="s">
        <v>11</v>
      </c>
      <c r="H34" s="5" t="s">
        <v>14</v>
      </c>
      <c r="I34" s="5" t="s">
        <v>17</v>
      </c>
      <c r="J34" s="5" t="s">
        <v>54</v>
      </c>
      <c r="K34" s="6">
        <v>16</v>
      </c>
      <c r="L34" s="15">
        <v>176</v>
      </c>
      <c r="M34" s="15">
        <f t="shared" ca="1" si="3"/>
        <v>43</v>
      </c>
      <c r="N34" s="16">
        <f t="shared" ca="1" si="1"/>
        <v>133</v>
      </c>
      <c r="O34" s="18">
        <f t="shared" ca="1" si="0"/>
        <v>0.75568181818181823</v>
      </c>
      <c r="P34" s="19">
        <f t="shared" si="2"/>
        <v>11</v>
      </c>
      <c r="Q34" s="16" t="str">
        <f>IF(COUNTIF($B$2:B34,B34)=1,SUMIF($B$2:$B$1097,B34,$L$2:$L$1097),"")</f>
        <v/>
      </c>
    </row>
    <row r="35" spans="1:18" ht="12.75" x14ac:dyDescent="0.2">
      <c r="A35" s="3">
        <v>34</v>
      </c>
      <c r="B35" s="26">
        <v>44937</v>
      </c>
      <c r="C35" s="23" t="s">
        <v>8</v>
      </c>
      <c r="D35" s="4">
        <v>5</v>
      </c>
      <c r="E35" s="24" t="s">
        <v>9</v>
      </c>
      <c r="F35" s="5" t="s">
        <v>11</v>
      </c>
      <c r="G35" s="5" t="s">
        <v>11</v>
      </c>
      <c r="H35" s="5" t="s">
        <v>14</v>
      </c>
      <c r="I35" s="5" t="s">
        <v>13</v>
      </c>
      <c r="J35" s="5" t="s">
        <v>56</v>
      </c>
      <c r="K35" s="6">
        <v>28</v>
      </c>
      <c r="L35" s="15">
        <v>308</v>
      </c>
      <c r="M35" s="15">
        <f t="shared" ca="1" si="3"/>
        <v>24</v>
      </c>
      <c r="N35" s="16">
        <f t="shared" ca="1" si="1"/>
        <v>284</v>
      </c>
      <c r="O35" s="18">
        <f t="shared" ca="1" si="0"/>
        <v>0.92207792207792205</v>
      </c>
      <c r="P35" s="19">
        <f t="shared" si="2"/>
        <v>11</v>
      </c>
      <c r="Q35" s="16">
        <f>IF(COUNTIF($B$2:B35,B35)=1,SUMIF($B$2:$B$1097,B35,$L$2:$L$1097),"")</f>
        <v>902</v>
      </c>
      <c r="R35" s="16">
        <f>AVERAGE(Q15:Q35)</f>
        <v>805.83333333333337</v>
      </c>
    </row>
    <row r="36" spans="1:18" ht="12.75" x14ac:dyDescent="0.2">
      <c r="A36" s="3">
        <v>35</v>
      </c>
      <c r="B36" s="26">
        <v>44937</v>
      </c>
      <c r="C36" s="23" t="s">
        <v>8</v>
      </c>
      <c r="D36" s="4">
        <v>5</v>
      </c>
      <c r="E36" s="24" t="s">
        <v>9</v>
      </c>
      <c r="F36" s="5" t="s">
        <v>11</v>
      </c>
      <c r="G36" s="5" t="s">
        <v>11</v>
      </c>
      <c r="H36" s="5" t="s">
        <v>14</v>
      </c>
      <c r="I36" s="5" t="s">
        <v>15</v>
      </c>
      <c r="J36" s="5" t="s">
        <v>56</v>
      </c>
      <c r="K36" s="6">
        <v>21</v>
      </c>
      <c r="L36" s="15">
        <v>231</v>
      </c>
      <c r="M36" s="15">
        <f t="shared" ca="1" si="3"/>
        <v>33</v>
      </c>
      <c r="N36" s="16">
        <f t="shared" ca="1" si="1"/>
        <v>198</v>
      </c>
      <c r="O36" s="18">
        <f t="shared" ca="1" si="0"/>
        <v>0.8571428571428571</v>
      </c>
      <c r="P36" s="19">
        <f t="shared" si="2"/>
        <v>11</v>
      </c>
      <c r="Q36" s="16" t="str">
        <f>IF(COUNTIF($B$2:B36,B36)=1,SUMIF($B$2:$B$1097,B36,$L$2:$L$1097),"")</f>
        <v/>
      </c>
    </row>
    <row r="37" spans="1:18" ht="12.75" x14ac:dyDescent="0.2">
      <c r="A37" s="3">
        <v>36</v>
      </c>
      <c r="B37" s="26">
        <v>44937</v>
      </c>
      <c r="C37" s="23" t="s">
        <v>8</v>
      </c>
      <c r="D37" s="4">
        <v>5</v>
      </c>
      <c r="E37" s="24" t="s">
        <v>9</v>
      </c>
      <c r="F37" s="5" t="s">
        <v>11</v>
      </c>
      <c r="G37" s="5" t="s">
        <v>11</v>
      </c>
      <c r="H37" s="5" t="s">
        <v>14</v>
      </c>
      <c r="I37" s="5" t="s">
        <v>16</v>
      </c>
      <c r="J37" s="5" t="s">
        <v>55</v>
      </c>
      <c r="K37" s="6">
        <v>10</v>
      </c>
      <c r="L37" s="15">
        <v>110</v>
      </c>
      <c r="M37" s="15">
        <f t="shared" ca="1" si="3"/>
        <v>14</v>
      </c>
      <c r="N37" s="16">
        <f t="shared" ca="1" si="1"/>
        <v>96</v>
      </c>
      <c r="O37" s="18">
        <f t="shared" ca="1" si="0"/>
        <v>0.87272727272727268</v>
      </c>
      <c r="P37" s="19">
        <f t="shared" si="2"/>
        <v>11</v>
      </c>
      <c r="Q37" s="16" t="str">
        <f>IF(COUNTIF($B$2:B37,B37)=1,SUMIF($B$2:$B$1097,B37,$L$2:$L$1097),"")</f>
        <v/>
      </c>
    </row>
    <row r="38" spans="1:18" ht="12.75" x14ac:dyDescent="0.2">
      <c r="A38" s="3">
        <v>37</v>
      </c>
      <c r="B38" s="26">
        <v>44937</v>
      </c>
      <c r="C38" s="23" t="s">
        <v>8</v>
      </c>
      <c r="D38" s="4">
        <v>5</v>
      </c>
      <c r="E38" s="24" t="s">
        <v>9</v>
      </c>
      <c r="F38" s="5" t="s">
        <v>11</v>
      </c>
      <c r="G38" s="5" t="s">
        <v>11</v>
      </c>
      <c r="H38" s="5" t="s">
        <v>14</v>
      </c>
      <c r="I38" s="5" t="s">
        <v>17</v>
      </c>
      <c r="J38" s="5" t="s">
        <v>53</v>
      </c>
      <c r="K38" s="6">
        <v>23</v>
      </c>
      <c r="L38" s="15">
        <v>253</v>
      </c>
      <c r="M38" s="15">
        <f t="shared" ca="1" si="3"/>
        <v>42</v>
      </c>
      <c r="N38" s="16">
        <f t="shared" ca="1" si="1"/>
        <v>211</v>
      </c>
      <c r="O38" s="18">
        <f t="shared" ca="1" si="0"/>
        <v>0.83399209486166004</v>
      </c>
      <c r="P38" s="19">
        <f t="shared" si="2"/>
        <v>11</v>
      </c>
      <c r="Q38" s="16" t="str">
        <f>IF(COUNTIF($B$2:B38,B38)=1,SUMIF($B$2:$B$1097,B38,$L$2:$L$1097),"")</f>
        <v/>
      </c>
    </row>
    <row r="39" spans="1:18" ht="12.75" x14ac:dyDescent="0.2">
      <c r="A39" s="3">
        <v>38</v>
      </c>
      <c r="B39" s="26">
        <v>44938</v>
      </c>
      <c r="C39" s="23" t="s">
        <v>8</v>
      </c>
      <c r="D39" s="4">
        <v>6</v>
      </c>
      <c r="E39" s="24" t="s">
        <v>9</v>
      </c>
      <c r="F39" s="5" t="s">
        <v>11</v>
      </c>
      <c r="G39" s="5" t="s">
        <v>11</v>
      </c>
      <c r="H39" s="5" t="s">
        <v>14</v>
      </c>
      <c r="I39" s="5" t="s">
        <v>13</v>
      </c>
      <c r="J39" s="5" t="s">
        <v>52</v>
      </c>
      <c r="K39" s="6">
        <v>30</v>
      </c>
      <c r="L39" s="15">
        <v>330</v>
      </c>
      <c r="M39" s="15">
        <f t="shared" ca="1" si="3"/>
        <v>8</v>
      </c>
      <c r="N39" s="16">
        <f t="shared" ca="1" si="1"/>
        <v>322</v>
      </c>
      <c r="O39" s="18">
        <f t="shared" ca="1" si="0"/>
        <v>0.97575757575757571</v>
      </c>
      <c r="P39" s="19">
        <f t="shared" si="2"/>
        <v>11</v>
      </c>
      <c r="Q39" s="16">
        <f>IF(COUNTIF($B$2:B39,B39)=1,SUMIF($B$2:$B$1097,B39,$L$2:$L$1097),"")</f>
        <v>946</v>
      </c>
      <c r="R39" s="16">
        <f>AVERAGE(Q19:Q39)</f>
        <v>790.33333333333337</v>
      </c>
    </row>
    <row r="40" spans="1:18" ht="12.75" x14ac:dyDescent="0.2">
      <c r="A40" s="3">
        <v>39</v>
      </c>
      <c r="B40" s="26">
        <v>44938</v>
      </c>
      <c r="C40" s="23" t="s">
        <v>8</v>
      </c>
      <c r="D40" s="4">
        <v>6</v>
      </c>
      <c r="E40" s="24" t="s">
        <v>9</v>
      </c>
      <c r="F40" s="5" t="s">
        <v>11</v>
      </c>
      <c r="G40" s="5" t="s">
        <v>11</v>
      </c>
      <c r="H40" s="5" t="s">
        <v>14</v>
      </c>
      <c r="I40" s="5" t="s">
        <v>15</v>
      </c>
      <c r="J40" s="5" t="s">
        <v>55</v>
      </c>
      <c r="K40" s="6">
        <v>16</v>
      </c>
      <c r="L40" s="15">
        <v>176</v>
      </c>
      <c r="M40" s="15">
        <f t="shared" ca="1" si="3"/>
        <v>22</v>
      </c>
      <c r="N40" s="16">
        <f t="shared" ca="1" si="1"/>
        <v>154</v>
      </c>
      <c r="O40" s="18">
        <f t="shared" ca="1" si="0"/>
        <v>0.875</v>
      </c>
      <c r="P40" s="19">
        <f t="shared" si="2"/>
        <v>11</v>
      </c>
      <c r="Q40" s="16" t="str">
        <f>IF(COUNTIF($B$2:B40,B40)=1,SUMIF($B$2:$B$1097,B40,$L$2:$L$1097),"")</f>
        <v/>
      </c>
    </row>
    <row r="41" spans="1:18" ht="12.75" x14ac:dyDescent="0.2">
      <c r="A41" s="3">
        <v>40</v>
      </c>
      <c r="B41" s="26">
        <v>44938</v>
      </c>
      <c r="C41" s="23" t="s">
        <v>8</v>
      </c>
      <c r="D41" s="4">
        <v>6</v>
      </c>
      <c r="E41" s="24" t="s">
        <v>9</v>
      </c>
      <c r="F41" s="5" t="s">
        <v>11</v>
      </c>
      <c r="G41" s="5" t="s">
        <v>11</v>
      </c>
      <c r="H41" s="5" t="s">
        <v>14</v>
      </c>
      <c r="I41" s="5" t="s">
        <v>16</v>
      </c>
      <c r="J41" s="5" t="s">
        <v>55</v>
      </c>
      <c r="K41" s="6">
        <v>18</v>
      </c>
      <c r="L41" s="15">
        <v>198</v>
      </c>
      <c r="M41" s="15">
        <f t="shared" ca="1" si="3"/>
        <v>25</v>
      </c>
      <c r="N41" s="16">
        <f t="shared" ca="1" si="1"/>
        <v>173</v>
      </c>
      <c r="O41" s="18">
        <f t="shared" ca="1" si="0"/>
        <v>0.8737373737373737</v>
      </c>
      <c r="P41" s="19">
        <f t="shared" si="2"/>
        <v>11</v>
      </c>
      <c r="Q41" s="16" t="str">
        <f>IF(COUNTIF($B$2:B41,B41)=1,SUMIF($B$2:$B$1097,B41,$L$2:$L$1097),"")</f>
        <v/>
      </c>
    </row>
    <row r="42" spans="1:18" ht="12.75" x14ac:dyDescent="0.2">
      <c r="A42" s="3">
        <v>41</v>
      </c>
      <c r="B42" s="26">
        <v>44938</v>
      </c>
      <c r="C42" s="23" t="s">
        <v>8</v>
      </c>
      <c r="D42" s="4">
        <v>6</v>
      </c>
      <c r="E42" s="24" t="s">
        <v>9</v>
      </c>
      <c r="F42" s="5" t="s">
        <v>11</v>
      </c>
      <c r="G42" s="5" t="s">
        <v>11</v>
      </c>
      <c r="H42" s="5" t="s">
        <v>14</v>
      </c>
      <c r="I42" s="5" t="s">
        <v>17</v>
      </c>
      <c r="J42" s="5" t="s">
        <v>53</v>
      </c>
      <c r="K42" s="6">
        <v>22</v>
      </c>
      <c r="L42" s="15">
        <v>242</v>
      </c>
      <c r="M42" s="15">
        <f t="shared" ca="1" si="3"/>
        <v>48</v>
      </c>
      <c r="N42" s="16">
        <f t="shared" ca="1" si="1"/>
        <v>194</v>
      </c>
      <c r="O42" s="18">
        <f t="shared" ca="1" si="0"/>
        <v>0.80165289256198347</v>
      </c>
      <c r="P42" s="19">
        <f t="shared" si="2"/>
        <v>11</v>
      </c>
      <c r="Q42" s="16" t="str">
        <f>IF(COUNTIF($B$2:B42,B42)=1,SUMIF($B$2:$B$1097,B42,$L$2:$L$1097),"")</f>
        <v/>
      </c>
    </row>
    <row r="43" spans="1:18" ht="12.75" x14ac:dyDescent="0.2">
      <c r="A43" s="3">
        <v>42</v>
      </c>
      <c r="B43" s="26">
        <v>44939</v>
      </c>
      <c r="C43" s="23" t="s">
        <v>8</v>
      </c>
      <c r="D43" s="4">
        <v>7</v>
      </c>
      <c r="E43" s="24" t="s">
        <v>9</v>
      </c>
      <c r="F43" s="5" t="s">
        <v>11</v>
      </c>
      <c r="G43" s="5" t="s">
        <v>11</v>
      </c>
      <c r="H43" s="5" t="s">
        <v>14</v>
      </c>
      <c r="I43" s="5" t="s">
        <v>13</v>
      </c>
      <c r="J43" s="5" t="s">
        <v>56</v>
      </c>
      <c r="K43" s="6">
        <v>30</v>
      </c>
      <c r="L43" s="15">
        <v>330</v>
      </c>
      <c r="M43" s="15">
        <f t="shared" ca="1" si="3"/>
        <v>21</v>
      </c>
      <c r="N43" s="16">
        <f t="shared" ca="1" si="1"/>
        <v>309</v>
      </c>
      <c r="O43" s="18">
        <f t="shared" ca="1" si="0"/>
        <v>0.9363636363636364</v>
      </c>
      <c r="P43" s="19">
        <f t="shared" si="2"/>
        <v>11</v>
      </c>
      <c r="Q43" s="16">
        <f>IF(COUNTIF($B$2:B43,B43)=1,SUMIF($B$2:$B$1097,B43,$L$2:$L$1097),"")</f>
        <v>330</v>
      </c>
      <c r="R43" s="16">
        <f t="shared" ref="R43:R44" si="4">AVERAGE(Q23:Q43)</f>
        <v>782.83333333333337</v>
      </c>
    </row>
    <row r="44" spans="1:18" ht="12.75" x14ac:dyDescent="0.2">
      <c r="A44" s="3">
        <v>43</v>
      </c>
      <c r="B44" s="26">
        <v>44941</v>
      </c>
      <c r="C44" s="23" t="s">
        <v>8</v>
      </c>
      <c r="D44" s="4">
        <v>2</v>
      </c>
      <c r="E44" s="24" t="s">
        <v>9</v>
      </c>
      <c r="F44" s="5" t="s">
        <v>10</v>
      </c>
      <c r="G44" s="5" t="s">
        <v>10</v>
      </c>
      <c r="H44" s="5" t="s">
        <v>19</v>
      </c>
      <c r="I44" s="5" t="s">
        <v>13</v>
      </c>
      <c r="J44" s="5" t="s">
        <v>52</v>
      </c>
      <c r="K44" s="6">
        <v>36</v>
      </c>
      <c r="L44" s="15">
        <v>340</v>
      </c>
      <c r="M44" s="15">
        <f t="shared" ca="1" si="3"/>
        <v>38</v>
      </c>
      <c r="N44" s="16">
        <f t="shared" ca="1" si="1"/>
        <v>302</v>
      </c>
      <c r="O44" s="18">
        <f t="shared" ca="1" si="0"/>
        <v>0.88823529411764701</v>
      </c>
      <c r="P44" s="19">
        <f t="shared" si="2"/>
        <v>9.4444444444444446</v>
      </c>
      <c r="Q44" s="16">
        <f>IF(COUNTIF($B$2:B44,B44)=1,SUMIF($B$2:$B$1097,B44,$L$2:$L$1097),"")</f>
        <v>959</v>
      </c>
      <c r="R44" s="16">
        <f t="shared" si="4"/>
        <v>781.33333333333337</v>
      </c>
    </row>
    <row r="45" spans="1:18" ht="12.75" x14ac:dyDescent="0.2">
      <c r="A45" s="3">
        <v>44</v>
      </c>
      <c r="B45" s="26">
        <v>44941</v>
      </c>
      <c r="C45" s="23" t="s">
        <v>8</v>
      </c>
      <c r="D45" s="4">
        <v>2</v>
      </c>
      <c r="E45" s="24" t="s">
        <v>9</v>
      </c>
      <c r="F45" s="5" t="s">
        <v>10</v>
      </c>
      <c r="G45" s="5" t="s">
        <v>10</v>
      </c>
      <c r="H45" s="5" t="s">
        <v>19</v>
      </c>
      <c r="I45" s="5" t="s">
        <v>15</v>
      </c>
      <c r="J45" s="5" t="s">
        <v>54</v>
      </c>
      <c r="K45" s="6">
        <v>21</v>
      </c>
      <c r="L45" s="15">
        <v>199</v>
      </c>
      <c r="M45" s="15">
        <f t="shared" ca="1" si="3"/>
        <v>40</v>
      </c>
      <c r="N45" s="16">
        <f t="shared" ca="1" si="1"/>
        <v>159</v>
      </c>
      <c r="O45" s="18">
        <f t="shared" ca="1" si="0"/>
        <v>0.79899497487437188</v>
      </c>
      <c r="P45" s="19">
        <f t="shared" si="2"/>
        <v>9.4761904761904763</v>
      </c>
      <c r="Q45" s="16" t="str">
        <f>IF(COUNTIF($B$2:B45,B45)=1,SUMIF($B$2:$B$1097,B45,$L$2:$L$1097),"")</f>
        <v/>
      </c>
    </row>
    <row r="46" spans="1:18" ht="12.75" x14ac:dyDescent="0.2">
      <c r="A46" s="3">
        <v>45</v>
      </c>
      <c r="B46" s="26">
        <v>44941</v>
      </c>
      <c r="C46" s="23" t="s">
        <v>8</v>
      </c>
      <c r="D46" s="4">
        <v>2</v>
      </c>
      <c r="E46" s="24" t="s">
        <v>9</v>
      </c>
      <c r="F46" s="5" t="s">
        <v>10</v>
      </c>
      <c r="G46" s="5" t="s">
        <v>10</v>
      </c>
      <c r="H46" s="5" t="s">
        <v>19</v>
      </c>
      <c r="I46" s="5" t="s">
        <v>16</v>
      </c>
      <c r="J46" s="5" t="s">
        <v>54</v>
      </c>
      <c r="K46" s="6">
        <v>19</v>
      </c>
      <c r="L46" s="15">
        <v>177</v>
      </c>
      <c r="M46" s="15">
        <f t="shared" ca="1" si="3"/>
        <v>44</v>
      </c>
      <c r="N46" s="16">
        <f t="shared" ca="1" si="1"/>
        <v>133</v>
      </c>
      <c r="O46" s="18">
        <f t="shared" ca="1" si="0"/>
        <v>0.75141242937853103</v>
      </c>
      <c r="P46" s="19">
        <f t="shared" si="2"/>
        <v>9.3157894736842106</v>
      </c>
      <c r="Q46" s="16" t="str">
        <f>IF(COUNTIF($B$2:B46,B46)=1,SUMIF($B$2:$B$1097,B46,$L$2:$L$1097),"")</f>
        <v/>
      </c>
    </row>
    <row r="47" spans="1:18" ht="12.75" x14ac:dyDescent="0.2">
      <c r="A47" s="3">
        <v>46</v>
      </c>
      <c r="B47" s="26">
        <v>44941</v>
      </c>
      <c r="C47" s="23" t="s">
        <v>8</v>
      </c>
      <c r="D47" s="4">
        <v>2</v>
      </c>
      <c r="E47" s="24" t="s">
        <v>9</v>
      </c>
      <c r="F47" s="5" t="s">
        <v>10</v>
      </c>
      <c r="G47" s="5" t="s">
        <v>10</v>
      </c>
      <c r="H47" s="5" t="s">
        <v>19</v>
      </c>
      <c r="I47" s="5" t="s">
        <v>17</v>
      </c>
      <c r="J47" s="5" t="s">
        <v>54</v>
      </c>
      <c r="K47" s="6">
        <v>25</v>
      </c>
      <c r="L47" s="15">
        <v>243</v>
      </c>
      <c r="M47" s="15">
        <f t="shared" ca="1" si="3"/>
        <v>2</v>
      </c>
      <c r="N47" s="16">
        <f t="shared" ca="1" si="1"/>
        <v>241</v>
      </c>
      <c r="O47" s="18">
        <f t="shared" ca="1" si="0"/>
        <v>0.99176954732510292</v>
      </c>
      <c r="P47" s="19">
        <f t="shared" si="2"/>
        <v>9.7200000000000006</v>
      </c>
      <c r="Q47" s="16" t="str">
        <f>IF(COUNTIF($B$2:B47,B47)=1,SUMIF($B$2:$B$1097,B47,$L$2:$L$1097),"")</f>
        <v/>
      </c>
    </row>
    <row r="48" spans="1:18" ht="12.75" x14ac:dyDescent="0.2">
      <c r="A48" s="3">
        <v>47</v>
      </c>
      <c r="B48" s="26">
        <v>44942</v>
      </c>
      <c r="C48" s="23" t="s">
        <v>8</v>
      </c>
      <c r="D48" s="4">
        <v>3</v>
      </c>
      <c r="E48" s="24" t="s">
        <v>9</v>
      </c>
      <c r="F48" s="5" t="s">
        <v>11</v>
      </c>
      <c r="G48" s="5" t="s">
        <v>11</v>
      </c>
      <c r="H48" s="5" t="s">
        <v>14</v>
      </c>
      <c r="I48" s="5" t="s">
        <v>13</v>
      </c>
      <c r="J48" s="5" t="s">
        <v>56</v>
      </c>
      <c r="K48" s="6">
        <v>24</v>
      </c>
      <c r="L48" s="15">
        <v>264</v>
      </c>
      <c r="M48" s="15">
        <f t="shared" ca="1" si="3"/>
        <v>18</v>
      </c>
      <c r="N48" s="16">
        <f t="shared" ca="1" si="1"/>
        <v>246</v>
      </c>
      <c r="O48" s="18">
        <f t="shared" ca="1" si="0"/>
        <v>0.93181818181818177</v>
      </c>
      <c r="P48" s="19">
        <f t="shared" si="2"/>
        <v>11</v>
      </c>
      <c r="Q48" s="16">
        <f>IF(COUNTIF($B$2:B48,B48)=1,SUMIF($B$2:$B$1097,B48,$L$2:$L$1097),"")</f>
        <v>803</v>
      </c>
      <c r="R48" s="16">
        <f>AVERAGE(Q28:Q48)</f>
        <v>777.66666666666663</v>
      </c>
    </row>
    <row r="49" spans="1:18" ht="12.75" x14ac:dyDescent="0.2">
      <c r="A49" s="3">
        <v>48</v>
      </c>
      <c r="B49" s="26">
        <v>44942</v>
      </c>
      <c r="C49" s="23" t="s">
        <v>8</v>
      </c>
      <c r="D49" s="4">
        <v>3</v>
      </c>
      <c r="E49" s="24" t="s">
        <v>9</v>
      </c>
      <c r="F49" s="5" t="s">
        <v>11</v>
      </c>
      <c r="G49" s="5" t="s">
        <v>11</v>
      </c>
      <c r="H49" s="5" t="s">
        <v>14</v>
      </c>
      <c r="I49" s="5" t="s">
        <v>15</v>
      </c>
      <c r="J49" s="5" t="s">
        <v>56</v>
      </c>
      <c r="K49" s="6">
        <v>18</v>
      </c>
      <c r="L49" s="15">
        <v>198</v>
      </c>
      <c r="M49" s="15">
        <f t="shared" ca="1" si="3"/>
        <v>23</v>
      </c>
      <c r="N49" s="16">
        <f t="shared" ca="1" si="1"/>
        <v>175</v>
      </c>
      <c r="O49" s="18">
        <f t="shared" ca="1" si="0"/>
        <v>0.88383838383838387</v>
      </c>
      <c r="P49" s="19">
        <f t="shared" si="2"/>
        <v>11</v>
      </c>
      <c r="Q49" s="16" t="str">
        <f>IF(COUNTIF($B$2:B49,B49)=1,SUMIF($B$2:$B$1097,B49,$L$2:$L$1097),"")</f>
        <v/>
      </c>
    </row>
    <row r="50" spans="1:18" ht="12.75" x14ac:dyDescent="0.2">
      <c r="A50" s="3">
        <v>49</v>
      </c>
      <c r="B50" s="26">
        <v>44942</v>
      </c>
      <c r="C50" s="23" t="s">
        <v>8</v>
      </c>
      <c r="D50" s="4">
        <v>3</v>
      </c>
      <c r="E50" s="24" t="s">
        <v>9</v>
      </c>
      <c r="F50" s="5" t="s">
        <v>11</v>
      </c>
      <c r="G50" s="5" t="s">
        <v>11</v>
      </c>
      <c r="H50" s="5" t="s">
        <v>14</v>
      </c>
      <c r="I50" s="5" t="s">
        <v>16</v>
      </c>
      <c r="J50" s="5" t="s">
        <v>55</v>
      </c>
      <c r="K50" s="6">
        <v>12</v>
      </c>
      <c r="L50" s="15">
        <v>132</v>
      </c>
      <c r="M50" s="15">
        <f t="shared" ca="1" si="3"/>
        <v>30</v>
      </c>
      <c r="N50" s="16">
        <f t="shared" ca="1" si="1"/>
        <v>102</v>
      </c>
      <c r="O50" s="18">
        <f t="shared" ca="1" si="0"/>
        <v>0.77272727272727271</v>
      </c>
      <c r="P50" s="19">
        <f t="shared" si="2"/>
        <v>11</v>
      </c>
      <c r="Q50" s="16" t="str">
        <f>IF(COUNTIF($B$2:B50,B50)=1,SUMIF($B$2:$B$1097,B50,$L$2:$L$1097),"")</f>
        <v/>
      </c>
    </row>
    <row r="51" spans="1:18" ht="12.75" x14ac:dyDescent="0.2">
      <c r="A51" s="3">
        <v>50</v>
      </c>
      <c r="B51" s="26">
        <v>44942</v>
      </c>
      <c r="C51" s="23" t="s">
        <v>8</v>
      </c>
      <c r="D51" s="4">
        <v>3</v>
      </c>
      <c r="E51" s="24" t="s">
        <v>9</v>
      </c>
      <c r="F51" s="5" t="s">
        <v>11</v>
      </c>
      <c r="G51" s="5" t="s">
        <v>11</v>
      </c>
      <c r="H51" s="5" t="s">
        <v>14</v>
      </c>
      <c r="I51" s="5" t="s">
        <v>17</v>
      </c>
      <c r="J51" s="5" t="s">
        <v>53</v>
      </c>
      <c r="K51" s="6">
        <v>19</v>
      </c>
      <c r="L51" s="15">
        <v>209</v>
      </c>
      <c r="M51" s="15">
        <f t="shared" ca="1" si="3"/>
        <v>11</v>
      </c>
      <c r="N51" s="16">
        <f t="shared" ca="1" si="1"/>
        <v>198</v>
      </c>
      <c r="O51" s="18">
        <f t="shared" ca="1" si="0"/>
        <v>0.94736842105263153</v>
      </c>
      <c r="P51" s="19">
        <f t="shared" si="2"/>
        <v>11</v>
      </c>
      <c r="Q51" s="16" t="str">
        <f>IF(COUNTIF($B$2:B51,B51)=1,SUMIF($B$2:$B$1097,B51,$L$2:$L$1097),"")</f>
        <v/>
      </c>
    </row>
    <row r="52" spans="1:18" ht="12.75" x14ac:dyDescent="0.2">
      <c r="A52" s="3">
        <v>51</v>
      </c>
      <c r="B52" s="26">
        <v>44943</v>
      </c>
      <c r="C52" s="23" t="s">
        <v>8</v>
      </c>
      <c r="D52" s="4">
        <v>4</v>
      </c>
      <c r="E52" s="24" t="s">
        <v>9</v>
      </c>
      <c r="F52" s="5" t="s">
        <v>11</v>
      </c>
      <c r="G52" s="5" t="s">
        <v>11</v>
      </c>
      <c r="H52" s="5" t="s">
        <v>14</v>
      </c>
      <c r="I52" s="5" t="s">
        <v>13</v>
      </c>
      <c r="J52" s="5" t="s">
        <v>52</v>
      </c>
      <c r="K52" s="6">
        <v>22</v>
      </c>
      <c r="L52" s="15">
        <v>242</v>
      </c>
      <c r="M52" s="15">
        <f t="shared" ca="1" si="3"/>
        <v>3</v>
      </c>
      <c r="N52" s="16">
        <f t="shared" ca="1" si="1"/>
        <v>239</v>
      </c>
      <c r="O52" s="18">
        <f t="shared" ca="1" si="0"/>
        <v>0.98760330578512401</v>
      </c>
      <c r="P52" s="19">
        <f t="shared" si="2"/>
        <v>11</v>
      </c>
      <c r="Q52" s="16">
        <f>IF(COUNTIF($B$2:B52,B52)=1,SUMIF($B$2:$B$1097,B52,$L$2:$L$1097),"")</f>
        <v>671</v>
      </c>
      <c r="R52" s="16">
        <f>AVERAGE(Q32:Q52)</f>
        <v>768.5</v>
      </c>
    </row>
    <row r="53" spans="1:18" ht="12.75" x14ac:dyDescent="0.2">
      <c r="A53" s="3">
        <v>52</v>
      </c>
      <c r="B53" s="26">
        <v>44943</v>
      </c>
      <c r="C53" s="23" t="s">
        <v>8</v>
      </c>
      <c r="D53" s="4">
        <v>4</v>
      </c>
      <c r="E53" s="24" t="s">
        <v>9</v>
      </c>
      <c r="F53" s="5" t="s">
        <v>11</v>
      </c>
      <c r="G53" s="5" t="s">
        <v>11</v>
      </c>
      <c r="H53" s="5" t="s">
        <v>14</v>
      </c>
      <c r="I53" s="5" t="s">
        <v>15</v>
      </c>
      <c r="J53" s="5" t="s">
        <v>54</v>
      </c>
      <c r="K53" s="6">
        <v>13</v>
      </c>
      <c r="L53" s="15">
        <v>143</v>
      </c>
      <c r="M53" s="15">
        <f t="shared" ca="1" si="3"/>
        <v>12</v>
      </c>
      <c r="N53" s="16">
        <f t="shared" ca="1" si="1"/>
        <v>131</v>
      </c>
      <c r="O53" s="18">
        <f t="shared" ca="1" si="0"/>
        <v>0.91608391608391604</v>
      </c>
      <c r="P53" s="19">
        <f t="shared" si="2"/>
        <v>11</v>
      </c>
      <c r="Q53" s="16" t="str">
        <f>IF(COUNTIF($B$2:B53,B53)=1,SUMIF($B$2:$B$1097,B53,$L$2:$L$1097),"")</f>
        <v/>
      </c>
    </row>
    <row r="54" spans="1:18" ht="12.75" x14ac:dyDescent="0.2">
      <c r="A54" s="3">
        <v>53</v>
      </c>
      <c r="B54" s="26">
        <v>44943</v>
      </c>
      <c r="C54" s="23" t="s">
        <v>8</v>
      </c>
      <c r="D54" s="4">
        <v>4</v>
      </c>
      <c r="E54" s="24" t="s">
        <v>9</v>
      </c>
      <c r="F54" s="5" t="s">
        <v>11</v>
      </c>
      <c r="G54" s="5" t="s">
        <v>11</v>
      </c>
      <c r="H54" s="5" t="s">
        <v>14</v>
      </c>
      <c r="I54" s="5" t="s">
        <v>16</v>
      </c>
      <c r="J54" s="5" t="s">
        <v>54</v>
      </c>
      <c r="K54" s="6">
        <v>11</v>
      </c>
      <c r="L54" s="15">
        <v>121</v>
      </c>
      <c r="M54" s="15">
        <f t="shared" ca="1" si="3"/>
        <v>1</v>
      </c>
      <c r="N54" s="16">
        <f t="shared" ca="1" si="1"/>
        <v>120</v>
      </c>
      <c r="O54" s="18">
        <f t="shared" ca="1" si="0"/>
        <v>0.99173553719008267</v>
      </c>
      <c r="P54" s="19">
        <f t="shared" si="2"/>
        <v>11</v>
      </c>
      <c r="Q54" s="16" t="str">
        <f>IF(COUNTIF($B$2:B54,B54)=1,SUMIF($B$2:$B$1097,B54,$L$2:$L$1097),"")</f>
        <v/>
      </c>
    </row>
    <row r="55" spans="1:18" ht="12.75" x14ac:dyDescent="0.2">
      <c r="A55" s="3">
        <v>54</v>
      </c>
      <c r="B55" s="26">
        <v>44943</v>
      </c>
      <c r="C55" s="23" t="s">
        <v>8</v>
      </c>
      <c r="D55" s="4">
        <v>4</v>
      </c>
      <c r="E55" s="24" t="s">
        <v>9</v>
      </c>
      <c r="F55" s="5" t="s">
        <v>11</v>
      </c>
      <c r="G55" s="5" t="s">
        <v>11</v>
      </c>
      <c r="H55" s="5" t="s">
        <v>14</v>
      </c>
      <c r="I55" s="5" t="s">
        <v>17</v>
      </c>
      <c r="J55" s="5" t="s">
        <v>54</v>
      </c>
      <c r="K55" s="6">
        <v>15</v>
      </c>
      <c r="L55" s="15">
        <v>165</v>
      </c>
      <c r="M55" s="15">
        <f t="shared" ca="1" si="3"/>
        <v>8</v>
      </c>
      <c r="N55" s="16">
        <f t="shared" ca="1" si="1"/>
        <v>157</v>
      </c>
      <c r="O55" s="18">
        <f t="shared" ca="1" si="0"/>
        <v>0.95151515151515154</v>
      </c>
      <c r="P55" s="19">
        <f t="shared" si="2"/>
        <v>11</v>
      </c>
      <c r="Q55" s="16" t="str">
        <f>IF(COUNTIF($B$2:B55,B55)=1,SUMIF($B$2:$B$1097,B55,$L$2:$L$1097),"")</f>
        <v/>
      </c>
    </row>
    <row r="56" spans="1:18" ht="12.75" x14ac:dyDescent="0.2">
      <c r="A56" s="3">
        <v>55</v>
      </c>
      <c r="B56" s="26">
        <v>44944</v>
      </c>
      <c r="C56" s="23" t="s">
        <v>8</v>
      </c>
      <c r="D56" s="4">
        <v>5</v>
      </c>
      <c r="E56" s="24" t="s">
        <v>9</v>
      </c>
      <c r="F56" s="5" t="s">
        <v>11</v>
      </c>
      <c r="G56" s="5" t="s">
        <v>11</v>
      </c>
      <c r="H56" s="5" t="s">
        <v>14</v>
      </c>
      <c r="I56" s="5" t="s">
        <v>13</v>
      </c>
      <c r="J56" s="5" t="s">
        <v>56</v>
      </c>
      <c r="K56" s="6">
        <v>23</v>
      </c>
      <c r="L56" s="15">
        <v>253</v>
      </c>
      <c r="M56" s="15">
        <f t="shared" ca="1" si="3"/>
        <v>43</v>
      </c>
      <c r="N56" s="16">
        <f t="shared" ca="1" si="1"/>
        <v>210</v>
      </c>
      <c r="O56" s="18">
        <f t="shared" ca="1" si="0"/>
        <v>0.83003952569169959</v>
      </c>
      <c r="P56" s="19">
        <f t="shared" si="2"/>
        <v>11</v>
      </c>
      <c r="Q56" s="16">
        <f>IF(COUNTIF($B$2:B56,B56)=1,SUMIF($B$2:$B$1097,B56,$L$2:$L$1097),"")</f>
        <v>759</v>
      </c>
      <c r="R56" s="16">
        <f>AVERAGE(Q36:Q56)</f>
        <v>744.66666666666663</v>
      </c>
    </row>
    <row r="57" spans="1:18" ht="12.75" x14ac:dyDescent="0.2">
      <c r="A57" s="3">
        <v>56</v>
      </c>
      <c r="B57" s="26">
        <v>44944</v>
      </c>
      <c r="C57" s="23" t="s">
        <v>8</v>
      </c>
      <c r="D57" s="4">
        <v>5</v>
      </c>
      <c r="E57" s="24" t="s">
        <v>9</v>
      </c>
      <c r="F57" s="5" t="s">
        <v>11</v>
      </c>
      <c r="G57" s="5" t="s">
        <v>11</v>
      </c>
      <c r="H57" s="5" t="s">
        <v>14</v>
      </c>
      <c r="I57" s="5" t="s">
        <v>15</v>
      </c>
      <c r="J57" s="5" t="s">
        <v>56</v>
      </c>
      <c r="K57" s="6">
        <v>16</v>
      </c>
      <c r="L57" s="15">
        <v>176</v>
      </c>
      <c r="M57" s="15">
        <f t="shared" ca="1" si="3"/>
        <v>11</v>
      </c>
      <c r="N57" s="16">
        <f t="shared" ca="1" si="1"/>
        <v>165</v>
      </c>
      <c r="O57" s="18">
        <f t="shared" ca="1" si="0"/>
        <v>0.9375</v>
      </c>
      <c r="P57" s="19">
        <f t="shared" si="2"/>
        <v>11</v>
      </c>
      <c r="Q57" s="16" t="str">
        <f>IF(COUNTIF($B$2:B57,B57)=1,SUMIF($B$2:$B$1097,B57,$L$2:$L$1097),"")</f>
        <v/>
      </c>
    </row>
    <row r="58" spans="1:18" ht="12.75" x14ac:dyDescent="0.2">
      <c r="A58" s="3">
        <v>57</v>
      </c>
      <c r="B58" s="26">
        <v>44944</v>
      </c>
      <c r="C58" s="23" t="s">
        <v>8</v>
      </c>
      <c r="D58" s="4">
        <v>5</v>
      </c>
      <c r="E58" s="24" t="s">
        <v>9</v>
      </c>
      <c r="F58" s="5" t="s">
        <v>11</v>
      </c>
      <c r="G58" s="5" t="s">
        <v>11</v>
      </c>
      <c r="H58" s="5" t="s">
        <v>14</v>
      </c>
      <c r="I58" s="5" t="s">
        <v>16</v>
      </c>
      <c r="J58" s="5" t="s">
        <v>55</v>
      </c>
      <c r="K58" s="6">
        <v>12</v>
      </c>
      <c r="L58" s="15">
        <v>132</v>
      </c>
      <c r="M58" s="15">
        <f t="shared" ca="1" si="3"/>
        <v>13</v>
      </c>
      <c r="N58" s="16">
        <f t="shared" ca="1" si="1"/>
        <v>119</v>
      </c>
      <c r="O58" s="18">
        <f t="shared" ca="1" si="0"/>
        <v>0.90151515151515149</v>
      </c>
      <c r="P58" s="19">
        <f t="shared" si="2"/>
        <v>11</v>
      </c>
      <c r="Q58" s="16" t="str">
        <f>IF(COUNTIF($B$2:B58,B58)=1,SUMIF($B$2:$B$1097,B58,$L$2:$L$1097),"")</f>
        <v/>
      </c>
    </row>
    <row r="59" spans="1:18" ht="12.75" x14ac:dyDescent="0.2">
      <c r="A59" s="3">
        <v>58</v>
      </c>
      <c r="B59" s="26">
        <v>44944</v>
      </c>
      <c r="C59" s="23" t="s">
        <v>8</v>
      </c>
      <c r="D59" s="4">
        <v>5</v>
      </c>
      <c r="E59" s="24" t="s">
        <v>9</v>
      </c>
      <c r="F59" s="5" t="s">
        <v>11</v>
      </c>
      <c r="G59" s="5" t="s">
        <v>11</v>
      </c>
      <c r="H59" s="5" t="s">
        <v>14</v>
      </c>
      <c r="I59" s="5" t="s">
        <v>17</v>
      </c>
      <c r="J59" s="5" t="s">
        <v>53</v>
      </c>
      <c r="K59" s="6">
        <v>18</v>
      </c>
      <c r="L59" s="15">
        <v>198</v>
      </c>
      <c r="M59" s="15">
        <f t="shared" ca="1" si="3"/>
        <v>7</v>
      </c>
      <c r="N59" s="16">
        <f t="shared" ca="1" si="1"/>
        <v>191</v>
      </c>
      <c r="O59" s="18">
        <f t="shared" ca="1" si="0"/>
        <v>0.96464646464646464</v>
      </c>
      <c r="P59" s="19">
        <f t="shared" si="2"/>
        <v>11</v>
      </c>
      <c r="Q59" s="16" t="str">
        <f>IF(COUNTIF($B$2:B59,B59)=1,SUMIF($B$2:$B$1097,B59,$L$2:$L$1097),"")</f>
        <v/>
      </c>
    </row>
    <row r="60" spans="1:18" ht="12.75" x14ac:dyDescent="0.2">
      <c r="A60" s="3">
        <v>59</v>
      </c>
      <c r="B60" s="26">
        <v>44945</v>
      </c>
      <c r="C60" s="23" t="s">
        <v>8</v>
      </c>
      <c r="D60" s="4">
        <v>6</v>
      </c>
      <c r="E60" s="24" t="s">
        <v>9</v>
      </c>
      <c r="F60" s="5" t="s">
        <v>11</v>
      </c>
      <c r="G60" s="5" t="s">
        <v>11</v>
      </c>
      <c r="H60" s="5" t="s">
        <v>14</v>
      </c>
      <c r="I60" s="5" t="s">
        <v>13</v>
      </c>
      <c r="J60" s="5" t="s">
        <v>52</v>
      </c>
      <c r="K60" s="6">
        <v>31</v>
      </c>
      <c r="L60" s="15">
        <v>341</v>
      </c>
      <c r="M60" s="15">
        <f t="shared" ca="1" si="3"/>
        <v>27</v>
      </c>
      <c r="N60" s="16">
        <f t="shared" ca="1" si="1"/>
        <v>314</v>
      </c>
      <c r="O60" s="18">
        <f t="shared" ca="1" si="0"/>
        <v>0.92082111436950143</v>
      </c>
      <c r="P60" s="19">
        <f t="shared" si="2"/>
        <v>11</v>
      </c>
      <c r="Q60" s="16">
        <f>IF(COUNTIF($B$2:B60,B60)=1,SUMIF($B$2:$B$1097,B60,$L$2:$L$1097),"")</f>
        <v>968</v>
      </c>
      <c r="R60" s="16">
        <f>AVERAGE(Q40:Q60)</f>
        <v>748.33333333333337</v>
      </c>
    </row>
    <row r="61" spans="1:18" ht="12.75" x14ac:dyDescent="0.2">
      <c r="A61" s="3">
        <v>60</v>
      </c>
      <c r="B61" s="26">
        <v>44945</v>
      </c>
      <c r="C61" s="23" t="s">
        <v>8</v>
      </c>
      <c r="D61" s="4">
        <v>6</v>
      </c>
      <c r="E61" s="24" t="s">
        <v>9</v>
      </c>
      <c r="F61" s="5" t="s">
        <v>11</v>
      </c>
      <c r="G61" s="5" t="s">
        <v>11</v>
      </c>
      <c r="H61" s="5" t="s">
        <v>14</v>
      </c>
      <c r="I61" s="5" t="s">
        <v>15</v>
      </c>
      <c r="J61" s="5" t="s">
        <v>55</v>
      </c>
      <c r="K61" s="6">
        <v>18</v>
      </c>
      <c r="L61" s="15">
        <v>198</v>
      </c>
      <c r="M61" s="15">
        <f t="shared" ca="1" si="3"/>
        <v>13</v>
      </c>
      <c r="N61" s="16">
        <f t="shared" ca="1" si="1"/>
        <v>185</v>
      </c>
      <c r="O61" s="18">
        <f t="shared" ca="1" si="0"/>
        <v>0.93434343434343436</v>
      </c>
      <c r="P61" s="19">
        <f t="shared" si="2"/>
        <v>11</v>
      </c>
      <c r="Q61" s="16" t="str">
        <f>IF(COUNTIF($B$2:B61,B61)=1,SUMIF($B$2:$B$1097,B61,$L$2:$L$1097),"")</f>
        <v/>
      </c>
    </row>
    <row r="62" spans="1:18" ht="12.75" x14ac:dyDescent="0.2">
      <c r="A62" s="3">
        <v>61</v>
      </c>
      <c r="B62" s="26">
        <v>44945</v>
      </c>
      <c r="C62" s="23" t="s">
        <v>8</v>
      </c>
      <c r="D62" s="4">
        <v>6</v>
      </c>
      <c r="E62" s="24" t="s">
        <v>9</v>
      </c>
      <c r="F62" s="5" t="s">
        <v>11</v>
      </c>
      <c r="G62" s="5" t="s">
        <v>11</v>
      </c>
      <c r="H62" s="5" t="s">
        <v>14</v>
      </c>
      <c r="I62" s="5" t="s">
        <v>16</v>
      </c>
      <c r="J62" s="5" t="s">
        <v>55</v>
      </c>
      <c r="K62" s="6">
        <v>14</v>
      </c>
      <c r="L62" s="15">
        <v>154</v>
      </c>
      <c r="M62" s="15">
        <f t="shared" ca="1" si="3"/>
        <v>21</v>
      </c>
      <c r="N62" s="16">
        <f t="shared" ca="1" si="1"/>
        <v>133</v>
      </c>
      <c r="O62" s="18">
        <f t="shared" ca="1" si="0"/>
        <v>0.86363636363636365</v>
      </c>
      <c r="P62" s="19">
        <f t="shared" si="2"/>
        <v>11</v>
      </c>
      <c r="Q62" s="16" t="str">
        <f>IF(COUNTIF($B$2:B62,B62)=1,SUMIF($B$2:$B$1097,B62,$L$2:$L$1097),"")</f>
        <v/>
      </c>
    </row>
    <row r="63" spans="1:18" ht="12.75" x14ac:dyDescent="0.2">
      <c r="A63" s="3">
        <v>62</v>
      </c>
      <c r="B63" s="26">
        <v>44945</v>
      </c>
      <c r="C63" s="23" t="s">
        <v>8</v>
      </c>
      <c r="D63" s="4">
        <v>6</v>
      </c>
      <c r="E63" s="24" t="s">
        <v>9</v>
      </c>
      <c r="F63" s="5" t="s">
        <v>11</v>
      </c>
      <c r="G63" s="5" t="s">
        <v>11</v>
      </c>
      <c r="H63" s="5" t="s">
        <v>14</v>
      </c>
      <c r="I63" s="5" t="s">
        <v>17</v>
      </c>
      <c r="J63" s="5" t="s">
        <v>53</v>
      </c>
      <c r="K63" s="6">
        <v>25</v>
      </c>
      <c r="L63" s="15">
        <v>275</v>
      </c>
      <c r="M63" s="15">
        <f t="shared" ca="1" si="3"/>
        <v>7</v>
      </c>
      <c r="N63" s="16">
        <f t="shared" ca="1" si="1"/>
        <v>268</v>
      </c>
      <c r="O63" s="18">
        <f t="shared" ca="1" si="0"/>
        <v>0.97454545454545449</v>
      </c>
      <c r="P63" s="19">
        <f t="shared" si="2"/>
        <v>11</v>
      </c>
      <c r="Q63" s="16" t="str">
        <f>IF(COUNTIF($B$2:B63,B63)=1,SUMIF($B$2:$B$1097,B63,$L$2:$L$1097),"")</f>
        <v/>
      </c>
    </row>
    <row r="64" spans="1:18" ht="12.75" x14ac:dyDescent="0.2">
      <c r="A64" s="3">
        <v>63</v>
      </c>
      <c r="B64" s="26">
        <v>44946</v>
      </c>
      <c r="C64" s="23" t="s">
        <v>8</v>
      </c>
      <c r="D64" s="4">
        <v>7</v>
      </c>
      <c r="E64" s="24" t="s">
        <v>9</v>
      </c>
      <c r="F64" s="5" t="s">
        <v>11</v>
      </c>
      <c r="G64" s="5" t="s">
        <v>11</v>
      </c>
      <c r="H64" s="5" t="s">
        <v>14</v>
      </c>
      <c r="I64" s="5" t="s">
        <v>13</v>
      </c>
      <c r="J64" s="5" t="s">
        <v>56</v>
      </c>
      <c r="K64" s="6">
        <v>29</v>
      </c>
      <c r="L64" s="15">
        <v>319</v>
      </c>
      <c r="M64" s="15">
        <f t="shared" ca="1" si="3"/>
        <v>36</v>
      </c>
      <c r="N64" s="16">
        <f t="shared" ca="1" si="1"/>
        <v>283</v>
      </c>
      <c r="O64" s="18">
        <f t="shared" ca="1" si="0"/>
        <v>0.88714733542319746</v>
      </c>
      <c r="P64" s="19">
        <f t="shared" si="2"/>
        <v>11</v>
      </c>
      <c r="Q64" s="16">
        <f>IF(COUNTIF($B$2:B64,B64)=1,SUMIF($B$2:$B$1097,B64,$L$2:$L$1097),"")</f>
        <v>319</v>
      </c>
      <c r="R64" s="16">
        <f t="shared" ref="R64:R65" si="5">AVERAGE(Q44:Q64)</f>
        <v>746.5</v>
      </c>
    </row>
    <row r="65" spans="1:18" ht="12.75" x14ac:dyDescent="0.2">
      <c r="A65" s="3">
        <v>64</v>
      </c>
      <c r="B65" s="26">
        <v>44948</v>
      </c>
      <c r="C65" s="23" t="s">
        <v>8</v>
      </c>
      <c r="D65" s="4">
        <v>2</v>
      </c>
      <c r="E65" s="24" t="s">
        <v>9</v>
      </c>
      <c r="F65" s="5" t="s">
        <v>11</v>
      </c>
      <c r="G65" s="5" t="s">
        <v>11</v>
      </c>
      <c r="H65" s="5" t="s">
        <v>14</v>
      </c>
      <c r="I65" s="5" t="s">
        <v>13</v>
      </c>
      <c r="J65" s="5" t="s">
        <v>52</v>
      </c>
      <c r="K65" s="6">
        <v>26</v>
      </c>
      <c r="L65" s="15">
        <v>286</v>
      </c>
      <c r="M65" s="15">
        <f t="shared" ca="1" si="3"/>
        <v>47</v>
      </c>
      <c r="N65" s="16">
        <f t="shared" ca="1" si="1"/>
        <v>239</v>
      </c>
      <c r="O65" s="18">
        <f t="shared" ca="1" si="0"/>
        <v>0.83566433566433562</v>
      </c>
      <c r="P65" s="19">
        <f t="shared" si="2"/>
        <v>11</v>
      </c>
      <c r="Q65" s="16">
        <f>IF(COUNTIF($B$2:B65,B65)=1,SUMIF($B$2:$B$1097,B65,$L$2:$L$1097),"")</f>
        <v>814</v>
      </c>
      <c r="R65" s="16">
        <f t="shared" si="5"/>
        <v>722.33333333333337</v>
      </c>
    </row>
    <row r="66" spans="1:18" ht="12.75" x14ac:dyDescent="0.2">
      <c r="A66" s="3">
        <v>65</v>
      </c>
      <c r="B66" s="26">
        <v>44948</v>
      </c>
      <c r="C66" s="23" t="s">
        <v>8</v>
      </c>
      <c r="D66" s="4">
        <v>2</v>
      </c>
      <c r="E66" s="24" t="s">
        <v>9</v>
      </c>
      <c r="F66" s="5" t="s">
        <v>11</v>
      </c>
      <c r="G66" s="5" t="s">
        <v>11</v>
      </c>
      <c r="H66" s="5" t="s">
        <v>14</v>
      </c>
      <c r="I66" s="5" t="s">
        <v>15</v>
      </c>
      <c r="J66" s="5" t="s">
        <v>54</v>
      </c>
      <c r="K66" s="6">
        <v>13</v>
      </c>
      <c r="L66" s="15">
        <v>143</v>
      </c>
      <c r="M66" s="15">
        <f t="shared" ca="1" si="3"/>
        <v>27</v>
      </c>
      <c r="N66" s="16">
        <f t="shared" ca="1" si="1"/>
        <v>116</v>
      </c>
      <c r="O66" s="18">
        <f t="shared" ref="O66:O129" ca="1" si="6">IF(L66=0, 0, N66/L66)</f>
        <v>0.81118881118881114</v>
      </c>
      <c r="P66" s="19">
        <f t="shared" si="2"/>
        <v>11</v>
      </c>
      <c r="Q66" s="16" t="str">
        <f>IF(COUNTIF($B$2:B66,B66)=1,SUMIF($B$2:$B$1097,B66,$L$2:$L$1097),"")</f>
        <v/>
      </c>
    </row>
    <row r="67" spans="1:18" ht="12.75" x14ac:dyDescent="0.2">
      <c r="A67" s="3">
        <v>66</v>
      </c>
      <c r="B67" s="26">
        <v>44948</v>
      </c>
      <c r="C67" s="23" t="s">
        <v>8</v>
      </c>
      <c r="D67" s="4">
        <v>2</v>
      </c>
      <c r="E67" s="24" t="s">
        <v>9</v>
      </c>
      <c r="F67" s="5" t="s">
        <v>11</v>
      </c>
      <c r="G67" s="5" t="s">
        <v>11</v>
      </c>
      <c r="H67" s="5" t="s">
        <v>14</v>
      </c>
      <c r="I67" s="5" t="s">
        <v>16</v>
      </c>
      <c r="J67" s="5" t="s">
        <v>54</v>
      </c>
      <c r="K67" s="6">
        <v>13</v>
      </c>
      <c r="L67" s="15">
        <v>143</v>
      </c>
      <c r="M67" s="15">
        <f t="shared" ca="1" si="3"/>
        <v>47</v>
      </c>
      <c r="N67" s="16">
        <f t="shared" ref="N67:N130" ca="1" si="7">L67-M67</f>
        <v>96</v>
      </c>
      <c r="O67" s="18">
        <f t="shared" ca="1" si="6"/>
        <v>0.67132867132867136</v>
      </c>
      <c r="P67" s="19">
        <f t="shared" ref="P67:P130" si="8">IF(K67=0, 0, L67/K67)</f>
        <v>11</v>
      </c>
      <c r="Q67" s="16" t="str">
        <f>IF(COUNTIF($B$2:B67,B67)=1,SUMIF($B$2:$B$1097,B67,$L$2:$L$1097),"")</f>
        <v/>
      </c>
    </row>
    <row r="68" spans="1:18" ht="12.75" x14ac:dyDescent="0.2">
      <c r="A68" s="3">
        <v>67</v>
      </c>
      <c r="B68" s="26">
        <v>44948</v>
      </c>
      <c r="C68" s="23" t="s">
        <v>8</v>
      </c>
      <c r="D68" s="4">
        <v>2</v>
      </c>
      <c r="E68" s="24" t="s">
        <v>9</v>
      </c>
      <c r="F68" s="5" t="s">
        <v>11</v>
      </c>
      <c r="G68" s="5" t="s">
        <v>11</v>
      </c>
      <c r="H68" s="5" t="s">
        <v>14</v>
      </c>
      <c r="I68" s="5" t="s">
        <v>17</v>
      </c>
      <c r="J68" s="5" t="s">
        <v>54</v>
      </c>
      <c r="K68" s="6">
        <v>22</v>
      </c>
      <c r="L68" s="15">
        <v>242</v>
      </c>
      <c r="M68" s="15">
        <f t="shared" ca="1" si="3"/>
        <v>26</v>
      </c>
      <c r="N68" s="16">
        <f t="shared" ca="1" si="7"/>
        <v>216</v>
      </c>
      <c r="O68" s="18">
        <f t="shared" ca="1" si="6"/>
        <v>0.8925619834710744</v>
      </c>
      <c r="P68" s="19">
        <f t="shared" si="8"/>
        <v>11</v>
      </c>
      <c r="Q68" s="16" t="str">
        <f>IF(COUNTIF($B$2:B68,B68)=1,SUMIF($B$2:$B$1097,B68,$L$2:$L$1097),"")</f>
        <v/>
      </c>
    </row>
    <row r="69" spans="1:18" ht="12.75" x14ac:dyDescent="0.2">
      <c r="A69" s="3">
        <v>68</v>
      </c>
      <c r="B69" s="26">
        <v>44949</v>
      </c>
      <c r="C69" s="23" t="s">
        <v>8</v>
      </c>
      <c r="D69" s="4">
        <v>3</v>
      </c>
      <c r="E69" s="24" t="s">
        <v>9</v>
      </c>
      <c r="F69" s="5" t="s">
        <v>11</v>
      </c>
      <c r="G69" s="5" t="s">
        <v>11</v>
      </c>
      <c r="H69" s="5" t="s">
        <v>14</v>
      </c>
      <c r="I69" s="5" t="s">
        <v>13</v>
      </c>
      <c r="J69" s="5" t="s">
        <v>56</v>
      </c>
      <c r="K69" s="6">
        <v>23</v>
      </c>
      <c r="L69" s="15">
        <v>253</v>
      </c>
      <c r="M69" s="15">
        <f t="shared" ca="1" si="3"/>
        <v>3</v>
      </c>
      <c r="N69" s="16">
        <f t="shared" ca="1" si="7"/>
        <v>250</v>
      </c>
      <c r="O69" s="18">
        <f t="shared" ca="1" si="6"/>
        <v>0.98814229249011853</v>
      </c>
      <c r="P69" s="19">
        <f t="shared" si="8"/>
        <v>11</v>
      </c>
      <c r="Q69" s="16">
        <f>IF(COUNTIF($B$2:B69,B69)=1,SUMIF($B$2:$B$1097,B69,$L$2:$L$1097),"")</f>
        <v>649</v>
      </c>
      <c r="R69" s="16">
        <f>AVERAGE(Q49:Q69)</f>
        <v>696.66666666666663</v>
      </c>
    </row>
    <row r="70" spans="1:18" ht="12.75" x14ac:dyDescent="0.2">
      <c r="A70" s="3">
        <v>69</v>
      </c>
      <c r="B70" s="26">
        <v>44949</v>
      </c>
      <c r="C70" s="23" t="s">
        <v>8</v>
      </c>
      <c r="D70" s="4">
        <v>3</v>
      </c>
      <c r="E70" s="24" t="s">
        <v>9</v>
      </c>
      <c r="F70" s="5" t="s">
        <v>11</v>
      </c>
      <c r="G70" s="5" t="s">
        <v>11</v>
      </c>
      <c r="H70" s="5" t="s">
        <v>14</v>
      </c>
      <c r="I70" s="5" t="s">
        <v>15</v>
      </c>
      <c r="J70" s="5" t="s">
        <v>56</v>
      </c>
      <c r="K70" s="6">
        <v>14</v>
      </c>
      <c r="L70" s="15">
        <v>154</v>
      </c>
      <c r="M70" s="15">
        <f t="shared" ca="1" si="3"/>
        <v>2</v>
      </c>
      <c r="N70" s="16">
        <f t="shared" ca="1" si="7"/>
        <v>152</v>
      </c>
      <c r="O70" s="18">
        <f t="shared" ca="1" si="6"/>
        <v>0.98701298701298701</v>
      </c>
      <c r="P70" s="19">
        <f t="shared" si="8"/>
        <v>11</v>
      </c>
      <c r="Q70" s="16" t="str">
        <f>IF(COUNTIF($B$2:B70,B70)=1,SUMIF($B$2:$B$1097,B70,$L$2:$L$1097),"")</f>
        <v/>
      </c>
    </row>
    <row r="71" spans="1:18" ht="12.75" x14ac:dyDescent="0.2">
      <c r="A71" s="3">
        <v>70</v>
      </c>
      <c r="B71" s="26">
        <v>44949</v>
      </c>
      <c r="C71" s="23" t="s">
        <v>8</v>
      </c>
      <c r="D71" s="4">
        <v>3</v>
      </c>
      <c r="E71" s="24" t="s">
        <v>9</v>
      </c>
      <c r="F71" s="5" t="s">
        <v>11</v>
      </c>
      <c r="G71" s="5" t="s">
        <v>11</v>
      </c>
      <c r="H71" s="5" t="s">
        <v>14</v>
      </c>
      <c r="I71" s="5" t="s">
        <v>16</v>
      </c>
      <c r="J71" s="5" t="s">
        <v>55</v>
      </c>
      <c r="K71" s="6">
        <v>8</v>
      </c>
      <c r="L71" s="15">
        <v>88</v>
      </c>
      <c r="M71" s="15">
        <f t="shared" ca="1" si="3"/>
        <v>25</v>
      </c>
      <c r="N71" s="16">
        <f t="shared" ca="1" si="7"/>
        <v>63</v>
      </c>
      <c r="O71" s="18">
        <f t="shared" ca="1" si="6"/>
        <v>0.71590909090909094</v>
      </c>
      <c r="P71" s="19">
        <f t="shared" si="8"/>
        <v>11</v>
      </c>
      <c r="Q71" s="16" t="str">
        <f>IF(COUNTIF($B$2:B71,B71)=1,SUMIF($B$2:$B$1097,B71,$L$2:$L$1097),"")</f>
        <v/>
      </c>
    </row>
    <row r="72" spans="1:18" ht="12.75" x14ac:dyDescent="0.2">
      <c r="A72" s="3">
        <v>71</v>
      </c>
      <c r="B72" s="26">
        <v>44949</v>
      </c>
      <c r="C72" s="23" t="s">
        <v>8</v>
      </c>
      <c r="D72" s="4">
        <v>3</v>
      </c>
      <c r="E72" s="24" t="s">
        <v>9</v>
      </c>
      <c r="F72" s="5" t="s">
        <v>11</v>
      </c>
      <c r="G72" s="5" t="s">
        <v>11</v>
      </c>
      <c r="H72" s="5" t="s">
        <v>14</v>
      </c>
      <c r="I72" s="5" t="s">
        <v>17</v>
      </c>
      <c r="J72" s="5" t="s">
        <v>53</v>
      </c>
      <c r="K72" s="6">
        <v>14</v>
      </c>
      <c r="L72" s="15">
        <v>154</v>
      </c>
      <c r="M72" s="15">
        <f t="shared" ca="1" si="3"/>
        <v>15</v>
      </c>
      <c r="N72" s="16">
        <f t="shared" ca="1" si="7"/>
        <v>139</v>
      </c>
      <c r="O72" s="18">
        <f t="shared" ca="1" si="6"/>
        <v>0.90259740259740262</v>
      </c>
      <c r="P72" s="19">
        <f t="shared" si="8"/>
        <v>11</v>
      </c>
      <c r="Q72" s="16" t="str">
        <f>IF(COUNTIF($B$2:B72,B72)=1,SUMIF($B$2:$B$1097,B72,$L$2:$L$1097),"")</f>
        <v/>
      </c>
    </row>
    <row r="73" spans="1:18" ht="12.75" x14ac:dyDescent="0.2">
      <c r="A73" s="3">
        <v>72</v>
      </c>
      <c r="B73" s="26">
        <v>44950</v>
      </c>
      <c r="C73" s="23" t="s">
        <v>8</v>
      </c>
      <c r="D73" s="4">
        <v>4</v>
      </c>
      <c r="E73" s="24" t="s">
        <v>9</v>
      </c>
      <c r="F73" s="5" t="s">
        <v>11</v>
      </c>
      <c r="G73" s="5" t="s">
        <v>11</v>
      </c>
      <c r="H73" s="5" t="s">
        <v>14</v>
      </c>
      <c r="I73" s="5" t="s">
        <v>13</v>
      </c>
      <c r="J73" s="5" t="s">
        <v>52</v>
      </c>
      <c r="K73" s="6">
        <v>21</v>
      </c>
      <c r="L73" s="15">
        <v>231</v>
      </c>
      <c r="M73" s="15">
        <f t="shared" ref="M73:M136" ca="1" si="9">RANDBETWEEN(1,50)</f>
        <v>43</v>
      </c>
      <c r="N73" s="16">
        <f t="shared" ca="1" si="7"/>
        <v>188</v>
      </c>
      <c r="O73" s="18">
        <f t="shared" ca="1" si="6"/>
        <v>0.81385281385281383</v>
      </c>
      <c r="P73" s="19">
        <f t="shared" si="8"/>
        <v>11</v>
      </c>
      <c r="Q73" s="16">
        <f>IF(COUNTIF($B$2:B73,B73)=1,SUMIF($B$2:$B$1097,B73,$L$2:$L$1097),"")</f>
        <v>605</v>
      </c>
      <c r="R73" s="16">
        <f>AVERAGE(Q53:Q73)</f>
        <v>685.66666666666663</v>
      </c>
    </row>
    <row r="74" spans="1:18" ht="12.75" x14ac:dyDescent="0.2">
      <c r="A74" s="3">
        <v>73</v>
      </c>
      <c r="B74" s="26">
        <v>44950</v>
      </c>
      <c r="C74" s="23" t="s">
        <v>8</v>
      </c>
      <c r="D74" s="4">
        <v>4</v>
      </c>
      <c r="E74" s="24" t="s">
        <v>9</v>
      </c>
      <c r="F74" s="5" t="s">
        <v>11</v>
      </c>
      <c r="G74" s="5" t="s">
        <v>11</v>
      </c>
      <c r="H74" s="5" t="s">
        <v>14</v>
      </c>
      <c r="I74" s="5" t="s">
        <v>15</v>
      </c>
      <c r="J74" s="5" t="s">
        <v>54</v>
      </c>
      <c r="K74" s="6">
        <v>11</v>
      </c>
      <c r="L74" s="15">
        <v>121</v>
      </c>
      <c r="M74" s="15">
        <f t="shared" ca="1" si="9"/>
        <v>37</v>
      </c>
      <c r="N74" s="16">
        <f t="shared" ca="1" si="7"/>
        <v>84</v>
      </c>
      <c r="O74" s="18">
        <f t="shared" ca="1" si="6"/>
        <v>0.69421487603305787</v>
      </c>
      <c r="P74" s="19">
        <f t="shared" si="8"/>
        <v>11</v>
      </c>
      <c r="Q74" s="16" t="str">
        <f>IF(COUNTIF($B$2:B74,B74)=1,SUMIF($B$2:$B$1097,B74,$L$2:$L$1097),"")</f>
        <v/>
      </c>
    </row>
    <row r="75" spans="1:18" ht="12.75" x14ac:dyDescent="0.2">
      <c r="A75" s="3">
        <v>74</v>
      </c>
      <c r="B75" s="26">
        <v>44950</v>
      </c>
      <c r="C75" s="23" t="s">
        <v>8</v>
      </c>
      <c r="D75" s="4">
        <v>4</v>
      </c>
      <c r="E75" s="24" t="s">
        <v>9</v>
      </c>
      <c r="F75" s="5" t="s">
        <v>11</v>
      </c>
      <c r="G75" s="5" t="s">
        <v>11</v>
      </c>
      <c r="H75" s="5" t="s">
        <v>14</v>
      </c>
      <c r="I75" s="5" t="s">
        <v>16</v>
      </c>
      <c r="J75" s="5" t="s">
        <v>54</v>
      </c>
      <c r="K75" s="6">
        <v>10</v>
      </c>
      <c r="L75" s="15">
        <v>110</v>
      </c>
      <c r="M75" s="15">
        <f t="shared" ca="1" si="9"/>
        <v>29</v>
      </c>
      <c r="N75" s="16">
        <f t="shared" ca="1" si="7"/>
        <v>81</v>
      </c>
      <c r="O75" s="18">
        <f t="shared" ca="1" si="6"/>
        <v>0.73636363636363633</v>
      </c>
      <c r="P75" s="19">
        <f t="shared" si="8"/>
        <v>11</v>
      </c>
      <c r="Q75" s="16" t="str">
        <f>IF(COUNTIF($B$2:B75,B75)=1,SUMIF($B$2:$B$1097,B75,$L$2:$L$1097),"")</f>
        <v/>
      </c>
    </row>
    <row r="76" spans="1:18" ht="12.75" x14ac:dyDescent="0.2">
      <c r="A76" s="3">
        <v>75</v>
      </c>
      <c r="B76" s="26">
        <v>44950</v>
      </c>
      <c r="C76" s="23" t="s">
        <v>8</v>
      </c>
      <c r="D76" s="4">
        <v>4</v>
      </c>
      <c r="E76" s="24" t="s">
        <v>9</v>
      </c>
      <c r="F76" s="5" t="s">
        <v>11</v>
      </c>
      <c r="G76" s="5" t="s">
        <v>11</v>
      </c>
      <c r="H76" s="5" t="s">
        <v>14</v>
      </c>
      <c r="I76" s="5" t="s">
        <v>17</v>
      </c>
      <c r="J76" s="5" t="s">
        <v>54</v>
      </c>
      <c r="K76" s="6">
        <v>13</v>
      </c>
      <c r="L76" s="15">
        <v>143</v>
      </c>
      <c r="M76" s="15">
        <f t="shared" ca="1" si="9"/>
        <v>31</v>
      </c>
      <c r="N76" s="16">
        <f t="shared" ca="1" si="7"/>
        <v>112</v>
      </c>
      <c r="O76" s="18">
        <f t="shared" ca="1" si="6"/>
        <v>0.78321678321678323</v>
      </c>
      <c r="P76" s="19">
        <f t="shared" si="8"/>
        <v>11</v>
      </c>
      <c r="Q76" s="16" t="str">
        <f>IF(COUNTIF($B$2:B76,B76)=1,SUMIF($B$2:$B$1097,B76,$L$2:$L$1097),"")</f>
        <v/>
      </c>
    </row>
    <row r="77" spans="1:18" ht="12.75" x14ac:dyDescent="0.2">
      <c r="A77" s="3">
        <v>76</v>
      </c>
      <c r="B77" s="26">
        <v>44951</v>
      </c>
      <c r="C77" s="23" t="s">
        <v>8</v>
      </c>
      <c r="D77" s="4">
        <v>5</v>
      </c>
      <c r="E77" s="24" t="s">
        <v>9</v>
      </c>
      <c r="F77" s="5" t="s">
        <v>11</v>
      </c>
      <c r="G77" s="5" t="s">
        <v>11</v>
      </c>
      <c r="H77" s="5" t="s">
        <v>14</v>
      </c>
      <c r="I77" s="5" t="s">
        <v>13</v>
      </c>
      <c r="J77" s="5" t="s">
        <v>56</v>
      </c>
      <c r="K77" s="6">
        <v>25</v>
      </c>
      <c r="L77" s="15">
        <v>275</v>
      </c>
      <c r="M77" s="15">
        <f t="shared" ca="1" si="9"/>
        <v>19</v>
      </c>
      <c r="N77" s="16">
        <f t="shared" ca="1" si="7"/>
        <v>256</v>
      </c>
      <c r="O77" s="18">
        <f t="shared" ca="1" si="6"/>
        <v>0.93090909090909091</v>
      </c>
      <c r="P77" s="19">
        <f t="shared" si="8"/>
        <v>11</v>
      </c>
      <c r="Q77" s="16">
        <f>IF(COUNTIF($B$2:B77,B77)=1,SUMIF($B$2:$B$1097,B77,$L$2:$L$1097),"")</f>
        <v>737</v>
      </c>
      <c r="R77" s="16">
        <f>AVERAGE(Q57:Q77)</f>
        <v>682</v>
      </c>
    </row>
    <row r="78" spans="1:18" ht="12.75" x14ac:dyDescent="0.2">
      <c r="A78" s="3">
        <v>77</v>
      </c>
      <c r="B78" s="26">
        <v>44951</v>
      </c>
      <c r="C78" s="23" t="s">
        <v>8</v>
      </c>
      <c r="D78" s="4">
        <v>5</v>
      </c>
      <c r="E78" s="24" t="s">
        <v>9</v>
      </c>
      <c r="F78" s="5" t="s">
        <v>11</v>
      </c>
      <c r="G78" s="5" t="s">
        <v>11</v>
      </c>
      <c r="H78" s="5" t="s">
        <v>14</v>
      </c>
      <c r="I78" s="5" t="s">
        <v>15</v>
      </c>
      <c r="J78" s="5" t="s">
        <v>56</v>
      </c>
      <c r="K78" s="6">
        <v>12</v>
      </c>
      <c r="L78" s="15">
        <v>132</v>
      </c>
      <c r="M78" s="15">
        <f t="shared" ca="1" si="9"/>
        <v>41</v>
      </c>
      <c r="N78" s="16">
        <f t="shared" ca="1" si="7"/>
        <v>91</v>
      </c>
      <c r="O78" s="18">
        <f t="shared" ca="1" si="6"/>
        <v>0.68939393939393945</v>
      </c>
      <c r="P78" s="19">
        <f t="shared" si="8"/>
        <v>11</v>
      </c>
      <c r="Q78" s="16" t="str">
        <f>IF(COUNTIF($B$2:B78,B78)=1,SUMIF($B$2:$B$1097,B78,$L$2:$L$1097),"")</f>
        <v/>
      </c>
    </row>
    <row r="79" spans="1:18" ht="12.75" x14ac:dyDescent="0.2">
      <c r="A79" s="3">
        <v>78</v>
      </c>
      <c r="B79" s="26">
        <v>44951</v>
      </c>
      <c r="C79" s="23" t="s">
        <v>8</v>
      </c>
      <c r="D79" s="4">
        <v>5</v>
      </c>
      <c r="E79" s="24" t="s">
        <v>9</v>
      </c>
      <c r="F79" s="5" t="s">
        <v>11</v>
      </c>
      <c r="G79" s="5" t="s">
        <v>11</v>
      </c>
      <c r="H79" s="5" t="s">
        <v>14</v>
      </c>
      <c r="I79" s="5" t="s">
        <v>16</v>
      </c>
      <c r="J79" s="5" t="s">
        <v>55</v>
      </c>
      <c r="K79" s="6">
        <v>12</v>
      </c>
      <c r="L79" s="15">
        <v>132</v>
      </c>
      <c r="M79" s="15">
        <f t="shared" ca="1" si="9"/>
        <v>2</v>
      </c>
      <c r="N79" s="16">
        <f t="shared" ca="1" si="7"/>
        <v>130</v>
      </c>
      <c r="O79" s="18">
        <f t="shared" ca="1" si="6"/>
        <v>0.98484848484848486</v>
      </c>
      <c r="P79" s="19">
        <f t="shared" si="8"/>
        <v>11</v>
      </c>
      <c r="Q79" s="16" t="str">
        <f>IF(COUNTIF($B$2:B79,B79)=1,SUMIF($B$2:$B$1097,B79,$L$2:$L$1097),"")</f>
        <v/>
      </c>
    </row>
    <row r="80" spans="1:18" ht="12.75" x14ac:dyDescent="0.2">
      <c r="A80" s="3">
        <v>79</v>
      </c>
      <c r="B80" s="26">
        <v>44951</v>
      </c>
      <c r="C80" s="23" t="s">
        <v>8</v>
      </c>
      <c r="D80" s="4">
        <v>5</v>
      </c>
      <c r="E80" s="24" t="s">
        <v>9</v>
      </c>
      <c r="F80" s="5" t="s">
        <v>11</v>
      </c>
      <c r="G80" s="5" t="s">
        <v>11</v>
      </c>
      <c r="H80" s="5" t="s">
        <v>14</v>
      </c>
      <c r="I80" s="5" t="s">
        <v>17</v>
      </c>
      <c r="J80" s="5" t="s">
        <v>53</v>
      </c>
      <c r="K80" s="6">
        <v>18</v>
      </c>
      <c r="L80" s="15">
        <v>198</v>
      </c>
      <c r="M80" s="15">
        <f t="shared" ca="1" si="9"/>
        <v>25</v>
      </c>
      <c r="N80" s="16">
        <f t="shared" ca="1" si="7"/>
        <v>173</v>
      </c>
      <c r="O80" s="18">
        <f t="shared" ca="1" si="6"/>
        <v>0.8737373737373737</v>
      </c>
      <c r="P80" s="19">
        <f t="shared" si="8"/>
        <v>11</v>
      </c>
      <c r="Q80" s="16" t="str">
        <f>IF(COUNTIF($B$2:B80,B80)=1,SUMIF($B$2:$B$1097,B80,$L$2:$L$1097),"")</f>
        <v/>
      </c>
    </row>
    <row r="81" spans="1:18" ht="12.75" x14ac:dyDescent="0.2">
      <c r="A81" s="3">
        <v>80</v>
      </c>
      <c r="B81" s="26">
        <v>44952</v>
      </c>
      <c r="C81" s="23" t="s">
        <v>8</v>
      </c>
      <c r="D81" s="4">
        <v>6</v>
      </c>
      <c r="E81" s="24" t="s">
        <v>9</v>
      </c>
      <c r="F81" s="5" t="s">
        <v>11</v>
      </c>
      <c r="G81" s="5" t="s">
        <v>11</v>
      </c>
      <c r="H81" s="5" t="s">
        <v>14</v>
      </c>
      <c r="I81" s="5" t="s">
        <v>13</v>
      </c>
      <c r="J81" s="5" t="s">
        <v>52</v>
      </c>
      <c r="K81" s="6">
        <v>23</v>
      </c>
      <c r="L81" s="15">
        <v>253</v>
      </c>
      <c r="M81" s="15">
        <f t="shared" ca="1" si="9"/>
        <v>49</v>
      </c>
      <c r="N81" s="16">
        <f t="shared" ca="1" si="7"/>
        <v>204</v>
      </c>
      <c r="O81" s="18">
        <f t="shared" ca="1" si="6"/>
        <v>0.80632411067193677</v>
      </c>
      <c r="P81" s="19">
        <f t="shared" si="8"/>
        <v>11</v>
      </c>
      <c r="Q81" s="16">
        <f>IF(COUNTIF($B$2:B81,B81)=1,SUMIF($B$2:$B$1097,B81,$L$2:$L$1097),"")</f>
        <v>836</v>
      </c>
      <c r="R81" s="16">
        <f>AVERAGE(Q61:Q81)</f>
        <v>660</v>
      </c>
    </row>
    <row r="82" spans="1:18" ht="12.75" x14ac:dyDescent="0.2">
      <c r="A82" s="3">
        <v>81</v>
      </c>
      <c r="B82" s="26">
        <v>44952</v>
      </c>
      <c r="C82" s="23" t="s">
        <v>8</v>
      </c>
      <c r="D82" s="4">
        <v>6</v>
      </c>
      <c r="E82" s="24" t="s">
        <v>9</v>
      </c>
      <c r="F82" s="5" t="s">
        <v>11</v>
      </c>
      <c r="G82" s="5" t="s">
        <v>11</v>
      </c>
      <c r="H82" s="5" t="s">
        <v>14</v>
      </c>
      <c r="I82" s="5" t="s">
        <v>15</v>
      </c>
      <c r="J82" s="5" t="s">
        <v>55</v>
      </c>
      <c r="K82" s="6">
        <v>15</v>
      </c>
      <c r="L82" s="15">
        <v>165</v>
      </c>
      <c r="M82" s="15">
        <f t="shared" ca="1" si="9"/>
        <v>27</v>
      </c>
      <c r="N82" s="16">
        <f t="shared" ca="1" si="7"/>
        <v>138</v>
      </c>
      <c r="O82" s="18">
        <f t="shared" ca="1" si="6"/>
        <v>0.83636363636363631</v>
      </c>
      <c r="P82" s="19">
        <f t="shared" si="8"/>
        <v>11</v>
      </c>
      <c r="Q82" s="16" t="str">
        <f>IF(COUNTIF($B$2:B82,B82)=1,SUMIF($B$2:$B$1097,B82,$L$2:$L$1097),"")</f>
        <v/>
      </c>
    </row>
    <row r="83" spans="1:18" ht="12.75" x14ac:dyDescent="0.2">
      <c r="A83" s="3">
        <v>82</v>
      </c>
      <c r="B83" s="26">
        <v>44952</v>
      </c>
      <c r="C83" s="23" t="s">
        <v>8</v>
      </c>
      <c r="D83" s="4">
        <v>6</v>
      </c>
      <c r="E83" s="24" t="s">
        <v>9</v>
      </c>
      <c r="F83" s="5" t="s">
        <v>11</v>
      </c>
      <c r="G83" s="5" t="s">
        <v>11</v>
      </c>
      <c r="H83" s="5" t="s">
        <v>14</v>
      </c>
      <c r="I83" s="5" t="s">
        <v>16</v>
      </c>
      <c r="J83" s="5" t="s">
        <v>55</v>
      </c>
      <c r="K83" s="6">
        <v>15</v>
      </c>
      <c r="L83" s="15">
        <v>165</v>
      </c>
      <c r="M83" s="15">
        <f t="shared" ca="1" si="9"/>
        <v>35</v>
      </c>
      <c r="N83" s="16">
        <f t="shared" ca="1" si="7"/>
        <v>130</v>
      </c>
      <c r="O83" s="18">
        <f t="shared" ca="1" si="6"/>
        <v>0.78787878787878785</v>
      </c>
      <c r="P83" s="19">
        <f t="shared" si="8"/>
        <v>11</v>
      </c>
      <c r="Q83" s="16" t="str">
        <f>IF(COUNTIF($B$2:B83,B83)=1,SUMIF($B$2:$B$1097,B83,$L$2:$L$1097),"")</f>
        <v/>
      </c>
    </row>
    <row r="84" spans="1:18" ht="12.75" x14ac:dyDescent="0.2">
      <c r="A84" s="3">
        <v>83</v>
      </c>
      <c r="B84" s="26">
        <v>44952</v>
      </c>
      <c r="C84" s="23" t="s">
        <v>8</v>
      </c>
      <c r="D84" s="4">
        <v>6</v>
      </c>
      <c r="E84" s="24" t="s">
        <v>9</v>
      </c>
      <c r="F84" s="5" t="s">
        <v>11</v>
      </c>
      <c r="G84" s="5" t="s">
        <v>11</v>
      </c>
      <c r="H84" s="5" t="s">
        <v>14</v>
      </c>
      <c r="I84" s="5" t="s">
        <v>17</v>
      </c>
      <c r="J84" s="5" t="s">
        <v>53</v>
      </c>
      <c r="K84" s="6">
        <v>23</v>
      </c>
      <c r="L84" s="15">
        <v>253</v>
      </c>
      <c r="M84" s="15">
        <f t="shared" ca="1" si="9"/>
        <v>6</v>
      </c>
      <c r="N84" s="16">
        <f t="shared" ca="1" si="7"/>
        <v>247</v>
      </c>
      <c r="O84" s="18">
        <f t="shared" ca="1" si="6"/>
        <v>0.97628458498023718</v>
      </c>
      <c r="P84" s="19">
        <f t="shared" si="8"/>
        <v>11</v>
      </c>
      <c r="Q84" s="16" t="str">
        <f>IF(COUNTIF($B$2:B84,B84)=1,SUMIF($B$2:$B$1097,B84,$L$2:$L$1097),"")</f>
        <v/>
      </c>
    </row>
    <row r="85" spans="1:18" ht="12.75" x14ac:dyDescent="0.2">
      <c r="A85" s="3">
        <v>84</v>
      </c>
      <c r="B85" s="26">
        <v>44953</v>
      </c>
      <c r="C85" s="23" t="s">
        <v>8</v>
      </c>
      <c r="D85" s="4">
        <v>7</v>
      </c>
      <c r="E85" s="24" t="s">
        <v>9</v>
      </c>
      <c r="F85" s="5" t="s">
        <v>11</v>
      </c>
      <c r="G85" s="5" t="s">
        <v>11</v>
      </c>
      <c r="H85" s="5" t="s">
        <v>14</v>
      </c>
      <c r="I85" s="5" t="s">
        <v>13</v>
      </c>
      <c r="J85" s="5" t="s">
        <v>56</v>
      </c>
      <c r="K85" s="6">
        <v>29</v>
      </c>
      <c r="L85" s="15">
        <v>319</v>
      </c>
      <c r="M85" s="15">
        <f t="shared" ca="1" si="9"/>
        <v>40</v>
      </c>
      <c r="N85" s="16">
        <f t="shared" ca="1" si="7"/>
        <v>279</v>
      </c>
      <c r="O85" s="18">
        <f t="shared" ca="1" si="6"/>
        <v>0.87460815047021945</v>
      </c>
      <c r="P85" s="19">
        <f t="shared" si="8"/>
        <v>11</v>
      </c>
      <c r="Q85" s="16">
        <f>IF(COUNTIF($B$2:B85,B85)=1,SUMIF($B$2:$B$1097,B85,$L$2:$L$1097),"")</f>
        <v>319</v>
      </c>
      <c r="R85" s="16">
        <f t="shared" ref="R85:R86" si="10">AVERAGE(Q65:Q85)</f>
        <v>660</v>
      </c>
    </row>
    <row r="86" spans="1:18" ht="12.75" x14ac:dyDescent="0.2">
      <c r="A86" s="3">
        <v>85</v>
      </c>
      <c r="B86" s="26">
        <v>44955</v>
      </c>
      <c r="C86" s="23" t="s">
        <v>8</v>
      </c>
      <c r="D86" s="4">
        <v>2</v>
      </c>
      <c r="E86" s="24" t="s">
        <v>9</v>
      </c>
      <c r="F86" s="5" t="s">
        <v>11</v>
      </c>
      <c r="G86" s="5" t="s">
        <v>11</v>
      </c>
      <c r="H86" s="5" t="s">
        <v>14</v>
      </c>
      <c r="I86" s="5" t="s">
        <v>13</v>
      </c>
      <c r="J86" s="5" t="s">
        <v>52</v>
      </c>
      <c r="K86" s="6">
        <v>25</v>
      </c>
      <c r="L86" s="15">
        <v>275</v>
      </c>
      <c r="M86" s="15">
        <f t="shared" ca="1" si="9"/>
        <v>38</v>
      </c>
      <c r="N86" s="16">
        <f t="shared" ca="1" si="7"/>
        <v>237</v>
      </c>
      <c r="O86" s="18">
        <f t="shared" ca="1" si="6"/>
        <v>0.86181818181818182</v>
      </c>
      <c r="P86" s="19">
        <f t="shared" si="8"/>
        <v>11</v>
      </c>
      <c r="Q86" s="16">
        <f>IF(COUNTIF($B$2:B86,B86)=1,SUMIF($B$2:$B$1097,B86,$L$2:$L$1097),"")</f>
        <v>814</v>
      </c>
      <c r="R86" s="16">
        <f t="shared" si="10"/>
        <v>660</v>
      </c>
    </row>
    <row r="87" spans="1:18" ht="12.75" x14ac:dyDescent="0.2">
      <c r="A87" s="3">
        <v>86</v>
      </c>
      <c r="B87" s="26">
        <v>44955</v>
      </c>
      <c r="C87" s="23" t="s">
        <v>8</v>
      </c>
      <c r="D87" s="4">
        <v>2</v>
      </c>
      <c r="E87" s="24" t="s">
        <v>9</v>
      </c>
      <c r="F87" s="5" t="s">
        <v>11</v>
      </c>
      <c r="G87" s="5" t="s">
        <v>11</v>
      </c>
      <c r="H87" s="5" t="s">
        <v>14</v>
      </c>
      <c r="I87" s="5" t="s">
        <v>15</v>
      </c>
      <c r="J87" s="5" t="s">
        <v>54</v>
      </c>
      <c r="K87" s="6">
        <v>13</v>
      </c>
      <c r="L87" s="15">
        <v>143</v>
      </c>
      <c r="M87" s="15">
        <f t="shared" ca="1" si="9"/>
        <v>14</v>
      </c>
      <c r="N87" s="16">
        <f t="shared" ca="1" si="7"/>
        <v>129</v>
      </c>
      <c r="O87" s="18">
        <f t="shared" ca="1" si="6"/>
        <v>0.90209790209790208</v>
      </c>
      <c r="P87" s="19">
        <f t="shared" si="8"/>
        <v>11</v>
      </c>
      <c r="Q87" s="16" t="str">
        <f>IF(COUNTIF($B$2:B87,B87)=1,SUMIF($B$2:$B$1097,B87,$L$2:$L$1097),"")</f>
        <v/>
      </c>
    </row>
    <row r="88" spans="1:18" ht="12.75" x14ac:dyDescent="0.2">
      <c r="A88" s="3">
        <v>87</v>
      </c>
      <c r="B88" s="26">
        <v>44955</v>
      </c>
      <c r="C88" s="23" t="s">
        <v>8</v>
      </c>
      <c r="D88" s="4">
        <v>2</v>
      </c>
      <c r="E88" s="24" t="s">
        <v>9</v>
      </c>
      <c r="F88" s="5" t="s">
        <v>11</v>
      </c>
      <c r="G88" s="5" t="s">
        <v>11</v>
      </c>
      <c r="H88" s="5" t="s">
        <v>14</v>
      </c>
      <c r="I88" s="5" t="s">
        <v>16</v>
      </c>
      <c r="J88" s="5" t="s">
        <v>54</v>
      </c>
      <c r="K88" s="6">
        <v>17</v>
      </c>
      <c r="L88" s="15">
        <v>187</v>
      </c>
      <c r="M88" s="15">
        <f t="shared" ca="1" si="9"/>
        <v>32</v>
      </c>
      <c r="N88" s="16">
        <f t="shared" ca="1" si="7"/>
        <v>155</v>
      </c>
      <c r="O88" s="18">
        <f t="shared" ca="1" si="6"/>
        <v>0.82887700534759357</v>
      </c>
      <c r="P88" s="19">
        <f t="shared" si="8"/>
        <v>11</v>
      </c>
      <c r="Q88" s="16" t="str">
        <f>IF(COUNTIF($B$2:B88,B88)=1,SUMIF($B$2:$B$1097,B88,$L$2:$L$1097),"")</f>
        <v/>
      </c>
    </row>
    <row r="89" spans="1:18" ht="12.75" x14ac:dyDescent="0.2">
      <c r="A89" s="3">
        <v>88</v>
      </c>
      <c r="B89" s="26">
        <v>44955</v>
      </c>
      <c r="C89" s="23" t="s">
        <v>8</v>
      </c>
      <c r="D89" s="4">
        <v>2</v>
      </c>
      <c r="E89" s="24" t="s">
        <v>9</v>
      </c>
      <c r="F89" s="5" t="s">
        <v>11</v>
      </c>
      <c r="G89" s="5" t="s">
        <v>11</v>
      </c>
      <c r="H89" s="5" t="s">
        <v>14</v>
      </c>
      <c r="I89" s="5" t="s">
        <v>17</v>
      </c>
      <c r="J89" s="5" t="s">
        <v>54</v>
      </c>
      <c r="K89" s="6">
        <v>19</v>
      </c>
      <c r="L89" s="15">
        <v>209</v>
      </c>
      <c r="M89" s="15">
        <f t="shared" ca="1" si="9"/>
        <v>11</v>
      </c>
      <c r="N89" s="16">
        <f t="shared" ca="1" si="7"/>
        <v>198</v>
      </c>
      <c r="O89" s="18">
        <f t="shared" ca="1" si="6"/>
        <v>0.94736842105263153</v>
      </c>
      <c r="P89" s="19">
        <f t="shared" si="8"/>
        <v>11</v>
      </c>
      <c r="Q89" s="16" t="str">
        <f>IF(COUNTIF($B$2:B89,B89)=1,SUMIF($B$2:$B$1097,B89,$L$2:$L$1097),"")</f>
        <v/>
      </c>
    </row>
    <row r="90" spans="1:18" ht="12.75" x14ac:dyDescent="0.2">
      <c r="A90" s="3">
        <v>89</v>
      </c>
      <c r="B90" s="26">
        <v>44956</v>
      </c>
      <c r="C90" s="23" t="s">
        <v>8</v>
      </c>
      <c r="D90" s="4">
        <v>3</v>
      </c>
      <c r="E90" s="24" t="s">
        <v>9</v>
      </c>
      <c r="F90" s="5" t="s">
        <v>11</v>
      </c>
      <c r="G90" s="5" t="s">
        <v>11</v>
      </c>
      <c r="H90" s="5" t="s">
        <v>14</v>
      </c>
      <c r="I90" s="5" t="s">
        <v>13</v>
      </c>
      <c r="J90" s="5" t="s">
        <v>56</v>
      </c>
      <c r="K90" s="6">
        <v>21</v>
      </c>
      <c r="L90" s="15">
        <v>231</v>
      </c>
      <c r="M90" s="15">
        <f t="shared" ca="1" si="9"/>
        <v>6</v>
      </c>
      <c r="N90" s="16">
        <f t="shared" ca="1" si="7"/>
        <v>225</v>
      </c>
      <c r="O90" s="18">
        <f t="shared" ca="1" si="6"/>
        <v>0.97402597402597402</v>
      </c>
      <c r="P90" s="19">
        <f t="shared" si="8"/>
        <v>11</v>
      </c>
      <c r="Q90" s="16">
        <f>IF(COUNTIF($B$2:B90,B90)=1,SUMIF($B$2:$B$1097,B90,$L$2:$L$1097),"")</f>
        <v>704</v>
      </c>
      <c r="R90" s="16">
        <f>AVERAGE(Q70:Q90)</f>
        <v>669.16666666666663</v>
      </c>
    </row>
    <row r="91" spans="1:18" ht="12.75" x14ac:dyDescent="0.2">
      <c r="A91" s="3">
        <v>90</v>
      </c>
      <c r="B91" s="26">
        <v>44956</v>
      </c>
      <c r="C91" s="23" t="s">
        <v>8</v>
      </c>
      <c r="D91" s="4">
        <v>3</v>
      </c>
      <c r="E91" s="24" t="s">
        <v>9</v>
      </c>
      <c r="F91" s="5" t="s">
        <v>11</v>
      </c>
      <c r="G91" s="5" t="s">
        <v>11</v>
      </c>
      <c r="H91" s="5" t="s">
        <v>14</v>
      </c>
      <c r="I91" s="5" t="s">
        <v>15</v>
      </c>
      <c r="J91" s="5" t="s">
        <v>56</v>
      </c>
      <c r="K91" s="6">
        <v>15</v>
      </c>
      <c r="L91" s="15">
        <v>165</v>
      </c>
      <c r="M91" s="15">
        <f t="shared" ca="1" si="9"/>
        <v>13</v>
      </c>
      <c r="N91" s="16">
        <f t="shared" ca="1" si="7"/>
        <v>152</v>
      </c>
      <c r="O91" s="18">
        <f t="shared" ca="1" si="6"/>
        <v>0.92121212121212126</v>
      </c>
      <c r="P91" s="19">
        <f t="shared" si="8"/>
        <v>11</v>
      </c>
      <c r="Q91" s="16" t="str">
        <f>IF(COUNTIF($B$2:B91,B91)=1,SUMIF($B$2:$B$1097,B91,$L$2:$L$1097),"")</f>
        <v/>
      </c>
    </row>
    <row r="92" spans="1:18" ht="12.75" x14ac:dyDescent="0.2">
      <c r="A92" s="3">
        <v>91</v>
      </c>
      <c r="B92" s="26">
        <v>44956</v>
      </c>
      <c r="C92" s="23" t="s">
        <v>8</v>
      </c>
      <c r="D92" s="4">
        <v>3</v>
      </c>
      <c r="E92" s="24" t="s">
        <v>9</v>
      </c>
      <c r="F92" s="5" t="s">
        <v>11</v>
      </c>
      <c r="G92" s="5" t="s">
        <v>11</v>
      </c>
      <c r="H92" s="5" t="s">
        <v>14</v>
      </c>
      <c r="I92" s="5" t="s">
        <v>16</v>
      </c>
      <c r="J92" s="5" t="s">
        <v>55</v>
      </c>
      <c r="K92" s="6">
        <v>10</v>
      </c>
      <c r="L92" s="15">
        <v>110</v>
      </c>
      <c r="M92" s="15">
        <f t="shared" ca="1" si="9"/>
        <v>13</v>
      </c>
      <c r="N92" s="16">
        <f t="shared" ca="1" si="7"/>
        <v>97</v>
      </c>
      <c r="O92" s="18">
        <f t="shared" ca="1" si="6"/>
        <v>0.88181818181818183</v>
      </c>
      <c r="P92" s="19">
        <f t="shared" si="8"/>
        <v>11</v>
      </c>
      <c r="Q92" s="16" t="str">
        <f>IF(COUNTIF($B$2:B92,B92)=1,SUMIF($B$2:$B$1097,B92,$L$2:$L$1097),"")</f>
        <v/>
      </c>
    </row>
    <row r="93" spans="1:18" ht="12.75" x14ac:dyDescent="0.2">
      <c r="A93" s="3">
        <v>92</v>
      </c>
      <c r="B93" s="26">
        <v>44956</v>
      </c>
      <c r="C93" s="23" t="s">
        <v>8</v>
      </c>
      <c r="D93" s="4">
        <v>3</v>
      </c>
      <c r="E93" s="24" t="s">
        <v>9</v>
      </c>
      <c r="F93" s="5" t="s">
        <v>11</v>
      </c>
      <c r="G93" s="5" t="s">
        <v>11</v>
      </c>
      <c r="H93" s="5" t="s">
        <v>14</v>
      </c>
      <c r="I93" s="5" t="s">
        <v>17</v>
      </c>
      <c r="J93" s="5" t="s">
        <v>53</v>
      </c>
      <c r="K93" s="6">
        <v>18</v>
      </c>
      <c r="L93" s="15">
        <v>198</v>
      </c>
      <c r="M93" s="15">
        <f t="shared" ca="1" si="9"/>
        <v>38</v>
      </c>
      <c r="N93" s="16">
        <f t="shared" ca="1" si="7"/>
        <v>160</v>
      </c>
      <c r="O93" s="18">
        <f t="shared" ca="1" si="6"/>
        <v>0.80808080808080807</v>
      </c>
      <c r="P93" s="19">
        <f t="shared" si="8"/>
        <v>11</v>
      </c>
      <c r="Q93" s="16" t="str">
        <f>IF(COUNTIF($B$2:B93,B93)=1,SUMIF($B$2:$B$1097,B93,$L$2:$L$1097),"")</f>
        <v/>
      </c>
    </row>
    <row r="94" spans="1:18" ht="12.75" x14ac:dyDescent="0.2">
      <c r="A94" s="3">
        <v>93</v>
      </c>
      <c r="B94" s="26">
        <v>44957</v>
      </c>
      <c r="C94" s="23" t="s">
        <v>8</v>
      </c>
      <c r="D94" s="4">
        <v>4</v>
      </c>
      <c r="E94" s="24" t="s">
        <v>9</v>
      </c>
      <c r="F94" s="5" t="s">
        <v>11</v>
      </c>
      <c r="G94" s="5" t="s">
        <v>11</v>
      </c>
      <c r="H94" s="5" t="s">
        <v>14</v>
      </c>
      <c r="I94" s="5" t="s">
        <v>13</v>
      </c>
      <c r="J94" s="5" t="s">
        <v>52</v>
      </c>
      <c r="K94" s="6">
        <v>21</v>
      </c>
      <c r="L94" s="15">
        <v>231</v>
      </c>
      <c r="M94" s="15">
        <f t="shared" ca="1" si="9"/>
        <v>10</v>
      </c>
      <c r="N94" s="16">
        <f t="shared" ca="1" si="7"/>
        <v>221</v>
      </c>
      <c r="O94" s="18">
        <f t="shared" ca="1" si="6"/>
        <v>0.95670995670995673</v>
      </c>
      <c r="P94" s="19">
        <f t="shared" si="8"/>
        <v>11</v>
      </c>
      <c r="Q94" s="16">
        <f>IF(COUNTIF($B$2:B94,B94)=1,SUMIF($B$2:$B$1097,B94,$L$2:$L$1097),"")</f>
        <v>616</v>
      </c>
      <c r="R94" s="16">
        <f>AVERAGE(Q74:Q94)</f>
        <v>671</v>
      </c>
    </row>
    <row r="95" spans="1:18" ht="12.75" x14ac:dyDescent="0.2">
      <c r="A95" s="3">
        <v>94</v>
      </c>
      <c r="B95" s="26">
        <v>44957</v>
      </c>
      <c r="C95" s="23" t="s">
        <v>8</v>
      </c>
      <c r="D95" s="4">
        <v>4</v>
      </c>
      <c r="E95" s="24" t="s">
        <v>9</v>
      </c>
      <c r="F95" s="5" t="s">
        <v>11</v>
      </c>
      <c r="G95" s="5" t="s">
        <v>11</v>
      </c>
      <c r="H95" s="5" t="s">
        <v>14</v>
      </c>
      <c r="I95" s="5" t="s">
        <v>15</v>
      </c>
      <c r="J95" s="5" t="s">
        <v>54</v>
      </c>
      <c r="K95" s="6">
        <v>12</v>
      </c>
      <c r="L95" s="15">
        <v>132</v>
      </c>
      <c r="M95" s="15">
        <f t="shared" ca="1" si="9"/>
        <v>3</v>
      </c>
      <c r="N95" s="16">
        <f t="shared" ca="1" si="7"/>
        <v>129</v>
      </c>
      <c r="O95" s="18">
        <f t="shared" ca="1" si="6"/>
        <v>0.97727272727272729</v>
      </c>
      <c r="P95" s="19">
        <f t="shared" si="8"/>
        <v>11</v>
      </c>
      <c r="Q95" s="16" t="str">
        <f>IF(COUNTIF($B$2:B95,B95)=1,SUMIF($B$2:$B$1097,B95,$L$2:$L$1097),"")</f>
        <v/>
      </c>
    </row>
    <row r="96" spans="1:18" ht="12.75" x14ac:dyDescent="0.2">
      <c r="A96" s="3">
        <v>95</v>
      </c>
      <c r="B96" s="26">
        <v>44957</v>
      </c>
      <c r="C96" s="23" t="s">
        <v>8</v>
      </c>
      <c r="D96" s="4">
        <v>4</v>
      </c>
      <c r="E96" s="24" t="s">
        <v>9</v>
      </c>
      <c r="F96" s="5" t="s">
        <v>11</v>
      </c>
      <c r="G96" s="5" t="s">
        <v>11</v>
      </c>
      <c r="H96" s="5" t="s">
        <v>14</v>
      </c>
      <c r="I96" s="5" t="s">
        <v>16</v>
      </c>
      <c r="J96" s="5" t="s">
        <v>54</v>
      </c>
      <c r="K96" s="6">
        <v>9</v>
      </c>
      <c r="L96" s="15">
        <v>99</v>
      </c>
      <c r="M96" s="15">
        <f t="shared" ca="1" si="9"/>
        <v>25</v>
      </c>
      <c r="N96" s="16">
        <f t="shared" ca="1" si="7"/>
        <v>74</v>
      </c>
      <c r="O96" s="18">
        <f t="shared" ca="1" si="6"/>
        <v>0.74747474747474751</v>
      </c>
      <c r="P96" s="19">
        <f t="shared" si="8"/>
        <v>11</v>
      </c>
      <c r="Q96" s="16" t="str">
        <f>IF(COUNTIF($B$2:B96,B96)=1,SUMIF($B$2:$B$1097,B96,$L$2:$L$1097),"")</f>
        <v/>
      </c>
    </row>
    <row r="97" spans="1:18" ht="12.75" x14ac:dyDescent="0.2">
      <c r="A97" s="3">
        <v>96</v>
      </c>
      <c r="B97" s="26">
        <v>44957</v>
      </c>
      <c r="C97" s="23" t="s">
        <v>8</v>
      </c>
      <c r="D97" s="4">
        <v>4</v>
      </c>
      <c r="E97" s="24" t="s">
        <v>9</v>
      </c>
      <c r="F97" s="5" t="s">
        <v>11</v>
      </c>
      <c r="G97" s="5" t="s">
        <v>11</v>
      </c>
      <c r="H97" s="5" t="s">
        <v>14</v>
      </c>
      <c r="I97" s="5" t="s">
        <v>17</v>
      </c>
      <c r="J97" s="5" t="s">
        <v>54</v>
      </c>
      <c r="K97" s="6">
        <v>14</v>
      </c>
      <c r="L97" s="15">
        <v>154</v>
      </c>
      <c r="M97" s="15">
        <f t="shared" ca="1" si="9"/>
        <v>23</v>
      </c>
      <c r="N97" s="16">
        <f t="shared" ca="1" si="7"/>
        <v>131</v>
      </c>
      <c r="O97" s="18">
        <f t="shared" ca="1" si="6"/>
        <v>0.85064935064935066</v>
      </c>
      <c r="P97" s="19">
        <f t="shared" si="8"/>
        <v>11</v>
      </c>
      <c r="Q97" s="16" t="str">
        <f>IF(COUNTIF($B$2:B97,B97)=1,SUMIF($B$2:$B$1097,B97,$L$2:$L$1097),"")</f>
        <v/>
      </c>
    </row>
    <row r="98" spans="1:18" ht="12.75" x14ac:dyDescent="0.2">
      <c r="A98" s="3">
        <v>97</v>
      </c>
      <c r="B98" s="26">
        <v>44958</v>
      </c>
      <c r="C98" s="23" t="s">
        <v>20</v>
      </c>
      <c r="D98" s="4">
        <v>5</v>
      </c>
      <c r="E98" s="24" t="s">
        <v>9</v>
      </c>
      <c r="F98" s="5" t="s">
        <v>11</v>
      </c>
      <c r="G98" s="5" t="s">
        <v>11</v>
      </c>
      <c r="H98" s="5" t="s">
        <v>14</v>
      </c>
      <c r="I98" s="5" t="s">
        <v>13</v>
      </c>
      <c r="J98" s="5" t="s">
        <v>56</v>
      </c>
      <c r="K98" s="6">
        <v>15</v>
      </c>
      <c r="L98" s="15">
        <v>165</v>
      </c>
      <c r="M98" s="15">
        <f t="shared" ca="1" si="9"/>
        <v>39</v>
      </c>
      <c r="N98" s="16">
        <f t="shared" ca="1" si="7"/>
        <v>126</v>
      </c>
      <c r="O98" s="18">
        <f t="shared" ca="1" si="6"/>
        <v>0.76363636363636367</v>
      </c>
      <c r="P98" s="19">
        <f t="shared" si="8"/>
        <v>11</v>
      </c>
      <c r="Q98" s="16">
        <f>IF(COUNTIF($B$2:B98,B98)=1,SUMIF($B$2:$B$1097,B98,$L$2:$L$1097),"")</f>
        <v>484</v>
      </c>
      <c r="R98" s="16">
        <f>AVERAGE(Q78:Q98)</f>
        <v>628.83333333333337</v>
      </c>
    </row>
    <row r="99" spans="1:18" ht="12.75" x14ac:dyDescent="0.2">
      <c r="A99" s="3">
        <v>98</v>
      </c>
      <c r="B99" s="26">
        <v>44958</v>
      </c>
      <c r="C99" s="23" t="s">
        <v>20</v>
      </c>
      <c r="D99" s="4">
        <v>5</v>
      </c>
      <c r="E99" s="24" t="s">
        <v>9</v>
      </c>
      <c r="F99" s="5" t="s">
        <v>11</v>
      </c>
      <c r="G99" s="5" t="s">
        <v>11</v>
      </c>
      <c r="H99" s="5" t="s">
        <v>14</v>
      </c>
      <c r="I99" s="5" t="s">
        <v>15</v>
      </c>
      <c r="J99" s="5" t="s">
        <v>56</v>
      </c>
      <c r="K99" s="6">
        <v>11</v>
      </c>
      <c r="L99" s="15">
        <v>121</v>
      </c>
      <c r="M99" s="15">
        <f t="shared" ca="1" si="9"/>
        <v>26</v>
      </c>
      <c r="N99" s="16">
        <f t="shared" ca="1" si="7"/>
        <v>95</v>
      </c>
      <c r="O99" s="18">
        <f t="shared" ca="1" si="6"/>
        <v>0.78512396694214881</v>
      </c>
      <c r="P99" s="19">
        <f t="shared" si="8"/>
        <v>11</v>
      </c>
      <c r="Q99" s="16" t="str">
        <f>IF(COUNTIF($B$2:B99,B99)=1,SUMIF($B$2:$B$1097,B99,$L$2:$L$1097),"")</f>
        <v/>
      </c>
    </row>
    <row r="100" spans="1:18" ht="12.75" x14ac:dyDescent="0.2">
      <c r="A100" s="3">
        <v>99</v>
      </c>
      <c r="B100" s="26">
        <v>44958</v>
      </c>
      <c r="C100" s="23" t="s">
        <v>20</v>
      </c>
      <c r="D100" s="4">
        <v>5</v>
      </c>
      <c r="E100" s="24" t="s">
        <v>9</v>
      </c>
      <c r="F100" s="5" t="s">
        <v>11</v>
      </c>
      <c r="G100" s="5" t="s">
        <v>11</v>
      </c>
      <c r="H100" s="5" t="s">
        <v>14</v>
      </c>
      <c r="I100" s="5" t="s">
        <v>16</v>
      </c>
      <c r="J100" s="5" t="s">
        <v>55</v>
      </c>
      <c r="K100" s="6">
        <v>5</v>
      </c>
      <c r="L100" s="15">
        <v>55</v>
      </c>
      <c r="M100" s="15">
        <f t="shared" ca="1" si="9"/>
        <v>8</v>
      </c>
      <c r="N100" s="16">
        <f t="shared" ca="1" si="7"/>
        <v>47</v>
      </c>
      <c r="O100" s="18">
        <f t="shared" ca="1" si="6"/>
        <v>0.8545454545454545</v>
      </c>
      <c r="P100" s="19">
        <f t="shared" si="8"/>
        <v>11</v>
      </c>
      <c r="Q100" s="16" t="str">
        <f>IF(COUNTIF($B$2:B100,B100)=1,SUMIF($B$2:$B$1097,B100,$L$2:$L$1097),"")</f>
        <v/>
      </c>
    </row>
    <row r="101" spans="1:18" ht="12.75" x14ac:dyDescent="0.2">
      <c r="A101" s="3">
        <v>100</v>
      </c>
      <c r="B101" s="26">
        <v>44958</v>
      </c>
      <c r="C101" s="23" t="s">
        <v>20</v>
      </c>
      <c r="D101" s="4">
        <v>5</v>
      </c>
      <c r="E101" s="24" t="s">
        <v>9</v>
      </c>
      <c r="F101" s="5" t="s">
        <v>11</v>
      </c>
      <c r="G101" s="5" t="s">
        <v>11</v>
      </c>
      <c r="H101" s="5" t="s">
        <v>14</v>
      </c>
      <c r="I101" s="5" t="s">
        <v>17</v>
      </c>
      <c r="J101" s="5" t="s">
        <v>53</v>
      </c>
      <c r="K101" s="6">
        <v>13</v>
      </c>
      <c r="L101" s="15">
        <v>143</v>
      </c>
      <c r="M101" s="15">
        <f t="shared" ca="1" si="9"/>
        <v>33</v>
      </c>
      <c r="N101" s="16">
        <f t="shared" ca="1" si="7"/>
        <v>110</v>
      </c>
      <c r="O101" s="18">
        <f t="shared" ca="1" si="6"/>
        <v>0.76923076923076927</v>
      </c>
      <c r="P101" s="19">
        <f t="shared" si="8"/>
        <v>11</v>
      </c>
      <c r="Q101" s="16" t="str">
        <f>IF(COUNTIF($B$2:B101,B101)=1,SUMIF($B$2:$B$1097,B101,$L$2:$L$1097),"")</f>
        <v/>
      </c>
    </row>
    <row r="102" spans="1:18" ht="12.75" x14ac:dyDescent="0.2">
      <c r="A102" s="3">
        <v>101</v>
      </c>
      <c r="B102" s="26">
        <v>44959</v>
      </c>
      <c r="C102" s="23" t="s">
        <v>20</v>
      </c>
      <c r="D102" s="4">
        <v>6</v>
      </c>
      <c r="E102" s="24" t="s">
        <v>9</v>
      </c>
      <c r="F102" s="5" t="s">
        <v>11</v>
      </c>
      <c r="G102" s="5" t="s">
        <v>10</v>
      </c>
      <c r="H102" s="5" t="s">
        <v>21</v>
      </c>
      <c r="I102" s="5" t="s">
        <v>13</v>
      </c>
      <c r="J102" s="5" t="s">
        <v>52</v>
      </c>
      <c r="K102" s="6">
        <v>25</v>
      </c>
      <c r="L102" s="15">
        <v>235</v>
      </c>
      <c r="M102" s="15">
        <f t="shared" ca="1" si="9"/>
        <v>13</v>
      </c>
      <c r="N102" s="16">
        <f t="shared" ca="1" si="7"/>
        <v>222</v>
      </c>
      <c r="O102" s="18">
        <f t="shared" ca="1" si="6"/>
        <v>0.94468085106382982</v>
      </c>
      <c r="P102" s="19">
        <f t="shared" si="8"/>
        <v>9.4</v>
      </c>
      <c r="Q102" s="16">
        <f>IF(COUNTIF($B$2:B102,B102)=1,SUMIF($B$2:$B$1097,B102,$L$2:$L$1097),"")</f>
        <v>696</v>
      </c>
      <c r="R102" s="16">
        <f>AVERAGE(Q82:Q102)</f>
        <v>605.5</v>
      </c>
    </row>
    <row r="103" spans="1:18" ht="12.75" x14ac:dyDescent="0.2">
      <c r="A103" s="3">
        <v>102</v>
      </c>
      <c r="B103" s="26">
        <v>44959</v>
      </c>
      <c r="C103" s="23" t="s">
        <v>20</v>
      </c>
      <c r="D103" s="4">
        <v>6</v>
      </c>
      <c r="E103" s="24" t="s">
        <v>9</v>
      </c>
      <c r="F103" s="5" t="s">
        <v>11</v>
      </c>
      <c r="G103" s="5" t="s">
        <v>10</v>
      </c>
      <c r="H103" s="5" t="s">
        <v>21</v>
      </c>
      <c r="I103" s="5" t="s">
        <v>15</v>
      </c>
      <c r="J103" s="5" t="s">
        <v>55</v>
      </c>
      <c r="K103" s="6">
        <v>19</v>
      </c>
      <c r="L103" s="15">
        <v>153</v>
      </c>
      <c r="M103" s="15">
        <f t="shared" ca="1" si="9"/>
        <v>29</v>
      </c>
      <c r="N103" s="16">
        <f t="shared" ca="1" si="7"/>
        <v>124</v>
      </c>
      <c r="O103" s="18">
        <f t="shared" ca="1" si="6"/>
        <v>0.81045751633986929</v>
      </c>
      <c r="P103" s="19">
        <f t="shared" si="8"/>
        <v>8.0526315789473681</v>
      </c>
      <c r="Q103" s="16" t="str">
        <f>IF(COUNTIF($B$2:B103,B103)=1,SUMIF($B$2:$B$1097,B103,$L$2:$L$1097),"")</f>
        <v/>
      </c>
    </row>
    <row r="104" spans="1:18" ht="12.75" x14ac:dyDescent="0.2">
      <c r="A104" s="3">
        <v>103</v>
      </c>
      <c r="B104" s="26">
        <v>44959</v>
      </c>
      <c r="C104" s="23" t="s">
        <v>20</v>
      </c>
      <c r="D104" s="4">
        <v>6</v>
      </c>
      <c r="E104" s="24" t="s">
        <v>9</v>
      </c>
      <c r="F104" s="5" t="s">
        <v>11</v>
      </c>
      <c r="G104" s="5" t="s">
        <v>10</v>
      </c>
      <c r="H104" s="5" t="s">
        <v>21</v>
      </c>
      <c r="I104" s="5" t="s">
        <v>16</v>
      </c>
      <c r="J104" s="5" t="s">
        <v>55</v>
      </c>
      <c r="K104" s="6">
        <v>15</v>
      </c>
      <c r="L104" s="15">
        <v>109</v>
      </c>
      <c r="M104" s="15">
        <f t="shared" ca="1" si="9"/>
        <v>7</v>
      </c>
      <c r="N104" s="16">
        <f t="shared" ca="1" si="7"/>
        <v>102</v>
      </c>
      <c r="O104" s="18">
        <f t="shared" ca="1" si="6"/>
        <v>0.93577981651376152</v>
      </c>
      <c r="P104" s="19">
        <f t="shared" si="8"/>
        <v>7.2666666666666666</v>
      </c>
      <c r="Q104" s="16" t="str">
        <f>IF(COUNTIF($B$2:B104,B104)=1,SUMIF($B$2:$B$1097,B104,$L$2:$L$1097),"")</f>
        <v/>
      </c>
    </row>
    <row r="105" spans="1:18" ht="12.75" x14ac:dyDescent="0.2">
      <c r="A105" s="3">
        <v>104</v>
      </c>
      <c r="B105" s="26">
        <v>44959</v>
      </c>
      <c r="C105" s="23" t="s">
        <v>20</v>
      </c>
      <c r="D105" s="4">
        <v>6</v>
      </c>
      <c r="E105" s="24" t="s">
        <v>9</v>
      </c>
      <c r="F105" s="5" t="s">
        <v>11</v>
      </c>
      <c r="G105" s="5" t="s">
        <v>10</v>
      </c>
      <c r="H105" s="5" t="s">
        <v>21</v>
      </c>
      <c r="I105" s="5" t="s">
        <v>17</v>
      </c>
      <c r="J105" s="5" t="s">
        <v>53</v>
      </c>
      <c r="K105" s="6">
        <v>21</v>
      </c>
      <c r="L105" s="15">
        <v>199</v>
      </c>
      <c r="M105" s="15">
        <f t="shared" ca="1" si="9"/>
        <v>47</v>
      </c>
      <c r="N105" s="16">
        <f t="shared" ca="1" si="7"/>
        <v>152</v>
      </c>
      <c r="O105" s="18">
        <f t="shared" ca="1" si="6"/>
        <v>0.76381909547738691</v>
      </c>
      <c r="P105" s="19">
        <f t="shared" si="8"/>
        <v>9.4761904761904763</v>
      </c>
      <c r="Q105" s="16" t="str">
        <f>IF(COUNTIF($B$2:B105,B105)=1,SUMIF($B$2:$B$1097,B105,$L$2:$L$1097),"")</f>
        <v/>
      </c>
    </row>
    <row r="106" spans="1:18" ht="12.75" x14ac:dyDescent="0.2">
      <c r="A106" s="3">
        <v>105</v>
      </c>
      <c r="B106" s="26">
        <v>44960</v>
      </c>
      <c r="C106" s="23" t="s">
        <v>20</v>
      </c>
      <c r="D106" s="4">
        <v>7</v>
      </c>
      <c r="E106" s="24" t="s">
        <v>9</v>
      </c>
      <c r="F106" s="5" t="s">
        <v>11</v>
      </c>
      <c r="G106" s="5" t="s">
        <v>11</v>
      </c>
      <c r="H106" s="5" t="s">
        <v>14</v>
      </c>
      <c r="I106" s="5" t="s">
        <v>13</v>
      </c>
      <c r="J106" s="5" t="s">
        <v>56</v>
      </c>
      <c r="K106" s="6">
        <v>19</v>
      </c>
      <c r="L106" s="15">
        <v>209</v>
      </c>
      <c r="M106" s="15">
        <f t="shared" ca="1" si="9"/>
        <v>49</v>
      </c>
      <c r="N106" s="16">
        <f t="shared" ca="1" si="7"/>
        <v>160</v>
      </c>
      <c r="O106" s="18">
        <f t="shared" ca="1" si="6"/>
        <v>0.76555023923444976</v>
      </c>
      <c r="P106" s="19">
        <f t="shared" si="8"/>
        <v>11</v>
      </c>
      <c r="Q106" s="16">
        <f>IF(COUNTIF($B$2:B106,B106)=1,SUMIF($B$2:$B$1097,B106,$L$2:$L$1097),"")</f>
        <v>209</v>
      </c>
      <c r="R106" s="16">
        <f t="shared" ref="R106:R107" si="11">AVERAGE(Q86:Q106)</f>
        <v>587.16666666666663</v>
      </c>
    </row>
    <row r="107" spans="1:18" ht="12.75" x14ac:dyDescent="0.2">
      <c r="A107" s="3">
        <v>106</v>
      </c>
      <c r="B107" s="26">
        <v>44962</v>
      </c>
      <c r="C107" s="23" t="s">
        <v>20</v>
      </c>
      <c r="D107" s="4">
        <v>2</v>
      </c>
      <c r="E107" s="24" t="s">
        <v>9</v>
      </c>
      <c r="F107" s="5" t="s">
        <v>11</v>
      </c>
      <c r="G107" s="5" t="s">
        <v>11</v>
      </c>
      <c r="H107" s="5" t="s">
        <v>14</v>
      </c>
      <c r="I107" s="5" t="s">
        <v>13</v>
      </c>
      <c r="J107" s="5" t="s">
        <v>52</v>
      </c>
      <c r="K107" s="6">
        <v>22</v>
      </c>
      <c r="L107" s="15">
        <v>242</v>
      </c>
      <c r="M107" s="15">
        <f t="shared" ca="1" si="9"/>
        <v>17</v>
      </c>
      <c r="N107" s="16">
        <f t="shared" ca="1" si="7"/>
        <v>225</v>
      </c>
      <c r="O107" s="18">
        <f t="shared" ca="1" si="6"/>
        <v>0.92975206611570249</v>
      </c>
      <c r="P107" s="19">
        <f t="shared" si="8"/>
        <v>11</v>
      </c>
      <c r="Q107" s="16">
        <f>IF(COUNTIF($B$2:B107,B107)=1,SUMIF($B$2:$B$1097,B107,$L$2:$L$1097),"")</f>
        <v>616</v>
      </c>
      <c r="R107" s="16">
        <f t="shared" si="11"/>
        <v>554.16666666666663</v>
      </c>
    </row>
    <row r="108" spans="1:18" ht="12.75" x14ac:dyDescent="0.2">
      <c r="A108" s="3">
        <v>107</v>
      </c>
      <c r="B108" s="26">
        <v>44962</v>
      </c>
      <c r="C108" s="23" t="s">
        <v>20</v>
      </c>
      <c r="D108" s="4">
        <v>2</v>
      </c>
      <c r="E108" s="24" t="s">
        <v>9</v>
      </c>
      <c r="F108" s="5" t="s">
        <v>11</v>
      </c>
      <c r="G108" s="5" t="s">
        <v>11</v>
      </c>
      <c r="H108" s="5" t="s">
        <v>14</v>
      </c>
      <c r="I108" s="5" t="s">
        <v>15</v>
      </c>
      <c r="J108" s="5" t="s">
        <v>54</v>
      </c>
      <c r="K108" s="6">
        <v>12</v>
      </c>
      <c r="L108" s="15">
        <v>132</v>
      </c>
      <c r="M108" s="15">
        <f t="shared" ca="1" si="9"/>
        <v>27</v>
      </c>
      <c r="N108" s="16">
        <f t="shared" ca="1" si="7"/>
        <v>105</v>
      </c>
      <c r="O108" s="18">
        <f t="shared" ca="1" si="6"/>
        <v>0.79545454545454541</v>
      </c>
      <c r="P108" s="19">
        <f t="shared" si="8"/>
        <v>11</v>
      </c>
      <c r="Q108" s="16" t="str">
        <f>IF(COUNTIF($B$2:B108,B108)=1,SUMIF($B$2:$B$1097,B108,$L$2:$L$1097),"")</f>
        <v/>
      </c>
    </row>
    <row r="109" spans="1:18" ht="12.75" x14ac:dyDescent="0.2">
      <c r="A109" s="3">
        <v>108</v>
      </c>
      <c r="B109" s="26">
        <v>44962</v>
      </c>
      <c r="C109" s="23" t="s">
        <v>20</v>
      </c>
      <c r="D109" s="4">
        <v>2</v>
      </c>
      <c r="E109" s="24" t="s">
        <v>9</v>
      </c>
      <c r="F109" s="5" t="s">
        <v>11</v>
      </c>
      <c r="G109" s="5" t="s">
        <v>11</v>
      </c>
      <c r="H109" s="5" t="s">
        <v>14</v>
      </c>
      <c r="I109" s="5" t="s">
        <v>16</v>
      </c>
      <c r="J109" s="5" t="s">
        <v>54</v>
      </c>
      <c r="K109" s="6">
        <v>8</v>
      </c>
      <c r="L109" s="15">
        <v>88</v>
      </c>
      <c r="M109" s="15">
        <f t="shared" ca="1" si="9"/>
        <v>49</v>
      </c>
      <c r="N109" s="16">
        <f t="shared" ca="1" si="7"/>
        <v>39</v>
      </c>
      <c r="O109" s="18">
        <f t="shared" ca="1" si="6"/>
        <v>0.44318181818181818</v>
      </c>
      <c r="P109" s="19">
        <f t="shared" si="8"/>
        <v>11</v>
      </c>
      <c r="Q109" s="16" t="str">
        <f>IF(COUNTIF($B$2:B109,B109)=1,SUMIF($B$2:$B$1097,B109,$L$2:$L$1097),"")</f>
        <v/>
      </c>
    </row>
    <row r="110" spans="1:18" ht="12.75" x14ac:dyDescent="0.2">
      <c r="A110" s="3">
        <v>109</v>
      </c>
      <c r="B110" s="26">
        <v>44962</v>
      </c>
      <c r="C110" s="23" t="s">
        <v>20</v>
      </c>
      <c r="D110" s="4">
        <v>2</v>
      </c>
      <c r="E110" s="24" t="s">
        <v>9</v>
      </c>
      <c r="F110" s="5" t="s">
        <v>11</v>
      </c>
      <c r="G110" s="5" t="s">
        <v>11</v>
      </c>
      <c r="H110" s="5" t="s">
        <v>14</v>
      </c>
      <c r="I110" s="5" t="s">
        <v>17</v>
      </c>
      <c r="J110" s="5" t="s">
        <v>54</v>
      </c>
      <c r="K110" s="6">
        <v>14</v>
      </c>
      <c r="L110" s="15">
        <v>154</v>
      </c>
      <c r="M110" s="15">
        <f t="shared" ca="1" si="9"/>
        <v>46</v>
      </c>
      <c r="N110" s="16">
        <f t="shared" ca="1" si="7"/>
        <v>108</v>
      </c>
      <c r="O110" s="18">
        <f t="shared" ca="1" si="6"/>
        <v>0.70129870129870131</v>
      </c>
      <c r="P110" s="19">
        <f t="shared" si="8"/>
        <v>11</v>
      </c>
      <c r="Q110" s="16" t="str">
        <f>IF(COUNTIF($B$2:B110,B110)=1,SUMIF($B$2:$B$1097,B110,$L$2:$L$1097),"")</f>
        <v/>
      </c>
    </row>
    <row r="111" spans="1:18" ht="12.75" x14ac:dyDescent="0.2">
      <c r="A111" s="3">
        <v>110</v>
      </c>
      <c r="B111" s="26">
        <v>44963</v>
      </c>
      <c r="C111" s="23" t="s">
        <v>20</v>
      </c>
      <c r="D111" s="4">
        <v>3</v>
      </c>
      <c r="E111" s="24" t="s">
        <v>9</v>
      </c>
      <c r="F111" s="5" t="s">
        <v>11</v>
      </c>
      <c r="G111" s="5" t="s">
        <v>11</v>
      </c>
      <c r="H111" s="5" t="s">
        <v>14</v>
      </c>
      <c r="I111" s="5" t="s">
        <v>13</v>
      </c>
      <c r="J111" s="5" t="s">
        <v>56</v>
      </c>
      <c r="K111" s="6">
        <v>19</v>
      </c>
      <c r="L111" s="15">
        <v>209</v>
      </c>
      <c r="M111" s="15">
        <f t="shared" ca="1" si="9"/>
        <v>11</v>
      </c>
      <c r="N111" s="16">
        <f t="shared" ca="1" si="7"/>
        <v>198</v>
      </c>
      <c r="O111" s="18">
        <f t="shared" ca="1" si="6"/>
        <v>0.94736842105263153</v>
      </c>
      <c r="P111" s="19">
        <f t="shared" si="8"/>
        <v>11</v>
      </c>
      <c r="Q111" s="16">
        <f>IF(COUNTIF($B$2:B111,B111)=1,SUMIF($B$2:$B$1097,B111,$L$2:$L$1097),"")</f>
        <v>539</v>
      </c>
      <c r="R111" s="16">
        <f>AVERAGE(Q91:Q111)</f>
        <v>526.66666666666663</v>
      </c>
    </row>
    <row r="112" spans="1:18" ht="12.75" x14ac:dyDescent="0.2">
      <c r="A112" s="3">
        <v>111</v>
      </c>
      <c r="B112" s="26">
        <v>44963</v>
      </c>
      <c r="C112" s="23" t="s">
        <v>20</v>
      </c>
      <c r="D112" s="4">
        <v>3</v>
      </c>
      <c r="E112" s="24" t="s">
        <v>9</v>
      </c>
      <c r="F112" s="5" t="s">
        <v>11</v>
      </c>
      <c r="G112" s="5" t="s">
        <v>11</v>
      </c>
      <c r="H112" s="5" t="s">
        <v>14</v>
      </c>
      <c r="I112" s="5" t="s">
        <v>15</v>
      </c>
      <c r="J112" s="5" t="s">
        <v>56</v>
      </c>
      <c r="K112" s="6">
        <v>11</v>
      </c>
      <c r="L112" s="15">
        <v>121</v>
      </c>
      <c r="M112" s="15">
        <f t="shared" ca="1" si="9"/>
        <v>35</v>
      </c>
      <c r="N112" s="16">
        <f t="shared" ca="1" si="7"/>
        <v>86</v>
      </c>
      <c r="O112" s="18">
        <f t="shared" ca="1" si="6"/>
        <v>0.71074380165289253</v>
      </c>
      <c r="P112" s="19">
        <f t="shared" si="8"/>
        <v>11</v>
      </c>
      <c r="Q112" s="16" t="str">
        <f>IF(COUNTIF($B$2:B112,B112)=1,SUMIF($B$2:$B$1097,B112,$L$2:$L$1097),"")</f>
        <v/>
      </c>
    </row>
    <row r="113" spans="1:18" ht="12.75" x14ac:dyDescent="0.2">
      <c r="A113" s="3">
        <v>112</v>
      </c>
      <c r="B113" s="26">
        <v>44963</v>
      </c>
      <c r="C113" s="23" t="s">
        <v>20</v>
      </c>
      <c r="D113" s="4">
        <v>3</v>
      </c>
      <c r="E113" s="24" t="s">
        <v>9</v>
      </c>
      <c r="F113" s="5" t="s">
        <v>11</v>
      </c>
      <c r="G113" s="5" t="s">
        <v>11</v>
      </c>
      <c r="H113" s="5" t="s">
        <v>14</v>
      </c>
      <c r="I113" s="5" t="s">
        <v>16</v>
      </c>
      <c r="J113" s="5" t="s">
        <v>55</v>
      </c>
      <c r="K113" s="6">
        <v>5</v>
      </c>
      <c r="L113" s="15">
        <v>55</v>
      </c>
      <c r="M113" s="15">
        <f t="shared" ca="1" si="9"/>
        <v>12</v>
      </c>
      <c r="N113" s="16">
        <f t="shared" ca="1" si="7"/>
        <v>43</v>
      </c>
      <c r="O113" s="18">
        <f t="shared" ca="1" si="6"/>
        <v>0.78181818181818186</v>
      </c>
      <c r="P113" s="19">
        <f t="shared" si="8"/>
        <v>11</v>
      </c>
      <c r="Q113" s="16" t="str">
        <f>IF(COUNTIF($B$2:B113,B113)=1,SUMIF($B$2:$B$1097,B113,$L$2:$L$1097),"")</f>
        <v/>
      </c>
    </row>
    <row r="114" spans="1:18" ht="12.75" x14ac:dyDescent="0.2">
      <c r="A114" s="3">
        <v>113</v>
      </c>
      <c r="B114" s="26">
        <v>44963</v>
      </c>
      <c r="C114" s="23" t="s">
        <v>20</v>
      </c>
      <c r="D114" s="4">
        <v>3</v>
      </c>
      <c r="E114" s="24" t="s">
        <v>9</v>
      </c>
      <c r="F114" s="5" t="s">
        <v>11</v>
      </c>
      <c r="G114" s="5" t="s">
        <v>11</v>
      </c>
      <c r="H114" s="5" t="s">
        <v>14</v>
      </c>
      <c r="I114" s="5" t="s">
        <v>17</v>
      </c>
      <c r="J114" s="5" t="s">
        <v>53</v>
      </c>
      <c r="K114" s="6">
        <v>14</v>
      </c>
      <c r="L114" s="15">
        <v>154</v>
      </c>
      <c r="M114" s="15">
        <f t="shared" ca="1" si="9"/>
        <v>17</v>
      </c>
      <c r="N114" s="16">
        <f t="shared" ca="1" si="7"/>
        <v>137</v>
      </c>
      <c r="O114" s="18">
        <f t="shared" ca="1" si="6"/>
        <v>0.88961038961038963</v>
      </c>
      <c r="P114" s="19">
        <f t="shared" si="8"/>
        <v>11</v>
      </c>
      <c r="Q114" s="16" t="str">
        <f>IF(COUNTIF($B$2:B114,B114)=1,SUMIF($B$2:$B$1097,B114,$L$2:$L$1097),"")</f>
        <v/>
      </c>
    </row>
    <row r="115" spans="1:18" ht="12.75" x14ac:dyDescent="0.2">
      <c r="A115" s="3">
        <v>114</v>
      </c>
      <c r="B115" s="26">
        <v>44964</v>
      </c>
      <c r="C115" s="23" t="s">
        <v>20</v>
      </c>
      <c r="D115" s="4">
        <v>4</v>
      </c>
      <c r="E115" s="24" t="s">
        <v>9</v>
      </c>
      <c r="F115" s="5" t="s">
        <v>11</v>
      </c>
      <c r="G115" s="5" t="s">
        <v>11</v>
      </c>
      <c r="H115" s="5" t="s">
        <v>14</v>
      </c>
      <c r="I115" s="5" t="s">
        <v>13</v>
      </c>
      <c r="J115" s="5" t="s">
        <v>52</v>
      </c>
      <c r="K115" s="6">
        <v>16</v>
      </c>
      <c r="L115" s="15">
        <v>176</v>
      </c>
      <c r="M115" s="15">
        <f t="shared" ca="1" si="9"/>
        <v>29</v>
      </c>
      <c r="N115" s="16">
        <f t="shared" ca="1" si="7"/>
        <v>147</v>
      </c>
      <c r="O115" s="18">
        <f t="shared" ca="1" si="6"/>
        <v>0.83522727272727271</v>
      </c>
      <c r="P115" s="19">
        <f t="shared" si="8"/>
        <v>11</v>
      </c>
      <c r="Q115" s="16">
        <f>IF(COUNTIF($B$2:B115,B115)=1,SUMIF($B$2:$B$1097,B115,$L$2:$L$1097),"")</f>
        <v>407</v>
      </c>
      <c r="R115" s="16">
        <f>AVERAGE(Q95:Q115)</f>
        <v>491.83333333333331</v>
      </c>
    </row>
    <row r="116" spans="1:18" ht="12.75" x14ac:dyDescent="0.2">
      <c r="A116" s="3">
        <v>115</v>
      </c>
      <c r="B116" s="26">
        <v>44964</v>
      </c>
      <c r="C116" s="23" t="s">
        <v>20</v>
      </c>
      <c r="D116" s="4">
        <v>4</v>
      </c>
      <c r="E116" s="24" t="s">
        <v>9</v>
      </c>
      <c r="F116" s="5" t="s">
        <v>11</v>
      </c>
      <c r="G116" s="5" t="s">
        <v>11</v>
      </c>
      <c r="H116" s="5" t="s">
        <v>14</v>
      </c>
      <c r="I116" s="5" t="s">
        <v>15</v>
      </c>
      <c r="J116" s="5" t="s">
        <v>54</v>
      </c>
      <c r="K116" s="6">
        <v>6</v>
      </c>
      <c r="L116" s="15">
        <v>66</v>
      </c>
      <c r="M116" s="15">
        <f t="shared" ca="1" si="9"/>
        <v>31</v>
      </c>
      <c r="N116" s="16">
        <f t="shared" ca="1" si="7"/>
        <v>35</v>
      </c>
      <c r="O116" s="18">
        <f t="shared" ca="1" si="6"/>
        <v>0.53030303030303028</v>
      </c>
      <c r="P116" s="19">
        <f t="shared" si="8"/>
        <v>11</v>
      </c>
      <c r="Q116" s="16" t="str">
        <f>IF(COUNTIF($B$2:B116,B116)=1,SUMIF($B$2:$B$1097,B116,$L$2:$L$1097),"")</f>
        <v/>
      </c>
    </row>
    <row r="117" spans="1:18" ht="12.75" x14ac:dyDescent="0.2">
      <c r="A117" s="3">
        <v>116</v>
      </c>
      <c r="B117" s="26">
        <v>44964</v>
      </c>
      <c r="C117" s="23" t="s">
        <v>20</v>
      </c>
      <c r="D117" s="4">
        <v>4</v>
      </c>
      <c r="E117" s="24" t="s">
        <v>9</v>
      </c>
      <c r="F117" s="5" t="s">
        <v>11</v>
      </c>
      <c r="G117" s="5" t="s">
        <v>11</v>
      </c>
      <c r="H117" s="5" t="s">
        <v>14</v>
      </c>
      <c r="I117" s="5" t="s">
        <v>16</v>
      </c>
      <c r="J117" s="5" t="s">
        <v>54</v>
      </c>
      <c r="K117" s="6">
        <v>5</v>
      </c>
      <c r="L117" s="15">
        <v>55</v>
      </c>
      <c r="M117" s="15">
        <f t="shared" ca="1" si="9"/>
        <v>32</v>
      </c>
      <c r="N117" s="16">
        <f t="shared" ca="1" si="7"/>
        <v>23</v>
      </c>
      <c r="O117" s="18">
        <f t="shared" ca="1" si="6"/>
        <v>0.41818181818181815</v>
      </c>
      <c r="P117" s="19">
        <f t="shared" si="8"/>
        <v>11</v>
      </c>
      <c r="Q117" s="16" t="str">
        <f>IF(COUNTIF($B$2:B117,B117)=1,SUMIF($B$2:$B$1097,B117,$L$2:$L$1097),"")</f>
        <v/>
      </c>
    </row>
    <row r="118" spans="1:18" ht="12.75" x14ac:dyDescent="0.2">
      <c r="A118" s="3">
        <v>117</v>
      </c>
      <c r="B118" s="26">
        <v>44964</v>
      </c>
      <c r="C118" s="23" t="s">
        <v>20</v>
      </c>
      <c r="D118" s="4">
        <v>4</v>
      </c>
      <c r="E118" s="24" t="s">
        <v>9</v>
      </c>
      <c r="F118" s="5" t="s">
        <v>11</v>
      </c>
      <c r="G118" s="5" t="s">
        <v>11</v>
      </c>
      <c r="H118" s="5" t="s">
        <v>14</v>
      </c>
      <c r="I118" s="5" t="s">
        <v>17</v>
      </c>
      <c r="J118" s="5" t="s">
        <v>54</v>
      </c>
      <c r="K118" s="6">
        <v>10</v>
      </c>
      <c r="L118" s="15">
        <v>110</v>
      </c>
      <c r="M118" s="15">
        <f t="shared" ca="1" si="9"/>
        <v>43</v>
      </c>
      <c r="N118" s="16">
        <f t="shared" ca="1" si="7"/>
        <v>67</v>
      </c>
      <c r="O118" s="18">
        <f t="shared" ca="1" si="6"/>
        <v>0.60909090909090913</v>
      </c>
      <c r="P118" s="19">
        <f t="shared" si="8"/>
        <v>11</v>
      </c>
      <c r="Q118" s="16" t="str">
        <f>IF(COUNTIF($B$2:B118,B118)=1,SUMIF($B$2:$B$1097,B118,$L$2:$L$1097),"")</f>
        <v/>
      </c>
    </row>
    <row r="119" spans="1:18" ht="12.75" x14ac:dyDescent="0.2">
      <c r="A119" s="3">
        <v>118</v>
      </c>
      <c r="B119" s="26">
        <v>44965</v>
      </c>
      <c r="C119" s="23" t="s">
        <v>20</v>
      </c>
      <c r="D119" s="4">
        <v>5</v>
      </c>
      <c r="E119" s="24" t="s">
        <v>9</v>
      </c>
      <c r="F119" s="5" t="s">
        <v>11</v>
      </c>
      <c r="G119" s="5" t="s">
        <v>11</v>
      </c>
      <c r="H119" s="5" t="s">
        <v>14</v>
      </c>
      <c r="I119" s="5" t="s">
        <v>13</v>
      </c>
      <c r="J119" s="5" t="s">
        <v>56</v>
      </c>
      <c r="K119" s="6">
        <v>16</v>
      </c>
      <c r="L119" s="15">
        <v>176</v>
      </c>
      <c r="M119" s="15">
        <f t="shared" ca="1" si="9"/>
        <v>45</v>
      </c>
      <c r="N119" s="16">
        <f t="shared" ca="1" si="7"/>
        <v>131</v>
      </c>
      <c r="O119" s="18">
        <f t="shared" ca="1" si="6"/>
        <v>0.74431818181818177</v>
      </c>
      <c r="P119" s="19">
        <f t="shared" si="8"/>
        <v>11</v>
      </c>
      <c r="Q119" s="16">
        <f>IF(COUNTIF($B$2:B119,B119)=1,SUMIF($B$2:$B$1097,B119,$L$2:$L$1097),"")</f>
        <v>495</v>
      </c>
      <c r="R119" s="16">
        <f>AVERAGE(Q99:Q119)</f>
        <v>493.66666666666669</v>
      </c>
    </row>
    <row r="120" spans="1:18" ht="12.75" x14ac:dyDescent="0.2">
      <c r="A120" s="3">
        <v>119</v>
      </c>
      <c r="B120" s="26">
        <v>44965</v>
      </c>
      <c r="C120" s="23" t="s">
        <v>20</v>
      </c>
      <c r="D120" s="4">
        <v>5</v>
      </c>
      <c r="E120" s="24" t="s">
        <v>9</v>
      </c>
      <c r="F120" s="5" t="s">
        <v>11</v>
      </c>
      <c r="G120" s="5" t="s">
        <v>11</v>
      </c>
      <c r="H120" s="5" t="s">
        <v>14</v>
      </c>
      <c r="I120" s="5" t="s">
        <v>15</v>
      </c>
      <c r="J120" s="5" t="s">
        <v>56</v>
      </c>
      <c r="K120" s="6">
        <v>13</v>
      </c>
      <c r="L120" s="15">
        <v>143</v>
      </c>
      <c r="M120" s="15">
        <f t="shared" ca="1" si="9"/>
        <v>18</v>
      </c>
      <c r="N120" s="16">
        <f t="shared" ca="1" si="7"/>
        <v>125</v>
      </c>
      <c r="O120" s="18">
        <f t="shared" ca="1" si="6"/>
        <v>0.87412587412587417</v>
      </c>
      <c r="P120" s="19">
        <f t="shared" si="8"/>
        <v>11</v>
      </c>
      <c r="Q120" s="16" t="str">
        <f>IF(COUNTIF($B$2:B120,B120)=1,SUMIF($B$2:$B$1097,B120,$L$2:$L$1097),"")</f>
        <v/>
      </c>
    </row>
    <row r="121" spans="1:18" ht="12.75" x14ac:dyDescent="0.2">
      <c r="A121" s="3">
        <v>120</v>
      </c>
      <c r="B121" s="26">
        <v>44965</v>
      </c>
      <c r="C121" s="23" t="s">
        <v>20</v>
      </c>
      <c r="D121" s="4">
        <v>5</v>
      </c>
      <c r="E121" s="24" t="s">
        <v>9</v>
      </c>
      <c r="F121" s="5" t="s">
        <v>11</v>
      </c>
      <c r="G121" s="5" t="s">
        <v>11</v>
      </c>
      <c r="H121" s="5" t="s">
        <v>14</v>
      </c>
      <c r="I121" s="5" t="s">
        <v>16</v>
      </c>
      <c r="J121" s="5" t="s">
        <v>55</v>
      </c>
      <c r="K121" s="6">
        <v>5</v>
      </c>
      <c r="L121" s="15">
        <v>55</v>
      </c>
      <c r="M121" s="15">
        <f t="shared" ca="1" si="9"/>
        <v>35</v>
      </c>
      <c r="N121" s="16">
        <f t="shared" ca="1" si="7"/>
        <v>20</v>
      </c>
      <c r="O121" s="18">
        <f t="shared" ca="1" si="6"/>
        <v>0.36363636363636365</v>
      </c>
      <c r="P121" s="19">
        <f t="shared" si="8"/>
        <v>11</v>
      </c>
      <c r="Q121" s="16" t="str">
        <f>IF(COUNTIF($B$2:B121,B121)=1,SUMIF($B$2:$B$1097,B121,$L$2:$L$1097),"")</f>
        <v/>
      </c>
    </row>
    <row r="122" spans="1:18" ht="12.75" x14ac:dyDescent="0.2">
      <c r="A122" s="3">
        <v>121</v>
      </c>
      <c r="B122" s="26">
        <v>44965</v>
      </c>
      <c r="C122" s="23" t="s">
        <v>20</v>
      </c>
      <c r="D122" s="4">
        <v>5</v>
      </c>
      <c r="E122" s="24" t="s">
        <v>9</v>
      </c>
      <c r="F122" s="5" t="s">
        <v>11</v>
      </c>
      <c r="G122" s="5" t="s">
        <v>11</v>
      </c>
      <c r="H122" s="5" t="s">
        <v>14</v>
      </c>
      <c r="I122" s="5" t="s">
        <v>17</v>
      </c>
      <c r="J122" s="5" t="s">
        <v>53</v>
      </c>
      <c r="K122" s="6">
        <v>11</v>
      </c>
      <c r="L122" s="15">
        <v>121</v>
      </c>
      <c r="M122" s="15">
        <f t="shared" ca="1" si="9"/>
        <v>33</v>
      </c>
      <c r="N122" s="16">
        <f t="shared" ca="1" si="7"/>
        <v>88</v>
      </c>
      <c r="O122" s="18">
        <f t="shared" ca="1" si="6"/>
        <v>0.72727272727272729</v>
      </c>
      <c r="P122" s="19">
        <f t="shared" si="8"/>
        <v>11</v>
      </c>
      <c r="Q122" s="16" t="str">
        <f>IF(COUNTIF($B$2:B122,B122)=1,SUMIF($B$2:$B$1097,B122,$L$2:$L$1097),"")</f>
        <v/>
      </c>
    </row>
    <row r="123" spans="1:18" ht="12.75" x14ac:dyDescent="0.2">
      <c r="A123" s="3">
        <v>122</v>
      </c>
      <c r="B123" s="26">
        <v>44966</v>
      </c>
      <c r="C123" s="23" t="s">
        <v>20</v>
      </c>
      <c r="D123" s="4">
        <v>6</v>
      </c>
      <c r="E123" s="24" t="s">
        <v>9</v>
      </c>
      <c r="F123" s="5" t="s">
        <v>11</v>
      </c>
      <c r="G123" s="5" t="s">
        <v>11</v>
      </c>
      <c r="H123" s="5" t="s">
        <v>14</v>
      </c>
      <c r="I123" s="5" t="s">
        <v>13</v>
      </c>
      <c r="J123" s="5" t="s">
        <v>52</v>
      </c>
      <c r="K123" s="6">
        <v>19</v>
      </c>
      <c r="L123" s="15">
        <v>209</v>
      </c>
      <c r="M123" s="15">
        <f t="shared" ca="1" si="9"/>
        <v>12</v>
      </c>
      <c r="N123" s="16">
        <f t="shared" ca="1" si="7"/>
        <v>197</v>
      </c>
      <c r="O123" s="18">
        <f t="shared" ca="1" si="6"/>
        <v>0.9425837320574163</v>
      </c>
      <c r="P123" s="19">
        <f t="shared" si="8"/>
        <v>11</v>
      </c>
      <c r="Q123" s="16">
        <f>IF(COUNTIF($B$2:B123,B123)=1,SUMIF($B$2:$B$1097,B123,$L$2:$L$1097),"")</f>
        <v>605</v>
      </c>
      <c r="R123" s="16">
        <f>AVERAGE(Q103:Q123)</f>
        <v>478.5</v>
      </c>
    </row>
    <row r="124" spans="1:18" ht="12.75" x14ac:dyDescent="0.2">
      <c r="A124" s="3">
        <v>123</v>
      </c>
      <c r="B124" s="26">
        <v>44966</v>
      </c>
      <c r="C124" s="23" t="s">
        <v>20</v>
      </c>
      <c r="D124" s="4">
        <v>6</v>
      </c>
      <c r="E124" s="24" t="s">
        <v>9</v>
      </c>
      <c r="F124" s="5" t="s">
        <v>11</v>
      </c>
      <c r="G124" s="5" t="s">
        <v>11</v>
      </c>
      <c r="H124" s="5" t="s">
        <v>14</v>
      </c>
      <c r="I124" s="5" t="s">
        <v>15</v>
      </c>
      <c r="J124" s="5" t="s">
        <v>55</v>
      </c>
      <c r="K124" s="6">
        <v>11</v>
      </c>
      <c r="L124" s="15">
        <v>121</v>
      </c>
      <c r="M124" s="15">
        <f t="shared" ca="1" si="9"/>
        <v>14</v>
      </c>
      <c r="N124" s="16">
        <f t="shared" ca="1" si="7"/>
        <v>107</v>
      </c>
      <c r="O124" s="18">
        <f t="shared" ca="1" si="6"/>
        <v>0.88429752066115708</v>
      </c>
      <c r="P124" s="19">
        <f t="shared" si="8"/>
        <v>11</v>
      </c>
      <c r="Q124" s="16" t="str">
        <f>IF(COUNTIF($B$2:B124,B124)=1,SUMIF($B$2:$B$1097,B124,$L$2:$L$1097),"")</f>
        <v/>
      </c>
    </row>
    <row r="125" spans="1:18" ht="12.75" x14ac:dyDescent="0.2">
      <c r="A125" s="3">
        <v>124</v>
      </c>
      <c r="B125" s="26">
        <v>44966</v>
      </c>
      <c r="C125" s="23" t="s">
        <v>20</v>
      </c>
      <c r="D125" s="4">
        <v>6</v>
      </c>
      <c r="E125" s="24" t="s">
        <v>9</v>
      </c>
      <c r="F125" s="5" t="s">
        <v>11</v>
      </c>
      <c r="G125" s="5" t="s">
        <v>11</v>
      </c>
      <c r="H125" s="5" t="s">
        <v>14</v>
      </c>
      <c r="I125" s="5" t="s">
        <v>16</v>
      </c>
      <c r="J125" s="5" t="s">
        <v>55</v>
      </c>
      <c r="K125" s="6">
        <v>8</v>
      </c>
      <c r="L125" s="15">
        <v>88</v>
      </c>
      <c r="M125" s="15">
        <f t="shared" ca="1" si="9"/>
        <v>21</v>
      </c>
      <c r="N125" s="16">
        <f t="shared" ca="1" si="7"/>
        <v>67</v>
      </c>
      <c r="O125" s="18">
        <f t="shared" ca="1" si="6"/>
        <v>0.76136363636363635</v>
      </c>
      <c r="P125" s="19">
        <f t="shared" si="8"/>
        <v>11</v>
      </c>
      <c r="Q125" s="16" t="str">
        <f>IF(COUNTIF($B$2:B125,B125)=1,SUMIF($B$2:$B$1097,B125,$L$2:$L$1097),"")</f>
        <v/>
      </c>
    </row>
    <row r="126" spans="1:18" ht="12.75" x14ac:dyDescent="0.2">
      <c r="A126" s="3">
        <v>125</v>
      </c>
      <c r="B126" s="26">
        <v>44966</v>
      </c>
      <c r="C126" s="23" t="s">
        <v>20</v>
      </c>
      <c r="D126" s="4">
        <v>6</v>
      </c>
      <c r="E126" s="24" t="s">
        <v>9</v>
      </c>
      <c r="F126" s="5" t="s">
        <v>11</v>
      </c>
      <c r="G126" s="5" t="s">
        <v>11</v>
      </c>
      <c r="H126" s="5" t="s">
        <v>14</v>
      </c>
      <c r="I126" s="5" t="s">
        <v>17</v>
      </c>
      <c r="J126" s="5" t="s">
        <v>53</v>
      </c>
      <c r="K126" s="6">
        <v>17</v>
      </c>
      <c r="L126" s="15">
        <v>187</v>
      </c>
      <c r="M126" s="15">
        <f t="shared" ca="1" si="9"/>
        <v>25</v>
      </c>
      <c r="N126" s="16">
        <f t="shared" ca="1" si="7"/>
        <v>162</v>
      </c>
      <c r="O126" s="18">
        <f t="shared" ca="1" si="6"/>
        <v>0.86631016042780751</v>
      </c>
      <c r="P126" s="19">
        <f t="shared" si="8"/>
        <v>11</v>
      </c>
      <c r="Q126" s="16" t="str">
        <f>IF(COUNTIF($B$2:B126,B126)=1,SUMIF($B$2:$B$1097,B126,$L$2:$L$1097),"")</f>
        <v/>
      </c>
    </row>
    <row r="127" spans="1:18" ht="12.75" x14ac:dyDescent="0.2">
      <c r="A127" s="3">
        <v>126</v>
      </c>
      <c r="B127" s="26">
        <v>44967</v>
      </c>
      <c r="C127" s="23" t="s">
        <v>20</v>
      </c>
      <c r="D127" s="4">
        <v>7</v>
      </c>
      <c r="E127" s="24" t="s">
        <v>9</v>
      </c>
      <c r="F127" s="5" t="s">
        <v>11</v>
      </c>
      <c r="G127" s="5" t="s">
        <v>11</v>
      </c>
      <c r="H127" s="5" t="s">
        <v>14</v>
      </c>
      <c r="I127" s="5" t="s">
        <v>13</v>
      </c>
      <c r="J127" s="5" t="s">
        <v>56</v>
      </c>
      <c r="K127" s="6">
        <v>23</v>
      </c>
      <c r="L127" s="15">
        <v>253</v>
      </c>
      <c r="M127" s="15">
        <f t="shared" ca="1" si="9"/>
        <v>35</v>
      </c>
      <c r="N127" s="16">
        <f t="shared" ca="1" si="7"/>
        <v>218</v>
      </c>
      <c r="O127" s="18">
        <f t="shared" ca="1" si="6"/>
        <v>0.86166007905138342</v>
      </c>
      <c r="P127" s="19">
        <f t="shared" si="8"/>
        <v>11</v>
      </c>
      <c r="Q127" s="16">
        <f>IF(COUNTIF($B$2:B127,B127)=1,SUMIF($B$2:$B$1097,B127,$L$2:$L$1097),"")</f>
        <v>253</v>
      </c>
      <c r="R127" s="16">
        <f t="shared" ref="R127:R128" si="12">AVERAGE(Q107:Q127)</f>
        <v>485.83333333333331</v>
      </c>
    </row>
    <row r="128" spans="1:18" ht="12.75" x14ac:dyDescent="0.2">
      <c r="A128" s="3">
        <v>127</v>
      </c>
      <c r="B128" s="26">
        <v>44969</v>
      </c>
      <c r="C128" s="23" t="s">
        <v>20</v>
      </c>
      <c r="D128" s="4">
        <v>2</v>
      </c>
      <c r="E128" s="24" t="s">
        <v>9</v>
      </c>
      <c r="F128" s="5" t="s">
        <v>11</v>
      </c>
      <c r="G128" s="5" t="s">
        <v>11</v>
      </c>
      <c r="H128" s="5" t="s">
        <v>14</v>
      </c>
      <c r="I128" s="5" t="s">
        <v>13</v>
      </c>
      <c r="J128" s="5" t="s">
        <v>52</v>
      </c>
      <c r="K128" s="6">
        <v>21</v>
      </c>
      <c r="L128" s="15">
        <v>231</v>
      </c>
      <c r="M128" s="15">
        <f t="shared" ca="1" si="9"/>
        <v>3</v>
      </c>
      <c r="N128" s="16">
        <f t="shared" ca="1" si="7"/>
        <v>228</v>
      </c>
      <c r="O128" s="18">
        <f t="shared" ca="1" si="6"/>
        <v>0.98701298701298701</v>
      </c>
      <c r="P128" s="19">
        <f t="shared" si="8"/>
        <v>11</v>
      </c>
      <c r="Q128" s="16">
        <f>IF(COUNTIF($B$2:B128,B128)=1,SUMIF($B$2:$B$1097,B128,$L$2:$L$1097),"")</f>
        <v>594</v>
      </c>
      <c r="R128" s="16">
        <f t="shared" si="12"/>
        <v>482.16666666666669</v>
      </c>
    </row>
    <row r="129" spans="1:18" ht="12.75" x14ac:dyDescent="0.2">
      <c r="A129" s="3">
        <v>128</v>
      </c>
      <c r="B129" s="26">
        <v>44969</v>
      </c>
      <c r="C129" s="23" t="s">
        <v>20</v>
      </c>
      <c r="D129" s="4">
        <v>2</v>
      </c>
      <c r="E129" s="24" t="s">
        <v>9</v>
      </c>
      <c r="F129" s="5" t="s">
        <v>11</v>
      </c>
      <c r="G129" s="5" t="s">
        <v>11</v>
      </c>
      <c r="H129" s="5" t="s">
        <v>14</v>
      </c>
      <c r="I129" s="5" t="s">
        <v>15</v>
      </c>
      <c r="J129" s="5" t="s">
        <v>54</v>
      </c>
      <c r="K129" s="6">
        <v>9</v>
      </c>
      <c r="L129" s="15">
        <v>99</v>
      </c>
      <c r="M129" s="15">
        <f t="shared" ca="1" si="9"/>
        <v>21</v>
      </c>
      <c r="N129" s="16">
        <f t="shared" ca="1" si="7"/>
        <v>78</v>
      </c>
      <c r="O129" s="18">
        <f t="shared" ca="1" si="6"/>
        <v>0.78787878787878785</v>
      </c>
      <c r="P129" s="19">
        <f t="shared" si="8"/>
        <v>11</v>
      </c>
      <c r="Q129" s="16" t="str">
        <f>IF(COUNTIF($B$2:B129,B129)=1,SUMIF($B$2:$B$1097,B129,$L$2:$L$1097),"")</f>
        <v/>
      </c>
    </row>
    <row r="130" spans="1:18" ht="12.75" x14ac:dyDescent="0.2">
      <c r="A130" s="3">
        <v>129</v>
      </c>
      <c r="B130" s="26">
        <v>44969</v>
      </c>
      <c r="C130" s="23" t="s">
        <v>20</v>
      </c>
      <c r="D130" s="4">
        <v>2</v>
      </c>
      <c r="E130" s="24" t="s">
        <v>9</v>
      </c>
      <c r="F130" s="5" t="s">
        <v>11</v>
      </c>
      <c r="G130" s="5" t="s">
        <v>11</v>
      </c>
      <c r="H130" s="5" t="s">
        <v>14</v>
      </c>
      <c r="I130" s="5" t="s">
        <v>16</v>
      </c>
      <c r="J130" s="5" t="s">
        <v>54</v>
      </c>
      <c r="K130" s="6">
        <v>8</v>
      </c>
      <c r="L130" s="15">
        <v>88</v>
      </c>
      <c r="M130" s="15">
        <f t="shared" ca="1" si="9"/>
        <v>42</v>
      </c>
      <c r="N130" s="16">
        <f t="shared" ca="1" si="7"/>
        <v>46</v>
      </c>
      <c r="O130" s="18">
        <f t="shared" ref="O130:O193" ca="1" si="13">IF(L130=0, 0, N130/L130)</f>
        <v>0.52272727272727271</v>
      </c>
      <c r="P130" s="19">
        <f t="shared" si="8"/>
        <v>11</v>
      </c>
      <c r="Q130" s="16" t="str">
        <f>IF(COUNTIF($B$2:B130,B130)=1,SUMIF($B$2:$B$1097,B130,$L$2:$L$1097),"")</f>
        <v/>
      </c>
    </row>
    <row r="131" spans="1:18" ht="12.75" x14ac:dyDescent="0.2">
      <c r="A131" s="3">
        <v>130</v>
      </c>
      <c r="B131" s="26">
        <v>44969</v>
      </c>
      <c r="C131" s="23" t="s">
        <v>20</v>
      </c>
      <c r="D131" s="4">
        <v>2</v>
      </c>
      <c r="E131" s="24" t="s">
        <v>9</v>
      </c>
      <c r="F131" s="5" t="s">
        <v>11</v>
      </c>
      <c r="G131" s="5" t="s">
        <v>11</v>
      </c>
      <c r="H131" s="5" t="s">
        <v>14</v>
      </c>
      <c r="I131" s="5" t="s">
        <v>17</v>
      </c>
      <c r="J131" s="5" t="s">
        <v>54</v>
      </c>
      <c r="K131" s="6">
        <v>16</v>
      </c>
      <c r="L131" s="15">
        <v>176</v>
      </c>
      <c r="M131" s="15">
        <f t="shared" ca="1" si="9"/>
        <v>45</v>
      </c>
      <c r="N131" s="16">
        <f t="shared" ref="N131:N194" ca="1" si="14">L131-M131</f>
        <v>131</v>
      </c>
      <c r="O131" s="18">
        <f t="shared" ca="1" si="13"/>
        <v>0.74431818181818177</v>
      </c>
      <c r="P131" s="19">
        <f t="shared" ref="P131:P194" si="15">IF(K131=0, 0, L131/K131)</f>
        <v>11</v>
      </c>
      <c r="Q131" s="16" t="str">
        <f>IF(COUNTIF($B$2:B131,B131)=1,SUMIF($B$2:$B$1097,B131,$L$2:$L$1097),"")</f>
        <v/>
      </c>
    </row>
    <row r="132" spans="1:18" ht="12.75" x14ac:dyDescent="0.2">
      <c r="A132" s="3">
        <v>131</v>
      </c>
      <c r="B132" s="26">
        <v>44970</v>
      </c>
      <c r="C132" s="23" t="s">
        <v>20</v>
      </c>
      <c r="D132" s="4">
        <v>3</v>
      </c>
      <c r="E132" s="24" t="s">
        <v>9</v>
      </c>
      <c r="F132" s="5" t="s">
        <v>11</v>
      </c>
      <c r="G132" s="5" t="s">
        <v>11</v>
      </c>
      <c r="H132" s="5" t="s">
        <v>14</v>
      </c>
      <c r="I132" s="5" t="s">
        <v>13</v>
      </c>
      <c r="J132" s="5" t="s">
        <v>56</v>
      </c>
      <c r="K132" s="6">
        <v>16</v>
      </c>
      <c r="L132" s="15">
        <v>176</v>
      </c>
      <c r="M132" s="15">
        <f t="shared" ca="1" si="9"/>
        <v>36</v>
      </c>
      <c r="N132" s="16">
        <f t="shared" ca="1" si="14"/>
        <v>140</v>
      </c>
      <c r="O132" s="18">
        <f t="shared" ca="1" si="13"/>
        <v>0.79545454545454541</v>
      </c>
      <c r="P132" s="19">
        <f t="shared" si="15"/>
        <v>11</v>
      </c>
      <c r="Q132" s="16">
        <f>IF(COUNTIF($B$2:B132,B132)=1,SUMIF($B$2:$B$1097,B132,$L$2:$L$1097),"")</f>
        <v>495</v>
      </c>
      <c r="R132" s="16">
        <f>AVERAGE(Q112:Q132)</f>
        <v>474.83333333333331</v>
      </c>
    </row>
    <row r="133" spans="1:18" ht="12.75" x14ac:dyDescent="0.2">
      <c r="A133" s="3">
        <v>132</v>
      </c>
      <c r="B133" s="26">
        <v>44970</v>
      </c>
      <c r="C133" s="23" t="s">
        <v>20</v>
      </c>
      <c r="D133" s="4">
        <v>3</v>
      </c>
      <c r="E133" s="24" t="s">
        <v>9</v>
      </c>
      <c r="F133" s="5" t="s">
        <v>11</v>
      </c>
      <c r="G133" s="5" t="s">
        <v>11</v>
      </c>
      <c r="H133" s="5" t="s">
        <v>14</v>
      </c>
      <c r="I133" s="5" t="s">
        <v>15</v>
      </c>
      <c r="J133" s="5" t="s">
        <v>56</v>
      </c>
      <c r="K133" s="6">
        <v>11</v>
      </c>
      <c r="L133" s="15">
        <v>121</v>
      </c>
      <c r="M133" s="15">
        <f t="shared" ca="1" si="9"/>
        <v>9</v>
      </c>
      <c r="N133" s="16">
        <f t="shared" ca="1" si="14"/>
        <v>112</v>
      </c>
      <c r="O133" s="18">
        <f t="shared" ca="1" si="13"/>
        <v>0.92561983471074383</v>
      </c>
      <c r="P133" s="19">
        <f t="shared" si="15"/>
        <v>11</v>
      </c>
      <c r="Q133" s="16" t="str">
        <f>IF(COUNTIF($B$2:B133,B133)=1,SUMIF($B$2:$B$1097,B133,$L$2:$L$1097),"")</f>
        <v/>
      </c>
    </row>
    <row r="134" spans="1:18" ht="12.75" x14ac:dyDescent="0.2">
      <c r="A134" s="3">
        <v>133</v>
      </c>
      <c r="B134" s="26">
        <v>44970</v>
      </c>
      <c r="C134" s="23" t="s">
        <v>20</v>
      </c>
      <c r="D134" s="4">
        <v>3</v>
      </c>
      <c r="E134" s="24" t="s">
        <v>9</v>
      </c>
      <c r="F134" s="5" t="s">
        <v>11</v>
      </c>
      <c r="G134" s="5" t="s">
        <v>11</v>
      </c>
      <c r="H134" s="5" t="s">
        <v>14</v>
      </c>
      <c r="I134" s="5" t="s">
        <v>16</v>
      </c>
      <c r="J134" s="5" t="s">
        <v>55</v>
      </c>
      <c r="K134" s="6">
        <v>5</v>
      </c>
      <c r="L134" s="15">
        <v>55</v>
      </c>
      <c r="M134" s="15">
        <f t="shared" ca="1" si="9"/>
        <v>34</v>
      </c>
      <c r="N134" s="16">
        <f t="shared" ca="1" si="14"/>
        <v>21</v>
      </c>
      <c r="O134" s="18">
        <f t="shared" ca="1" si="13"/>
        <v>0.38181818181818183</v>
      </c>
      <c r="P134" s="19">
        <f t="shared" si="15"/>
        <v>11</v>
      </c>
      <c r="Q134" s="16" t="str">
        <f>IF(COUNTIF($B$2:B134,B134)=1,SUMIF($B$2:$B$1097,B134,$L$2:$L$1097),"")</f>
        <v/>
      </c>
    </row>
    <row r="135" spans="1:18" ht="12.75" x14ac:dyDescent="0.2">
      <c r="A135" s="3">
        <v>134</v>
      </c>
      <c r="B135" s="26">
        <v>44970</v>
      </c>
      <c r="C135" s="23" t="s">
        <v>20</v>
      </c>
      <c r="D135" s="4">
        <v>3</v>
      </c>
      <c r="E135" s="24" t="s">
        <v>9</v>
      </c>
      <c r="F135" s="5" t="s">
        <v>11</v>
      </c>
      <c r="G135" s="5" t="s">
        <v>11</v>
      </c>
      <c r="H135" s="5" t="s">
        <v>14</v>
      </c>
      <c r="I135" s="5" t="s">
        <v>17</v>
      </c>
      <c r="J135" s="5" t="s">
        <v>53</v>
      </c>
      <c r="K135" s="6">
        <v>13</v>
      </c>
      <c r="L135" s="15">
        <v>143</v>
      </c>
      <c r="M135" s="15">
        <f t="shared" ca="1" si="9"/>
        <v>2</v>
      </c>
      <c r="N135" s="16">
        <f t="shared" ca="1" si="14"/>
        <v>141</v>
      </c>
      <c r="O135" s="18">
        <f t="shared" ca="1" si="13"/>
        <v>0.98601398601398604</v>
      </c>
      <c r="P135" s="19">
        <f t="shared" si="15"/>
        <v>11</v>
      </c>
      <c r="Q135" s="16" t="str">
        <f>IF(COUNTIF($B$2:B135,B135)=1,SUMIF($B$2:$B$1097,B135,$L$2:$L$1097),"")</f>
        <v/>
      </c>
    </row>
    <row r="136" spans="1:18" ht="12.75" x14ac:dyDescent="0.2">
      <c r="A136" s="3">
        <v>135</v>
      </c>
      <c r="B136" s="26">
        <v>44971</v>
      </c>
      <c r="C136" s="23" t="s">
        <v>20</v>
      </c>
      <c r="D136" s="4">
        <v>4</v>
      </c>
      <c r="E136" s="24" t="s">
        <v>9</v>
      </c>
      <c r="F136" s="5" t="s">
        <v>11</v>
      </c>
      <c r="G136" s="5" t="s">
        <v>11</v>
      </c>
      <c r="H136" s="5" t="s">
        <v>14</v>
      </c>
      <c r="I136" s="5" t="s">
        <v>13</v>
      </c>
      <c r="J136" s="5" t="s">
        <v>52</v>
      </c>
      <c r="K136" s="6">
        <v>18</v>
      </c>
      <c r="L136" s="15">
        <v>198</v>
      </c>
      <c r="M136" s="15">
        <f t="shared" ca="1" si="9"/>
        <v>27</v>
      </c>
      <c r="N136" s="16">
        <f t="shared" ca="1" si="14"/>
        <v>171</v>
      </c>
      <c r="O136" s="18">
        <f t="shared" ca="1" si="13"/>
        <v>0.86363636363636365</v>
      </c>
      <c r="P136" s="19">
        <f t="shared" si="15"/>
        <v>11</v>
      </c>
      <c r="Q136" s="16">
        <f>IF(COUNTIF($B$2:B136,B136)=1,SUMIF($B$2:$B$1097,B136,$L$2:$L$1097),"")</f>
        <v>440</v>
      </c>
      <c r="R136" s="16">
        <f>AVERAGE(Q116:Q136)</f>
        <v>480.33333333333331</v>
      </c>
    </row>
    <row r="137" spans="1:18" ht="12.75" x14ac:dyDescent="0.2">
      <c r="A137" s="3">
        <v>136</v>
      </c>
      <c r="B137" s="26">
        <v>44971</v>
      </c>
      <c r="C137" s="23" t="s">
        <v>20</v>
      </c>
      <c r="D137" s="4">
        <v>4</v>
      </c>
      <c r="E137" s="24" t="s">
        <v>9</v>
      </c>
      <c r="F137" s="5" t="s">
        <v>11</v>
      </c>
      <c r="G137" s="5" t="s">
        <v>11</v>
      </c>
      <c r="H137" s="5" t="s">
        <v>14</v>
      </c>
      <c r="I137" s="5" t="s">
        <v>15</v>
      </c>
      <c r="J137" s="5" t="s">
        <v>54</v>
      </c>
      <c r="K137" s="6">
        <v>8</v>
      </c>
      <c r="L137" s="15">
        <v>88</v>
      </c>
      <c r="M137" s="15">
        <f t="shared" ref="M137:M200" ca="1" si="16">RANDBETWEEN(1,50)</f>
        <v>45</v>
      </c>
      <c r="N137" s="16">
        <f t="shared" ca="1" si="14"/>
        <v>43</v>
      </c>
      <c r="O137" s="18">
        <f t="shared" ca="1" si="13"/>
        <v>0.48863636363636365</v>
      </c>
      <c r="P137" s="19">
        <f t="shared" si="15"/>
        <v>11</v>
      </c>
      <c r="Q137" s="16" t="str">
        <f>IF(COUNTIF($B$2:B137,B137)=1,SUMIF($B$2:$B$1097,B137,$L$2:$L$1097),"")</f>
        <v/>
      </c>
    </row>
    <row r="138" spans="1:18" ht="12.75" x14ac:dyDescent="0.2">
      <c r="A138" s="3">
        <v>137</v>
      </c>
      <c r="B138" s="26">
        <v>44971</v>
      </c>
      <c r="C138" s="23" t="s">
        <v>20</v>
      </c>
      <c r="D138" s="4">
        <v>4</v>
      </c>
      <c r="E138" s="24" t="s">
        <v>9</v>
      </c>
      <c r="F138" s="5" t="s">
        <v>11</v>
      </c>
      <c r="G138" s="5" t="s">
        <v>11</v>
      </c>
      <c r="H138" s="5" t="s">
        <v>14</v>
      </c>
      <c r="I138" s="5" t="s">
        <v>16</v>
      </c>
      <c r="J138" s="5" t="s">
        <v>54</v>
      </c>
      <c r="K138" s="6">
        <v>5</v>
      </c>
      <c r="L138" s="15">
        <v>55</v>
      </c>
      <c r="M138" s="15">
        <f t="shared" ca="1" si="16"/>
        <v>34</v>
      </c>
      <c r="N138" s="16">
        <f t="shared" ca="1" si="14"/>
        <v>21</v>
      </c>
      <c r="O138" s="18">
        <f t="shared" ca="1" si="13"/>
        <v>0.38181818181818183</v>
      </c>
      <c r="P138" s="19">
        <f t="shared" si="15"/>
        <v>11</v>
      </c>
      <c r="Q138" s="16" t="str">
        <f>IF(COUNTIF($B$2:B138,B138)=1,SUMIF($B$2:$B$1097,B138,$L$2:$L$1097),"")</f>
        <v/>
      </c>
    </row>
    <row r="139" spans="1:18" ht="12.75" x14ac:dyDescent="0.2">
      <c r="A139" s="3">
        <v>138</v>
      </c>
      <c r="B139" s="26">
        <v>44971</v>
      </c>
      <c r="C139" s="23" t="s">
        <v>20</v>
      </c>
      <c r="D139" s="4">
        <v>4</v>
      </c>
      <c r="E139" s="24" t="s">
        <v>9</v>
      </c>
      <c r="F139" s="5" t="s">
        <v>11</v>
      </c>
      <c r="G139" s="5" t="s">
        <v>11</v>
      </c>
      <c r="H139" s="5" t="s">
        <v>14</v>
      </c>
      <c r="I139" s="5" t="s">
        <v>17</v>
      </c>
      <c r="J139" s="5" t="s">
        <v>54</v>
      </c>
      <c r="K139" s="6">
        <v>9</v>
      </c>
      <c r="L139" s="15">
        <v>99</v>
      </c>
      <c r="M139" s="15">
        <f t="shared" ca="1" si="16"/>
        <v>3</v>
      </c>
      <c r="N139" s="16">
        <f t="shared" ca="1" si="14"/>
        <v>96</v>
      </c>
      <c r="O139" s="18">
        <f t="shared" ca="1" si="13"/>
        <v>0.96969696969696972</v>
      </c>
      <c r="P139" s="19">
        <f t="shared" si="15"/>
        <v>11</v>
      </c>
      <c r="Q139" s="16" t="str">
        <f>IF(COUNTIF($B$2:B139,B139)=1,SUMIF($B$2:$B$1097,B139,$L$2:$L$1097),"")</f>
        <v/>
      </c>
    </row>
    <row r="140" spans="1:18" ht="12.75" x14ac:dyDescent="0.2">
      <c r="A140" s="3">
        <v>139</v>
      </c>
      <c r="B140" s="26">
        <v>44972</v>
      </c>
      <c r="C140" s="23" t="s">
        <v>20</v>
      </c>
      <c r="D140" s="4">
        <v>5</v>
      </c>
      <c r="E140" s="24" t="s">
        <v>9</v>
      </c>
      <c r="F140" s="5" t="s">
        <v>11</v>
      </c>
      <c r="G140" s="5" t="s">
        <v>11</v>
      </c>
      <c r="H140" s="5" t="s">
        <v>14</v>
      </c>
      <c r="I140" s="5" t="s">
        <v>13</v>
      </c>
      <c r="J140" s="5" t="s">
        <v>56</v>
      </c>
      <c r="K140" s="6">
        <v>15</v>
      </c>
      <c r="L140" s="15">
        <v>165</v>
      </c>
      <c r="M140" s="15">
        <f t="shared" ca="1" si="16"/>
        <v>26</v>
      </c>
      <c r="N140" s="16">
        <f t="shared" ca="1" si="14"/>
        <v>139</v>
      </c>
      <c r="O140" s="18">
        <f t="shared" ca="1" si="13"/>
        <v>0.84242424242424241</v>
      </c>
      <c r="P140" s="19">
        <f t="shared" si="15"/>
        <v>11</v>
      </c>
      <c r="Q140" s="16">
        <f>IF(COUNTIF($B$2:B140,B140)=1,SUMIF($B$2:$B$1097,B140,$L$2:$L$1097),"")</f>
        <v>451</v>
      </c>
      <c r="R140" s="16">
        <f>AVERAGE(Q120:Q140)</f>
        <v>473</v>
      </c>
    </row>
    <row r="141" spans="1:18" ht="12.75" x14ac:dyDescent="0.2">
      <c r="A141" s="3">
        <v>140</v>
      </c>
      <c r="B141" s="26">
        <v>44972</v>
      </c>
      <c r="C141" s="23" t="s">
        <v>20</v>
      </c>
      <c r="D141" s="4">
        <v>5</v>
      </c>
      <c r="E141" s="24" t="s">
        <v>9</v>
      </c>
      <c r="F141" s="5" t="s">
        <v>11</v>
      </c>
      <c r="G141" s="5" t="s">
        <v>11</v>
      </c>
      <c r="H141" s="5" t="s">
        <v>14</v>
      </c>
      <c r="I141" s="5" t="s">
        <v>15</v>
      </c>
      <c r="J141" s="5" t="s">
        <v>56</v>
      </c>
      <c r="K141" s="6">
        <v>8</v>
      </c>
      <c r="L141" s="15">
        <v>88</v>
      </c>
      <c r="M141" s="15">
        <f t="shared" ca="1" si="16"/>
        <v>13</v>
      </c>
      <c r="N141" s="16">
        <f t="shared" ca="1" si="14"/>
        <v>75</v>
      </c>
      <c r="O141" s="18">
        <f t="shared" ca="1" si="13"/>
        <v>0.85227272727272729</v>
      </c>
      <c r="P141" s="19">
        <f t="shared" si="15"/>
        <v>11</v>
      </c>
      <c r="Q141" s="16" t="str">
        <f>IF(COUNTIF($B$2:B141,B141)=1,SUMIF($B$2:$B$1097,B141,$L$2:$L$1097),"")</f>
        <v/>
      </c>
    </row>
    <row r="142" spans="1:18" ht="12.75" x14ac:dyDescent="0.2">
      <c r="A142" s="3">
        <v>141</v>
      </c>
      <c r="B142" s="26">
        <v>44972</v>
      </c>
      <c r="C142" s="23" t="s">
        <v>20</v>
      </c>
      <c r="D142" s="4">
        <v>5</v>
      </c>
      <c r="E142" s="24" t="s">
        <v>9</v>
      </c>
      <c r="F142" s="5" t="s">
        <v>11</v>
      </c>
      <c r="G142" s="5" t="s">
        <v>11</v>
      </c>
      <c r="H142" s="5" t="s">
        <v>14</v>
      </c>
      <c r="I142" s="5" t="s">
        <v>16</v>
      </c>
      <c r="J142" s="5" t="s">
        <v>55</v>
      </c>
      <c r="K142" s="6">
        <v>5</v>
      </c>
      <c r="L142" s="15">
        <v>55</v>
      </c>
      <c r="M142" s="15">
        <f t="shared" ca="1" si="16"/>
        <v>48</v>
      </c>
      <c r="N142" s="16">
        <f t="shared" ca="1" si="14"/>
        <v>7</v>
      </c>
      <c r="O142" s="18">
        <f t="shared" ca="1" si="13"/>
        <v>0.12727272727272726</v>
      </c>
      <c r="P142" s="19">
        <f t="shared" si="15"/>
        <v>11</v>
      </c>
      <c r="Q142" s="16" t="str">
        <f>IF(COUNTIF($B$2:B142,B142)=1,SUMIF($B$2:$B$1097,B142,$L$2:$L$1097),"")</f>
        <v/>
      </c>
    </row>
    <row r="143" spans="1:18" ht="12.75" x14ac:dyDescent="0.2">
      <c r="A143" s="3">
        <v>142</v>
      </c>
      <c r="B143" s="26">
        <v>44972</v>
      </c>
      <c r="C143" s="23" t="s">
        <v>20</v>
      </c>
      <c r="D143" s="4">
        <v>5</v>
      </c>
      <c r="E143" s="24" t="s">
        <v>9</v>
      </c>
      <c r="F143" s="5" t="s">
        <v>11</v>
      </c>
      <c r="G143" s="5" t="s">
        <v>11</v>
      </c>
      <c r="H143" s="5" t="s">
        <v>14</v>
      </c>
      <c r="I143" s="5" t="s">
        <v>17</v>
      </c>
      <c r="J143" s="5" t="s">
        <v>53</v>
      </c>
      <c r="K143" s="6">
        <v>13</v>
      </c>
      <c r="L143" s="15">
        <v>143</v>
      </c>
      <c r="M143" s="15">
        <f t="shared" ca="1" si="16"/>
        <v>42</v>
      </c>
      <c r="N143" s="16">
        <f t="shared" ca="1" si="14"/>
        <v>101</v>
      </c>
      <c r="O143" s="18">
        <f t="shared" ca="1" si="13"/>
        <v>0.70629370629370625</v>
      </c>
      <c r="P143" s="19">
        <f t="shared" si="15"/>
        <v>11</v>
      </c>
      <c r="Q143" s="16" t="str">
        <f>IF(COUNTIF($B$2:B143,B143)=1,SUMIF($B$2:$B$1097,B143,$L$2:$L$1097),"")</f>
        <v/>
      </c>
    </row>
    <row r="144" spans="1:18" ht="12.75" x14ac:dyDescent="0.2">
      <c r="A144" s="3">
        <v>143</v>
      </c>
      <c r="B144" s="26">
        <v>44973</v>
      </c>
      <c r="C144" s="23" t="s">
        <v>20</v>
      </c>
      <c r="D144" s="4">
        <v>6</v>
      </c>
      <c r="E144" s="24" t="s">
        <v>9</v>
      </c>
      <c r="F144" s="5" t="s">
        <v>11</v>
      </c>
      <c r="G144" s="5" t="s">
        <v>11</v>
      </c>
      <c r="H144" s="5" t="s">
        <v>14</v>
      </c>
      <c r="I144" s="5" t="s">
        <v>13</v>
      </c>
      <c r="J144" s="5" t="s">
        <v>52</v>
      </c>
      <c r="K144" s="6">
        <v>21</v>
      </c>
      <c r="L144" s="15">
        <v>231</v>
      </c>
      <c r="M144" s="15">
        <f t="shared" ca="1" si="16"/>
        <v>31</v>
      </c>
      <c r="N144" s="16">
        <f t="shared" ca="1" si="14"/>
        <v>200</v>
      </c>
      <c r="O144" s="18">
        <f t="shared" ca="1" si="13"/>
        <v>0.86580086580086579</v>
      </c>
      <c r="P144" s="19">
        <f t="shared" si="15"/>
        <v>11</v>
      </c>
      <c r="Q144" s="16">
        <f>IF(COUNTIF($B$2:B144,B144)=1,SUMIF($B$2:$B$1097,B144,$L$2:$L$1097),"")</f>
        <v>638</v>
      </c>
      <c r="R144" s="16">
        <f>AVERAGE(Q124:Q144)</f>
        <v>478.5</v>
      </c>
    </row>
    <row r="145" spans="1:18" ht="12.75" x14ac:dyDescent="0.2">
      <c r="A145" s="3">
        <v>144</v>
      </c>
      <c r="B145" s="26">
        <v>44973</v>
      </c>
      <c r="C145" s="23" t="s">
        <v>20</v>
      </c>
      <c r="D145" s="4">
        <v>6</v>
      </c>
      <c r="E145" s="24" t="s">
        <v>9</v>
      </c>
      <c r="F145" s="5" t="s">
        <v>11</v>
      </c>
      <c r="G145" s="5" t="s">
        <v>11</v>
      </c>
      <c r="H145" s="5" t="s">
        <v>14</v>
      </c>
      <c r="I145" s="5" t="s">
        <v>15</v>
      </c>
      <c r="J145" s="5" t="s">
        <v>55</v>
      </c>
      <c r="K145" s="6">
        <v>10</v>
      </c>
      <c r="L145" s="15">
        <v>110</v>
      </c>
      <c r="M145" s="15">
        <f t="shared" ca="1" si="16"/>
        <v>9</v>
      </c>
      <c r="N145" s="16">
        <f t="shared" ca="1" si="14"/>
        <v>101</v>
      </c>
      <c r="O145" s="18">
        <f t="shared" ca="1" si="13"/>
        <v>0.91818181818181821</v>
      </c>
      <c r="P145" s="19">
        <f t="shared" si="15"/>
        <v>11</v>
      </c>
      <c r="Q145" s="16" t="str">
        <f>IF(COUNTIF($B$2:B145,B145)=1,SUMIF($B$2:$B$1097,B145,$L$2:$L$1097),"")</f>
        <v/>
      </c>
    </row>
    <row r="146" spans="1:18" ht="12.75" x14ac:dyDescent="0.2">
      <c r="A146" s="3">
        <v>145</v>
      </c>
      <c r="B146" s="26">
        <v>44973</v>
      </c>
      <c r="C146" s="23" t="s">
        <v>20</v>
      </c>
      <c r="D146" s="4">
        <v>6</v>
      </c>
      <c r="E146" s="24" t="s">
        <v>9</v>
      </c>
      <c r="F146" s="5" t="s">
        <v>11</v>
      </c>
      <c r="G146" s="5" t="s">
        <v>11</v>
      </c>
      <c r="H146" s="5" t="s">
        <v>14</v>
      </c>
      <c r="I146" s="5" t="s">
        <v>16</v>
      </c>
      <c r="J146" s="5" t="s">
        <v>55</v>
      </c>
      <c r="K146" s="6">
        <v>9</v>
      </c>
      <c r="L146" s="15">
        <v>99</v>
      </c>
      <c r="M146" s="15">
        <f t="shared" ca="1" si="16"/>
        <v>8</v>
      </c>
      <c r="N146" s="16">
        <f t="shared" ca="1" si="14"/>
        <v>91</v>
      </c>
      <c r="O146" s="18">
        <f t="shared" ca="1" si="13"/>
        <v>0.91919191919191923</v>
      </c>
      <c r="P146" s="19">
        <f t="shared" si="15"/>
        <v>11</v>
      </c>
      <c r="Q146" s="16" t="str">
        <f>IF(COUNTIF($B$2:B146,B146)=1,SUMIF($B$2:$B$1097,B146,$L$2:$L$1097),"")</f>
        <v/>
      </c>
    </row>
    <row r="147" spans="1:18" ht="12.75" x14ac:dyDescent="0.2">
      <c r="A147" s="3">
        <v>146</v>
      </c>
      <c r="B147" s="26">
        <v>44973</v>
      </c>
      <c r="C147" s="23" t="s">
        <v>20</v>
      </c>
      <c r="D147" s="4">
        <v>6</v>
      </c>
      <c r="E147" s="24" t="s">
        <v>9</v>
      </c>
      <c r="F147" s="5" t="s">
        <v>11</v>
      </c>
      <c r="G147" s="5" t="s">
        <v>11</v>
      </c>
      <c r="H147" s="5" t="s">
        <v>14</v>
      </c>
      <c r="I147" s="5" t="s">
        <v>17</v>
      </c>
      <c r="J147" s="5" t="s">
        <v>53</v>
      </c>
      <c r="K147" s="6">
        <v>18</v>
      </c>
      <c r="L147" s="15">
        <v>198</v>
      </c>
      <c r="M147" s="15">
        <f t="shared" ca="1" si="16"/>
        <v>22</v>
      </c>
      <c r="N147" s="16">
        <f t="shared" ca="1" si="14"/>
        <v>176</v>
      </c>
      <c r="O147" s="18">
        <f t="shared" ca="1" si="13"/>
        <v>0.88888888888888884</v>
      </c>
      <c r="P147" s="19">
        <f t="shared" si="15"/>
        <v>11</v>
      </c>
      <c r="Q147" s="16" t="str">
        <f>IF(COUNTIF($B$2:B147,B147)=1,SUMIF($B$2:$B$1097,B147,$L$2:$L$1097),"")</f>
        <v/>
      </c>
    </row>
    <row r="148" spans="1:18" ht="12.75" x14ac:dyDescent="0.2">
      <c r="A148" s="3">
        <v>147</v>
      </c>
      <c r="B148" s="26">
        <v>44974</v>
      </c>
      <c r="C148" s="23" t="s">
        <v>20</v>
      </c>
      <c r="D148" s="4">
        <v>7</v>
      </c>
      <c r="E148" s="24" t="s">
        <v>9</v>
      </c>
      <c r="F148" s="5" t="s">
        <v>11</v>
      </c>
      <c r="G148" s="5" t="s">
        <v>11</v>
      </c>
      <c r="H148" s="5" t="s">
        <v>14</v>
      </c>
      <c r="I148" s="5" t="s">
        <v>13</v>
      </c>
      <c r="J148" s="5" t="s">
        <v>56</v>
      </c>
      <c r="K148" s="6">
        <v>21</v>
      </c>
      <c r="L148" s="15">
        <v>231</v>
      </c>
      <c r="M148" s="15">
        <f t="shared" ca="1" si="16"/>
        <v>45</v>
      </c>
      <c r="N148" s="16">
        <f t="shared" ca="1" si="14"/>
        <v>186</v>
      </c>
      <c r="O148" s="18">
        <f t="shared" ca="1" si="13"/>
        <v>0.80519480519480524</v>
      </c>
      <c r="P148" s="19">
        <f t="shared" si="15"/>
        <v>11</v>
      </c>
      <c r="Q148" s="16">
        <f>IF(COUNTIF($B$2:B148,B148)=1,SUMIF($B$2:$B$1097,B148,$L$2:$L$1097),"")</f>
        <v>231</v>
      </c>
      <c r="R148" s="16">
        <f t="shared" ref="R148:R149" si="17">AVERAGE(Q128:Q148)</f>
        <v>474.83333333333331</v>
      </c>
    </row>
    <row r="149" spans="1:18" ht="12.75" x14ac:dyDescent="0.2">
      <c r="A149" s="3">
        <v>148</v>
      </c>
      <c r="B149" s="26">
        <v>44976</v>
      </c>
      <c r="C149" s="23" t="s">
        <v>20</v>
      </c>
      <c r="D149" s="4">
        <v>2</v>
      </c>
      <c r="E149" s="24" t="s">
        <v>9</v>
      </c>
      <c r="F149" s="5" t="s">
        <v>10</v>
      </c>
      <c r="G149" s="5" t="s">
        <v>11</v>
      </c>
      <c r="H149" s="5" t="s">
        <v>22</v>
      </c>
      <c r="I149" s="5" t="s">
        <v>13</v>
      </c>
      <c r="J149" s="5" t="s">
        <v>52</v>
      </c>
      <c r="K149" s="6">
        <v>21</v>
      </c>
      <c r="L149" s="15">
        <v>231</v>
      </c>
      <c r="M149" s="15">
        <f t="shared" ca="1" si="16"/>
        <v>20</v>
      </c>
      <c r="N149" s="16">
        <f t="shared" ca="1" si="14"/>
        <v>211</v>
      </c>
      <c r="O149" s="18">
        <f t="shared" ca="1" si="13"/>
        <v>0.91341991341991347</v>
      </c>
      <c r="P149" s="19">
        <f t="shared" si="15"/>
        <v>11</v>
      </c>
      <c r="Q149" s="16">
        <f>IF(COUNTIF($B$2:B149,B149)=1,SUMIF($B$2:$B$1097,B149,$L$2:$L$1097),"")</f>
        <v>605</v>
      </c>
      <c r="R149" s="16">
        <f t="shared" si="17"/>
        <v>476.66666666666669</v>
      </c>
    </row>
    <row r="150" spans="1:18" ht="12.75" x14ac:dyDescent="0.2">
      <c r="A150" s="3">
        <v>149</v>
      </c>
      <c r="B150" s="26">
        <v>44976</v>
      </c>
      <c r="C150" s="23" t="s">
        <v>20</v>
      </c>
      <c r="D150" s="4">
        <v>2</v>
      </c>
      <c r="E150" s="24" t="s">
        <v>9</v>
      </c>
      <c r="F150" s="5" t="s">
        <v>10</v>
      </c>
      <c r="G150" s="5" t="s">
        <v>11</v>
      </c>
      <c r="H150" s="5" t="s">
        <v>22</v>
      </c>
      <c r="I150" s="5" t="s">
        <v>15</v>
      </c>
      <c r="J150" s="5" t="s">
        <v>54</v>
      </c>
      <c r="K150" s="6">
        <v>10</v>
      </c>
      <c r="L150" s="15">
        <v>110</v>
      </c>
      <c r="M150" s="15">
        <f t="shared" ca="1" si="16"/>
        <v>10</v>
      </c>
      <c r="N150" s="16">
        <f t="shared" ca="1" si="14"/>
        <v>100</v>
      </c>
      <c r="O150" s="18">
        <f t="shared" ca="1" si="13"/>
        <v>0.90909090909090906</v>
      </c>
      <c r="P150" s="19">
        <f t="shared" si="15"/>
        <v>11</v>
      </c>
      <c r="Q150" s="16" t="str">
        <f>IF(COUNTIF($B$2:B150,B150)=1,SUMIF($B$2:$B$1097,B150,$L$2:$L$1097),"")</f>
        <v/>
      </c>
    </row>
    <row r="151" spans="1:18" ht="12.75" x14ac:dyDescent="0.2">
      <c r="A151" s="3">
        <v>150</v>
      </c>
      <c r="B151" s="26">
        <v>44976</v>
      </c>
      <c r="C151" s="23" t="s">
        <v>20</v>
      </c>
      <c r="D151" s="4">
        <v>2</v>
      </c>
      <c r="E151" s="24" t="s">
        <v>9</v>
      </c>
      <c r="F151" s="5" t="s">
        <v>10</v>
      </c>
      <c r="G151" s="5" t="s">
        <v>11</v>
      </c>
      <c r="H151" s="5" t="s">
        <v>22</v>
      </c>
      <c r="I151" s="5" t="s">
        <v>16</v>
      </c>
      <c r="J151" s="5" t="s">
        <v>54</v>
      </c>
      <c r="K151" s="6">
        <v>9</v>
      </c>
      <c r="L151" s="15">
        <v>99</v>
      </c>
      <c r="M151" s="15">
        <f t="shared" ca="1" si="16"/>
        <v>27</v>
      </c>
      <c r="N151" s="16">
        <f t="shared" ca="1" si="14"/>
        <v>72</v>
      </c>
      <c r="O151" s="18">
        <f t="shared" ca="1" si="13"/>
        <v>0.72727272727272729</v>
      </c>
      <c r="P151" s="19">
        <f t="shared" si="15"/>
        <v>11</v>
      </c>
      <c r="Q151" s="16" t="str">
        <f>IF(COUNTIF($B$2:B151,B151)=1,SUMIF($B$2:$B$1097,B151,$L$2:$L$1097),"")</f>
        <v/>
      </c>
    </row>
    <row r="152" spans="1:18" ht="12.75" x14ac:dyDescent="0.2">
      <c r="A152" s="3">
        <v>151</v>
      </c>
      <c r="B152" s="26">
        <v>44976</v>
      </c>
      <c r="C152" s="23" t="s">
        <v>20</v>
      </c>
      <c r="D152" s="4">
        <v>2</v>
      </c>
      <c r="E152" s="24" t="s">
        <v>9</v>
      </c>
      <c r="F152" s="5" t="s">
        <v>10</v>
      </c>
      <c r="G152" s="5" t="s">
        <v>11</v>
      </c>
      <c r="H152" s="5" t="s">
        <v>22</v>
      </c>
      <c r="I152" s="5" t="s">
        <v>17</v>
      </c>
      <c r="J152" s="5" t="s">
        <v>54</v>
      </c>
      <c r="K152" s="6">
        <v>15</v>
      </c>
      <c r="L152" s="15">
        <v>165</v>
      </c>
      <c r="M152" s="15">
        <f t="shared" ca="1" si="16"/>
        <v>24</v>
      </c>
      <c r="N152" s="16">
        <f t="shared" ca="1" si="14"/>
        <v>141</v>
      </c>
      <c r="O152" s="18">
        <f t="shared" ca="1" si="13"/>
        <v>0.8545454545454545</v>
      </c>
      <c r="P152" s="19">
        <f t="shared" si="15"/>
        <v>11</v>
      </c>
      <c r="Q152" s="16" t="str">
        <f>IF(COUNTIF($B$2:B152,B152)=1,SUMIF($B$2:$B$1097,B152,$L$2:$L$1097),"")</f>
        <v/>
      </c>
    </row>
    <row r="153" spans="1:18" ht="12.75" x14ac:dyDescent="0.2">
      <c r="A153" s="3">
        <v>152</v>
      </c>
      <c r="B153" s="26">
        <v>44977</v>
      </c>
      <c r="C153" s="23" t="s">
        <v>20</v>
      </c>
      <c r="D153" s="4">
        <v>3</v>
      </c>
      <c r="E153" s="24" t="s">
        <v>9</v>
      </c>
      <c r="F153" s="5" t="s">
        <v>11</v>
      </c>
      <c r="G153" s="5" t="s">
        <v>11</v>
      </c>
      <c r="H153" s="5" t="s">
        <v>14</v>
      </c>
      <c r="I153" s="5" t="s">
        <v>13</v>
      </c>
      <c r="J153" s="5" t="s">
        <v>56</v>
      </c>
      <c r="K153" s="6">
        <v>18</v>
      </c>
      <c r="L153" s="15">
        <v>198</v>
      </c>
      <c r="M153" s="15">
        <f t="shared" ca="1" si="16"/>
        <v>14</v>
      </c>
      <c r="N153" s="16">
        <f t="shared" ca="1" si="14"/>
        <v>184</v>
      </c>
      <c r="O153" s="18">
        <f t="shared" ca="1" si="13"/>
        <v>0.92929292929292928</v>
      </c>
      <c r="P153" s="19">
        <f t="shared" si="15"/>
        <v>11</v>
      </c>
      <c r="Q153" s="16">
        <f>IF(COUNTIF($B$2:B153,B153)=1,SUMIF($B$2:$B$1097,B153,$L$2:$L$1097),"")</f>
        <v>495</v>
      </c>
      <c r="R153" s="16">
        <f>AVERAGE(Q133:Q153)</f>
        <v>476.66666666666669</v>
      </c>
    </row>
    <row r="154" spans="1:18" ht="12.75" x14ac:dyDescent="0.2">
      <c r="A154" s="3">
        <v>153</v>
      </c>
      <c r="B154" s="26">
        <v>44977</v>
      </c>
      <c r="C154" s="23" t="s">
        <v>20</v>
      </c>
      <c r="D154" s="4">
        <v>3</v>
      </c>
      <c r="E154" s="24" t="s">
        <v>9</v>
      </c>
      <c r="F154" s="5" t="s">
        <v>11</v>
      </c>
      <c r="G154" s="5" t="s">
        <v>11</v>
      </c>
      <c r="H154" s="5" t="s">
        <v>14</v>
      </c>
      <c r="I154" s="5" t="s">
        <v>15</v>
      </c>
      <c r="J154" s="5" t="s">
        <v>56</v>
      </c>
      <c r="K154" s="6">
        <v>11</v>
      </c>
      <c r="L154" s="15">
        <v>121</v>
      </c>
      <c r="M154" s="15">
        <f t="shared" ca="1" si="16"/>
        <v>23</v>
      </c>
      <c r="N154" s="16">
        <f t="shared" ca="1" si="14"/>
        <v>98</v>
      </c>
      <c r="O154" s="18">
        <f t="shared" ca="1" si="13"/>
        <v>0.80991735537190079</v>
      </c>
      <c r="P154" s="19">
        <f t="shared" si="15"/>
        <v>11</v>
      </c>
      <c r="Q154" s="16" t="str">
        <f>IF(COUNTIF($B$2:B154,B154)=1,SUMIF($B$2:$B$1097,B154,$L$2:$L$1097),"")</f>
        <v/>
      </c>
    </row>
    <row r="155" spans="1:18" ht="12.75" x14ac:dyDescent="0.2">
      <c r="A155" s="3">
        <v>154</v>
      </c>
      <c r="B155" s="26">
        <v>44977</v>
      </c>
      <c r="C155" s="23" t="s">
        <v>20</v>
      </c>
      <c r="D155" s="4">
        <v>3</v>
      </c>
      <c r="E155" s="24" t="s">
        <v>9</v>
      </c>
      <c r="F155" s="5" t="s">
        <v>11</v>
      </c>
      <c r="G155" s="5" t="s">
        <v>11</v>
      </c>
      <c r="H155" s="5" t="s">
        <v>14</v>
      </c>
      <c r="I155" s="5" t="s">
        <v>16</v>
      </c>
      <c r="J155" s="5" t="s">
        <v>55</v>
      </c>
      <c r="K155" s="6">
        <v>5</v>
      </c>
      <c r="L155" s="15">
        <v>55</v>
      </c>
      <c r="M155" s="15">
        <f t="shared" ca="1" si="16"/>
        <v>15</v>
      </c>
      <c r="N155" s="16">
        <f t="shared" ca="1" si="14"/>
        <v>40</v>
      </c>
      <c r="O155" s="18">
        <f t="shared" ca="1" si="13"/>
        <v>0.72727272727272729</v>
      </c>
      <c r="P155" s="19">
        <f t="shared" si="15"/>
        <v>11</v>
      </c>
      <c r="Q155" s="16" t="str">
        <f>IF(COUNTIF($B$2:B155,B155)=1,SUMIF($B$2:$B$1097,B155,$L$2:$L$1097),"")</f>
        <v/>
      </c>
    </row>
    <row r="156" spans="1:18" ht="12.75" x14ac:dyDescent="0.2">
      <c r="A156" s="3">
        <v>155</v>
      </c>
      <c r="B156" s="26">
        <v>44977</v>
      </c>
      <c r="C156" s="23" t="s">
        <v>20</v>
      </c>
      <c r="D156" s="4">
        <v>3</v>
      </c>
      <c r="E156" s="24" t="s">
        <v>9</v>
      </c>
      <c r="F156" s="5" t="s">
        <v>11</v>
      </c>
      <c r="G156" s="5" t="s">
        <v>11</v>
      </c>
      <c r="H156" s="5" t="s">
        <v>14</v>
      </c>
      <c r="I156" s="5" t="s">
        <v>17</v>
      </c>
      <c r="J156" s="5" t="s">
        <v>53</v>
      </c>
      <c r="K156" s="6">
        <v>11</v>
      </c>
      <c r="L156" s="15">
        <v>121</v>
      </c>
      <c r="M156" s="15">
        <f t="shared" ca="1" si="16"/>
        <v>5</v>
      </c>
      <c r="N156" s="16">
        <f t="shared" ca="1" si="14"/>
        <v>116</v>
      </c>
      <c r="O156" s="18">
        <f t="shared" ca="1" si="13"/>
        <v>0.95867768595041325</v>
      </c>
      <c r="P156" s="19">
        <f t="shared" si="15"/>
        <v>11</v>
      </c>
      <c r="Q156" s="16" t="str">
        <f>IF(COUNTIF($B$2:B156,B156)=1,SUMIF($B$2:$B$1097,B156,$L$2:$L$1097),"")</f>
        <v/>
      </c>
    </row>
    <row r="157" spans="1:18" ht="12.75" x14ac:dyDescent="0.2">
      <c r="A157" s="3">
        <v>156</v>
      </c>
      <c r="B157" s="26">
        <v>44978</v>
      </c>
      <c r="C157" s="23" t="s">
        <v>20</v>
      </c>
      <c r="D157" s="4">
        <v>4</v>
      </c>
      <c r="E157" s="24" t="s">
        <v>9</v>
      </c>
      <c r="F157" s="5" t="s">
        <v>11</v>
      </c>
      <c r="G157" s="5" t="s">
        <v>11</v>
      </c>
      <c r="H157" s="5" t="s">
        <v>14</v>
      </c>
      <c r="I157" s="5" t="s">
        <v>13</v>
      </c>
      <c r="J157" s="5" t="s">
        <v>52</v>
      </c>
      <c r="K157" s="6">
        <v>16</v>
      </c>
      <c r="L157" s="15">
        <v>176</v>
      </c>
      <c r="M157" s="15">
        <f t="shared" ca="1" si="16"/>
        <v>2</v>
      </c>
      <c r="N157" s="16">
        <f t="shared" ca="1" si="14"/>
        <v>174</v>
      </c>
      <c r="O157" s="18">
        <f t="shared" ca="1" si="13"/>
        <v>0.98863636363636365</v>
      </c>
      <c r="P157" s="19">
        <f t="shared" si="15"/>
        <v>11</v>
      </c>
      <c r="Q157" s="16">
        <f>IF(COUNTIF($B$2:B157,B157)=1,SUMIF($B$2:$B$1097,B157,$L$2:$L$1097),"")</f>
        <v>429</v>
      </c>
      <c r="R157" s="16">
        <f>AVERAGE(Q137:Q157)</f>
        <v>474.83333333333331</v>
      </c>
    </row>
    <row r="158" spans="1:18" ht="12.75" x14ac:dyDescent="0.2">
      <c r="A158" s="3">
        <v>157</v>
      </c>
      <c r="B158" s="26">
        <v>44978</v>
      </c>
      <c r="C158" s="23" t="s">
        <v>20</v>
      </c>
      <c r="D158" s="4">
        <v>4</v>
      </c>
      <c r="E158" s="24" t="s">
        <v>9</v>
      </c>
      <c r="F158" s="5" t="s">
        <v>11</v>
      </c>
      <c r="G158" s="5" t="s">
        <v>11</v>
      </c>
      <c r="H158" s="5" t="s">
        <v>14</v>
      </c>
      <c r="I158" s="5" t="s">
        <v>15</v>
      </c>
      <c r="J158" s="5" t="s">
        <v>54</v>
      </c>
      <c r="K158" s="6">
        <v>7</v>
      </c>
      <c r="L158" s="15">
        <v>77</v>
      </c>
      <c r="M158" s="15">
        <f t="shared" ca="1" si="16"/>
        <v>39</v>
      </c>
      <c r="N158" s="16">
        <f t="shared" ca="1" si="14"/>
        <v>38</v>
      </c>
      <c r="O158" s="18">
        <f t="shared" ca="1" si="13"/>
        <v>0.4935064935064935</v>
      </c>
      <c r="P158" s="19">
        <f t="shared" si="15"/>
        <v>11</v>
      </c>
      <c r="Q158" s="16" t="str">
        <f>IF(COUNTIF($B$2:B158,B158)=1,SUMIF($B$2:$B$1097,B158,$L$2:$L$1097),"")</f>
        <v/>
      </c>
    </row>
    <row r="159" spans="1:18" ht="12.75" x14ac:dyDescent="0.2">
      <c r="A159" s="3">
        <v>158</v>
      </c>
      <c r="B159" s="26">
        <v>44978</v>
      </c>
      <c r="C159" s="23" t="s">
        <v>20</v>
      </c>
      <c r="D159" s="4">
        <v>4</v>
      </c>
      <c r="E159" s="24" t="s">
        <v>9</v>
      </c>
      <c r="F159" s="5" t="s">
        <v>11</v>
      </c>
      <c r="G159" s="5" t="s">
        <v>11</v>
      </c>
      <c r="H159" s="5" t="s">
        <v>14</v>
      </c>
      <c r="I159" s="5" t="s">
        <v>16</v>
      </c>
      <c r="J159" s="5" t="s">
        <v>54</v>
      </c>
      <c r="K159" s="6">
        <v>5</v>
      </c>
      <c r="L159" s="15">
        <v>55</v>
      </c>
      <c r="M159" s="15">
        <f t="shared" ca="1" si="16"/>
        <v>32</v>
      </c>
      <c r="N159" s="16">
        <f t="shared" ca="1" si="14"/>
        <v>23</v>
      </c>
      <c r="O159" s="18">
        <f t="shared" ca="1" si="13"/>
        <v>0.41818181818181815</v>
      </c>
      <c r="P159" s="19">
        <f t="shared" si="15"/>
        <v>11</v>
      </c>
      <c r="Q159" s="16" t="str">
        <f>IF(COUNTIF($B$2:B159,B159)=1,SUMIF($B$2:$B$1097,B159,$L$2:$L$1097),"")</f>
        <v/>
      </c>
    </row>
    <row r="160" spans="1:18" ht="12.75" x14ac:dyDescent="0.2">
      <c r="A160" s="3">
        <v>159</v>
      </c>
      <c r="B160" s="26">
        <v>44978</v>
      </c>
      <c r="C160" s="23" t="s">
        <v>20</v>
      </c>
      <c r="D160" s="4">
        <v>4</v>
      </c>
      <c r="E160" s="24" t="s">
        <v>9</v>
      </c>
      <c r="F160" s="5" t="s">
        <v>11</v>
      </c>
      <c r="G160" s="5" t="s">
        <v>11</v>
      </c>
      <c r="H160" s="5" t="s">
        <v>14</v>
      </c>
      <c r="I160" s="5" t="s">
        <v>17</v>
      </c>
      <c r="J160" s="5" t="s">
        <v>54</v>
      </c>
      <c r="K160" s="6">
        <v>11</v>
      </c>
      <c r="L160" s="15">
        <v>121</v>
      </c>
      <c r="M160" s="15">
        <f t="shared" ca="1" si="16"/>
        <v>32</v>
      </c>
      <c r="N160" s="16">
        <f t="shared" ca="1" si="14"/>
        <v>89</v>
      </c>
      <c r="O160" s="18">
        <f t="shared" ca="1" si="13"/>
        <v>0.73553719008264462</v>
      </c>
      <c r="P160" s="19">
        <f t="shared" si="15"/>
        <v>11</v>
      </c>
      <c r="Q160" s="16" t="str">
        <f>IF(COUNTIF($B$2:B160,B160)=1,SUMIF($B$2:$B$1097,B160,$L$2:$L$1097),"")</f>
        <v/>
      </c>
    </row>
    <row r="161" spans="1:18" ht="12.75" x14ac:dyDescent="0.2">
      <c r="A161" s="3">
        <v>160</v>
      </c>
      <c r="B161" s="26">
        <v>44979</v>
      </c>
      <c r="C161" s="23" t="s">
        <v>20</v>
      </c>
      <c r="D161" s="4">
        <v>5</v>
      </c>
      <c r="E161" s="24" t="s">
        <v>9</v>
      </c>
      <c r="F161" s="5" t="s">
        <v>11</v>
      </c>
      <c r="G161" s="5" t="s">
        <v>11</v>
      </c>
      <c r="H161" s="5" t="s">
        <v>14</v>
      </c>
      <c r="I161" s="5" t="s">
        <v>13</v>
      </c>
      <c r="J161" s="5" t="s">
        <v>56</v>
      </c>
      <c r="K161" s="6">
        <v>14</v>
      </c>
      <c r="L161" s="15">
        <v>154</v>
      </c>
      <c r="M161" s="15">
        <f t="shared" ca="1" si="16"/>
        <v>30</v>
      </c>
      <c r="N161" s="16">
        <f t="shared" ca="1" si="14"/>
        <v>124</v>
      </c>
      <c r="O161" s="18">
        <f t="shared" ca="1" si="13"/>
        <v>0.80519480519480524</v>
      </c>
      <c r="P161" s="19">
        <f t="shared" si="15"/>
        <v>11</v>
      </c>
      <c r="Q161" s="16">
        <f>IF(COUNTIF($B$2:B161,B161)=1,SUMIF($B$2:$B$1097,B161,$L$2:$L$1097),"")</f>
        <v>495</v>
      </c>
      <c r="R161" s="16">
        <f>AVERAGE(Q141:Q161)</f>
        <v>482.16666666666669</v>
      </c>
    </row>
    <row r="162" spans="1:18" ht="12.75" x14ac:dyDescent="0.2">
      <c r="A162" s="3">
        <v>161</v>
      </c>
      <c r="B162" s="26">
        <v>44979</v>
      </c>
      <c r="C162" s="23" t="s">
        <v>20</v>
      </c>
      <c r="D162" s="4">
        <v>5</v>
      </c>
      <c r="E162" s="24" t="s">
        <v>9</v>
      </c>
      <c r="F162" s="5" t="s">
        <v>11</v>
      </c>
      <c r="G162" s="5" t="s">
        <v>11</v>
      </c>
      <c r="H162" s="5" t="s">
        <v>14</v>
      </c>
      <c r="I162" s="5" t="s">
        <v>15</v>
      </c>
      <c r="J162" s="5" t="s">
        <v>56</v>
      </c>
      <c r="K162" s="6">
        <v>11</v>
      </c>
      <c r="L162" s="15">
        <v>121</v>
      </c>
      <c r="M162" s="15">
        <f t="shared" ca="1" si="16"/>
        <v>39</v>
      </c>
      <c r="N162" s="16">
        <f t="shared" ca="1" si="14"/>
        <v>82</v>
      </c>
      <c r="O162" s="18">
        <f t="shared" ca="1" si="13"/>
        <v>0.6776859504132231</v>
      </c>
      <c r="P162" s="19">
        <f t="shared" si="15"/>
        <v>11</v>
      </c>
      <c r="Q162" s="16" t="str">
        <f>IF(COUNTIF($B$2:B162,B162)=1,SUMIF($B$2:$B$1097,B162,$L$2:$L$1097),"")</f>
        <v/>
      </c>
    </row>
    <row r="163" spans="1:18" ht="12.75" x14ac:dyDescent="0.2">
      <c r="A163" s="3">
        <v>162</v>
      </c>
      <c r="B163" s="26">
        <v>44979</v>
      </c>
      <c r="C163" s="23" t="s">
        <v>20</v>
      </c>
      <c r="D163" s="4">
        <v>5</v>
      </c>
      <c r="E163" s="24" t="s">
        <v>9</v>
      </c>
      <c r="F163" s="5" t="s">
        <v>11</v>
      </c>
      <c r="G163" s="5" t="s">
        <v>11</v>
      </c>
      <c r="H163" s="5" t="s">
        <v>14</v>
      </c>
      <c r="I163" s="5" t="s">
        <v>16</v>
      </c>
      <c r="J163" s="5" t="s">
        <v>55</v>
      </c>
      <c r="K163" s="6">
        <v>5</v>
      </c>
      <c r="L163" s="15">
        <v>55</v>
      </c>
      <c r="M163" s="15">
        <f t="shared" ca="1" si="16"/>
        <v>33</v>
      </c>
      <c r="N163" s="16">
        <f t="shared" ca="1" si="14"/>
        <v>22</v>
      </c>
      <c r="O163" s="18">
        <f t="shared" ca="1" si="13"/>
        <v>0.4</v>
      </c>
      <c r="P163" s="19">
        <f t="shared" si="15"/>
        <v>11</v>
      </c>
      <c r="Q163" s="16" t="str">
        <f>IF(COUNTIF($B$2:B163,B163)=1,SUMIF($B$2:$B$1097,B163,$L$2:$L$1097),"")</f>
        <v/>
      </c>
    </row>
    <row r="164" spans="1:18" ht="12.75" x14ac:dyDescent="0.2">
      <c r="A164" s="3">
        <v>163</v>
      </c>
      <c r="B164" s="26">
        <v>44979</v>
      </c>
      <c r="C164" s="23" t="s">
        <v>20</v>
      </c>
      <c r="D164" s="4">
        <v>5</v>
      </c>
      <c r="E164" s="24" t="s">
        <v>9</v>
      </c>
      <c r="F164" s="5" t="s">
        <v>11</v>
      </c>
      <c r="G164" s="5" t="s">
        <v>11</v>
      </c>
      <c r="H164" s="5" t="s">
        <v>14</v>
      </c>
      <c r="I164" s="5" t="s">
        <v>17</v>
      </c>
      <c r="J164" s="5" t="s">
        <v>53</v>
      </c>
      <c r="K164" s="6">
        <v>15</v>
      </c>
      <c r="L164" s="15">
        <v>165</v>
      </c>
      <c r="M164" s="15">
        <f t="shared" ca="1" si="16"/>
        <v>20</v>
      </c>
      <c r="N164" s="16">
        <f t="shared" ca="1" si="14"/>
        <v>145</v>
      </c>
      <c r="O164" s="18">
        <f t="shared" ca="1" si="13"/>
        <v>0.87878787878787878</v>
      </c>
      <c r="P164" s="19">
        <f t="shared" si="15"/>
        <v>11</v>
      </c>
      <c r="Q164" s="16" t="str">
        <f>IF(COUNTIF($B$2:B164,B164)=1,SUMIF($B$2:$B$1097,B164,$L$2:$L$1097),"")</f>
        <v/>
      </c>
    </row>
    <row r="165" spans="1:18" ht="12.75" x14ac:dyDescent="0.2">
      <c r="A165" s="3">
        <v>164</v>
      </c>
      <c r="B165" s="26">
        <v>44980</v>
      </c>
      <c r="C165" s="23" t="s">
        <v>20</v>
      </c>
      <c r="D165" s="4">
        <v>6</v>
      </c>
      <c r="E165" s="24" t="s">
        <v>9</v>
      </c>
      <c r="F165" s="5" t="s">
        <v>11</v>
      </c>
      <c r="G165" s="5" t="s">
        <v>11</v>
      </c>
      <c r="H165" s="5" t="s">
        <v>14</v>
      </c>
      <c r="I165" s="5" t="s">
        <v>13</v>
      </c>
      <c r="J165" s="5" t="s">
        <v>52</v>
      </c>
      <c r="K165" s="6">
        <v>21</v>
      </c>
      <c r="L165" s="15">
        <v>231</v>
      </c>
      <c r="M165" s="15">
        <f t="shared" ca="1" si="16"/>
        <v>46</v>
      </c>
      <c r="N165" s="16">
        <f t="shared" ca="1" si="14"/>
        <v>185</v>
      </c>
      <c r="O165" s="18">
        <f t="shared" ca="1" si="13"/>
        <v>0.80086580086580084</v>
      </c>
      <c r="P165" s="19">
        <f t="shared" si="15"/>
        <v>11</v>
      </c>
      <c r="Q165" s="16">
        <f>IF(COUNTIF($B$2:B165,B165)=1,SUMIF($B$2:$B$1097,B165,$L$2:$L$1097),"")</f>
        <v>649</v>
      </c>
      <c r="R165" s="16">
        <f>AVERAGE(Q145:Q165)</f>
        <v>484</v>
      </c>
    </row>
    <row r="166" spans="1:18" ht="12.75" x14ac:dyDescent="0.2">
      <c r="A166" s="3">
        <v>165</v>
      </c>
      <c r="B166" s="26">
        <v>44980</v>
      </c>
      <c r="C166" s="23" t="s">
        <v>20</v>
      </c>
      <c r="D166" s="4">
        <v>6</v>
      </c>
      <c r="E166" s="24" t="s">
        <v>9</v>
      </c>
      <c r="F166" s="5" t="s">
        <v>11</v>
      </c>
      <c r="G166" s="5" t="s">
        <v>11</v>
      </c>
      <c r="H166" s="5" t="s">
        <v>14</v>
      </c>
      <c r="I166" s="5" t="s">
        <v>15</v>
      </c>
      <c r="J166" s="5" t="s">
        <v>55</v>
      </c>
      <c r="K166" s="6">
        <v>10</v>
      </c>
      <c r="L166" s="15">
        <v>110</v>
      </c>
      <c r="M166" s="15">
        <f t="shared" ca="1" si="16"/>
        <v>39</v>
      </c>
      <c r="N166" s="16">
        <f t="shared" ca="1" si="14"/>
        <v>71</v>
      </c>
      <c r="O166" s="18">
        <f t="shared" ca="1" si="13"/>
        <v>0.6454545454545455</v>
      </c>
      <c r="P166" s="19">
        <f t="shared" si="15"/>
        <v>11</v>
      </c>
      <c r="Q166" s="16" t="str">
        <f>IF(COUNTIF($B$2:B166,B166)=1,SUMIF($B$2:$B$1097,B166,$L$2:$L$1097),"")</f>
        <v/>
      </c>
    </row>
    <row r="167" spans="1:18" ht="12.75" x14ac:dyDescent="0.2">
      <c r="A167" s="3">
        <v>166</v>
      </c>
      <c r="B167" s="26">
        <v>44980</v>
      </c>
      <c r="C167" s="23" t="s">
        <v>20</v>
      </c>
      <c r="D167" s="4">
        <v>6</v>
      </c>
      <c r="E167" s="24" t="s">
        <v>9</v>
      </c>
      <c r="F167" s="5" t="s">
        <v>11</v>
      </c>
      <c r="G167" s="5" t="s">
        <v>11</v>
      </c>
      <c r="H167" s="5" t="s">
        <v>14</v>
      </c>
      <c r="I167" s="5" t="s">
        <v>16</v>
      </c>
      <c r="J167" s="5" t="s">
        <v>55</v>
      </c>
      <c r="K167" s="6">
        <v>9</v>
      </c>
      <c r="L167" s="15">
        <v>99</v>
      </c>
      <c r="M167" s="15">
        <f t="shared" ca="1" si="16"/>
        <v>26</v>
      </c>
      <c r="N167" s="16">
        <f t="shared" ca="1" si="14"/>
        <v>73</v>
      </c>
      <c r="O167" s="18">
        <f t="shared" ca="1" si="13"/>
        <v>0.73737373737373735</v>
      </c>
      <c r="P167" s="19">
        <f t="shared" si="15"/>
        <v>11</v>
      </c>
      <c r="Q167" s="16" t="str">
        <f>IF(COUNTIF($B$2:B167,B167)=1,SUMIF($B$2:$B$1097,B167,$L$2:$L$1097),"")</f>
        <v/>
      </c>
    </row>
    <row r="168" spans="1:18" ht="12.75" x14ac:dyDescent="0.2">
      <c r="A168" s="3">
        <v>167</v>
      </c>
      <c r="B168" s="26">
        <v>44980</v>
      </c>
      <c r="C168" s="23" t="s">
        <v>20</v>
      </c>
      <c r="D168" s="4">
        <v>6</v>
      </c>
      <c r="E168" s="24" t="s">
        <v>9</v>
      </c>
      <c r="F168" s="5" t="s">
        <v>11</v>
      </c>
      <c r="G168" s="5" t="s">
        <v>11</v>
      </c>
      <c r="H168" s="5" t="s">
        <v>14</v>
      </c>
      <c r="I168" s="5" t="s">
        <v>17</v>
      </c>
      <c r="J168" s="5" t="s">
        <v>53</v>
      </c>
      <c r="K168" s="6">
        <v>19</v>
      </c>
      <c r="L168" s="15">
        <v>209</v>
      </c>
      <c r="M168" s="15">
        <f t="shared" ca="1" si="16"/>
        <v>26</v>
      </c>
      <c r="N168" s="16">
        <f t="shared" ca="1" si="14"/>
        <v>183</v>
      </c>
      <c r="O168" s="18">
        <f t="shared" ca="1" si="13"/>
        <v>0.87559808612440193</v>
      </c>
      <c r="P168" s="19">
        <f t="shared" si="15"/>
        <v>11</v>
      </c>
      <c r="Q168" s="16" t="str">
        <f>IF(COUNTIF($B$2:B168,B168)=1,SUMIF($B$2:$B$1097,B168,$L$2:$L$1097),"")</f>
        <v/>
      </c>
    </row>
    <row r="169" spans="1:18" ht="12.75" x14ac:dyDescent="0.2">
      <c r="A169" s="3">
        <v>168</v>
      </c>
      <c r="B169" s="26">
        <v>44981</v>
      </c>
      <c r="C169" s="23" t="s">
        <v>20</v>
      </c>
      <c r="D169" s="4">
        <v>7</v>
      </c>
      <c r="E169" s="24" t="s">
        <v>9</v>
      </c>
      <c r="F169" s="5" t="s">
        <v>11</v>
      </c>
      <c r="G169" s="5" t="s">
        <v>11</v>
      </c>
      <c r="H169" s="5" t="s">
        <v>14</v>
      </c>
      <c r="I169" s="5" t="s">
        <v>13</v>
      </c>
      <c r="J169" s="5" t="s">
        <v>56</v>
      </c>
      <c r="K169" s="6">
        <v>18</v>
      </c>
      <c r="L169" s="15">
        <v>198</v>
      </c>
      <c r="M169" s="15">
        <f t="shared" ca="1" si="16"/>
        <v>19</v>
      </c>
      <c r="N169" s="16">
        <f t="shared" ca="1" si="14"/>
        <v>179</v>
      </c>
      <c r="O169" s="18">
        <f t="shared" ca="1" si="13"/>
        <v>0.90404040404040409</v>
      </c>
      <c r="P169" s="19">
        <f t="shared" si="15"/>
        <v>11</v>
      </c>
      <c r="Q169" s="16">
        <f>IF(COUNTIF($B$2:B169,B169)=1,SUMIF($B$2:$B$1097,B169,$L$2:$L$1097),"")</f>
        <v>198</v>
      </c>
      <c r="R169" s="16">
        <f t="shared" ref="R169:R170" si="18">AVERAGE(Q149:Q169)</f>
        <v>478.5</v>
      </c>
    </row>
    <row r="170" spans="1:18" ht="12.75" x14ac:dyDescent="0.2">
      <c r="A170" s="3">
        <v>169</v>
      </c>
      <c r="B170" s="26">
        <v>44983</v>
      </c>
      <c r="C170" s="23" t="s">
        <v>20</v>
      </c>
      <c r="D170" s="4">
        <v>2</v>
      </c>
      <c r="E170" s="24" t="s">
        <v>9</v>
      </c>
      <c r="F170" s="5" t="s">
        <v>11</v>
      </c>
      <c r="G170" s="5" t="s">
        <v>11</v>
      </c>
      <c r="H170" s="5" t="s">
        <v>14</v>
      </c>
      <c r="I170" s="5" t="s">
        <v>13</v>
      </c>
      <c r="J170" s="5" t="s">
        <v>52</v>
      </c>
      <c r="K170" s="6">
        <v>20</v>
      </c>
      <c r="L170" s="15">
        <v>220</v>
      </c>
      <c r="M170" s="15">
        <f t="shared" ca="1" si="16"/>
        <v>12</v>
      </c>
      <c r="N170" s="16">
        <f t="shared" ca="1" si="14"/>
        <v>208</v>
      </c>
      <c r="O170" s="18">
        <f t="shared" ca="1" si="13"/>
        <v>0.94545454545454544</v>
      </c>
      <c r="P170" s="19">
        <f t="shared" si="15"/>
        <v>11</v>
      </c>
      <c r="Q170" s="16">
        <f>IF(COUNTIF($B$2:B170,B170)=1,SUMIF($B$2:$B$1097,B170,$L$2:$L$1097),"")</f>
        <v>594</v>
      </c>
      <c r="R170" s="16">
        <f t="shared" si="18"/>
        <v>476.66666666666669</v>
      </c>
    </row>
    <row r="171" spans="1:18" ht="12.75" x14ac:dyDescent="0.2">
      <c r="A171" s="3">
        <v>170</v>
      </c>
      <c r="B171" s="26">
        <v>44983</v>
      </c>
      <c r="C171" s="23" t="s">
        <v>20</v>
      </c>
      <c r="D171" s="4">
        <v>2</v>
      </c>
      <c r="E171" s="24" t="s">
        <v>9</v>
      </c>
      <c r="F171" s="5" t="s">
        <v>11</v>
      </c>
      <c r="G171" s="5" t="s">
        <v>11</v>
      </c>
      <c r="H171" s="5" t="s">
        <v>14</v>
      </c>
      <c r="I171" s="5" t="s">
        <v>15</v>
      </c>
      <c r="J171" s="5" t="s">
        <v>54</v>
      </c>
      <c r="K171" s="6">
        <v>9</v>
      </c>
      <c r="L171" s="15">
        <v>99</v>
      </c>
      <c r="M171" s="15">
        <f t="shared" ca="1" si="16"/>
        <v>8</v>
      </c>
      <c r="N171" s="16">
        <f t="shared" ca="1" si="14"/>
        <v>91</v>
      </c>
      <c r="O171" s="18">
        <f t="shared" ca="1" si="13"/>
        <v>0.91919191919191923</v>
      </c>
      <c r="P171" s="19">
        <f t="shared" si="15"/>
        <v>11</v>
      </c>
      <c r="Q171" s="16" t="str">
        <f>IF(COUNTIF($B$2:B171,B171)=1,SUMIF($B$2:$B$1097,B171,$L$2:$L$1097),"")</f>
        <v/>
      </c>
    </row>
    <row r="172" spans="1:18" ht="12.75" x14ac:dyDescent="0.2">
      <c r="A172" s="3">
        <v>171</v>
      </c>
      <c r="B172" s="26">
        <v>44983</v>
      </c>
      <c r="C172" s="23" t="s">
        <v>20</v>
      </c>
      <c r="D172" s="4">
        <v>2</v>
      </c>
      <c r="E172" s="24" t="s">
        <v>9</v>
      </c>
      <c r="F172" s="5" t="s">
        <v>11</v>
      </c>
      <c r="G172" s="5" t="s">
        <v>11</v>
      </c>
      <c r="H172" s="5" t="s">
        <v>14</v>
      </c>
      <c r="I172" s="5" t="s">
        <v>16</v>
      </c>
      <c r="J172" s="5" t="s">
        <v>54</v>
      </c>
      <c r="K172" s="6">
        <v>8</v>
      </c>
      <c r="L172" s="15">
        <v>88</v>
      </c>
      <c r="M172" s="15">
        <f t="shared" ca="1" si="16"/>
        <v>14</v>
      </c>
      <c r="N172" s="16">
        <f t="shared" ca="1" si="14"/>
        <v>74</v>
      </c>
      <c r="O172" s="18">
        <f t="shared" ca="1" si="13"/>
        <v>0.84090909090909094</v>
      </c>
      <c r="P172" s="19">
        <f t="shared" si="15"/>
        <v>11</v>
      </c>
      <c r="Q172" s="16" t="str">
        <f>IF(COUNTIF($B$2:B172,B172)=1,SUMIF($B$2:$B$1097,B172,$L$2:$L$1097),"")</f>
        <v/>
      </c>
    </row>
    <row r="173" spans="1:18" ht="12.75" x14ac:dyDescent="0.2">
      <c r="A173" s="3">
        <v>172</v>
      </c>
      <c r="B173" s="26">
        <v>44983</v>
      </c>
      <c r="C173" s="23" t="s">
        <v>20</v>
      </c>
      <c r="D173" s="4">
        <v>2</v>
      </c>
      <c r="E173" s="24" t="s">
        <v>9</v>
      </c>
      <c r="F173" s="5" t="s">
        <v>11</v>
      </c>
      <c r="G173" s="5" t="s">
        <v>11</v>
      </c>
      <c r="H173" s="5" t="s">
        <v>14</v>
      </c>
      <c r="I173" s="5" t="s">
        <v>17</v>
      </c>
      <c r="J173" s="5" t="s">
        <v>54</v>
      </c>
      <c r="K173" s="6">
        <v>17</v>
      </c>
      <c r="L173" s="15">
        <v>187</v>
      </c>
      <c r="M173" s="15">
        <f t="shared" ca="1" si="16"/>
        <v>18</v>
      </c>
      <c r="N173" s="16">
        <f t="shared" ca="1" si="14"/>
        <v>169</v>
      </c>
      <c r="O173" s="18">
        <f t="shared" ca="1" si="13"/>
        <v>0.90374331550802134</v>
      </c>
      <c r="P173" s="19">
        <f t="shared" si="15"/>
        <v>11</v>
      </c>
      <c r="Q173" s="16" t="str">
        <f>IF(COUNTIF($B$2:B173,B173)=1,SUMIF($B$2:$B$1097,B173,$L$2:$L$1097),"")</f>
        <v/>
      </c>
    </row>
    <row r="174" spans="1:18" ht="12.75" x14ac:dyDescent="0.2">
      <c r="A174" s="3">
        <v>173</v>
      </c>
      <c r="B174" s="26">
        <v>44984</v>
      </c>
      <c r="C174" s="23" t="s">
        <v>20</v>
      </c>
      <c r="D174" s="4">
        <v>3</v>
      </c>
      <c r="E174" s="24" t="s">
        <v>9</v>
      </c>
      <c r="F174" s="5" t="s">
        <v>11</v>
      </c>
      <c r="G174" s="5" t="s">
        <v>11</v>
      </c>
      <c r="H174" s="5" t="s">
        <v>14</v>
      </c>
      <c r="I174" s="5" t="s">
        <v>13</v>
      </c>
      <c r="J174" s="5" t="s">
        <v>56</v>
      </c>
      <c r="K174" s="6">
        <v>16</v>
      </c>
      <c r="L174" s="15">
        <v>176</v>
      </c>
      <c r="M174" s="15">
        <f t="shared" ca="1" si="16"/>
        <v>27</v>
      </c>
      <c r="N174" s="16">
        <f t="shared" ca="1" si="14"/>
        <v>149</v>
      </c>
      <c r="O174" s="18">
        <f t="shared" ca="1" si="13"/>
        <v>0.84659090909090906</v>
      </c>
      <c r="P174" s="19">
        <f t="shared" si="15"/>
        <v>11</v>
      </c>
      <c r="Q174" s="16">
        <f>IF(COUNTIF($B$2:B174,B174)=1,SUMIF($B$2:$B$1097,B174,$L$2:$L$1097),"")</f>
        <v>484</v>
      </c>
      <c r="R174" s="16">
        <f>AVERAGE(Q154:Q174)</f>
        <v>474.83333333333331</v>
      </c>
    </row>
    <row r="175" spans="1:18" ht="12.75" x14ac:dyDescent="0.2">
      <c r="A175" s="3">
        <v>174</v>
      </c>
      <c r="B175" s="26">
        <v>44984</v>
      </c>
      <c r="C175" s="23" t="s">
        <v>20</v>
      </c>
      <c r="D175" s="4">
        <v>3</v>
      </c>
      <c r="E175" s="24" t="s">
        <v>9</v>
      </c>
      <c r="F175" s="5" t="s">
        <v>11</v>
      </c>
      <c r="G175" s="5" t="s">
        <v>11</v>
      </c>
      <c r="H175" s="5" t="s">
        <v>14</v>
      </c>
      <c r="I175" s="5" t="s">
        <v>15</v>
      </c>
      <c r="J175" s="5" t="s">
        <v>56</v>
      </c>
      <c r="K175" s="6">
        <v>9</v>
      </c>
      <c r="L175" s="15">
        <v>99</v>
      </c>
      <c r="M175" s="15">
        <f t="shared" ca="1" si="16"/>
        <v>32</v>
      </c>
      <c r="N175" s="16">
        <f t="shared" ca="1" si="14"/>
        <v>67</v>
      </c>
      <c r="O175" s="18">
        <f t="shared" ca="1" si="13"/>
        <v>0.6767676767676768</v>
      </c>
      <c r="P175" s="19">
        <f t="shared" si="15"/>
        <v>11</v>
      </c>
      <c r="Q175" s="16" t="str">
        <f>IF(COUNTIF($B$2:B175,B175)=1,SUMIF($B$2:$B$1097,B175,$L$2:$L$1097),"")</f>
        <v/>
      </c>
    </row>
    <row r="176" spans="1:18" ht="12.75" x14ac:dyDescent="0.2">
      <c r="A176" s="3">
        <v>175</v>
      </c>
      <c r="B176" s="26">
        <v>44984</v>
      </c>
      <c r="C176" s="23" t="s">
        <v>20</v>
      </c>
      <c r="D176" s="4">
        <v>3</v>
      </c>
      <c r="E176" s="24" t="s">
        <v>9</v>
      </c>
      <c r="F176" s="5" t="s">
        <v>11</v>
      </c>
      <c r="G176" s="5" t="s">
        <v>11</v>
      </c>
      <c r="H176" s="5" t="s">
        <v>14</v>
      </c>
      <c r="I176" s="5" t="s">
        <v>16</v>
      </c>
      <c r="J176" s="5" t="s">
        <v>55</v>
      </c>
      <c r="K176" s="6">
        <v>5</v>
      </c>
      <c r="L176" s="15">
        <v>55</v>
      </c>
      <c r="M176" s="15">
        <f t="shared" ca="1" si="16"/>
        <v>14</v>
      </c>
      <c r="N176" s="16">
        <f t="shared" ca="1" si="14"/>
        <v>41</v>
      </c>
      <c r="O176" s="18">
        <f t="shared" ca="1" si="13"/>
        <v>0.74545454545454548</v>
      </c>
      <c r="P176" s="19">
        <f t="shared" si="15"/>
        <v>11</v>
      </c>
      <c r="Q176" s="16" t="str">
        <f>IF(COUNTIF($B$2:B176,B176)=1,SUMIF($B$2:$B$1097,B176,$L$2:$L$1097),"")</f>
        <v/>
      </c>
    </row>
    <row r="177" spans="1:18" ht="12.75" x14ac:dyDescent="0.2">
      <c r="A177" s="3">
        <v>176</v>
      </c>
      <c r="B177" s="26">
        <v>44984</v>
      </c>
      <c r="C177" s="23" t="s">
        <v>20</v>
      </c>
      <c r="D177" s="4">
        <v>3</v>
      </c>
      <c r="E177" s="24" t="s">
        <v>9</v>
      </c>
      <c r="F177" s="5" t="s">
        <v>11</v>
      </c>
      <c r="G177" s="5" t="s">
        <v>11</v>
      </c>
      <c r="H177" s="5" t="s">
        <v>14</v>
      </c>
      <c r="I177" s="5" t="s">
        <v>17</v>
      </c>
      <c r="J177" s="5" t="s">
        <v>53</v>
      </c>
      <c r="K177" s="6">
        <v>14</v>
      </c>
      <c r="L177" s="15">
        <v>154</v>
      </c>
      <c r="M177" s="15">
        <f t="shared" ca="1" si="16"/>
        <v>17</v>
      </c>
      <c r="N177" s="16">
        <f t="shared" ca="1" si="14"/>
        <v>137</v>
      </c>
      <c r="O177" s="18">
        <f t="shared" ca="1" si="13"/>
        <v>0.88961038961038963</v>
      </c>
      <c r="P177" s="19">
        <f t="shared" si="15"/>
        <v>11</v>
      </c>
      <c r="Q177" s="16" t="str">
        <f>IF(COUNTIF($B$2:B177,B177)=1,SUMIF($B$2:$B$1097,B177,$L$2:$L$1097),"")</f>
        <v/>
      </c>
    </row>
    <row r="178" spans="1:18" ht="12.75" x14ac:dyDescent="0.2">
      <c r="A178" s="3">
        <v>177</v>
      </c>
      <c r="B178" s="26">
        <v>44985</v>
      </c>
      <c r="C178" s="23" t="s">
        <v>20</v>
      </c>
      <c r="D178" s="4">
        <v>4</v>
      </c>
      <c r="E178" s="24" t="s">
        <v>9</v>
      </c>
      <c r="F178" s="5" t="s">
        <v>11</v>
      </c>
      <c r="G178" s="5" t="s">
        <v>11</v>
      </c>
      <c r="H178" s="5" t="s">
        <v>14</v>
      </c>
      <c r="I178" s="5" t="s">
        <v>13</v>
      </c>
      <c r="J178" s="5" t="s">
        <v>52</v>
      </c>
      <c r="K178" s="6">
        <v>18</v>
      </c>
      <c r="L178" s="15">
        <v>198</v>
      </c>
      <c r="M178" s="15">
        <f t="shared" ca="1" si="16"/>
        <v>43</v>
      </c>
      <c r="N178" s="16">
        <f t="shared" ca="1" si="14"/>
        <v>155</v>
      </c>
      <c r="O178" s="18">
        <f t="shared" ca="1" si="13"/>
        <v>0.78282828282828287</v>
      </c>
      <c r="P178" s="19">
        <f t="shared" si="15"/>
        <v>11</v>
      </c>
      <c r="Q178" s="16">
        <f>IF(COUNTIF($B$2:B178,B178)=1,SUMIF($B$2:$B$1097,B178,$L$2:$L$1097),"")</f>
        <v>429</v>
      </c>
      <c r="R178" s="16">
        <f>AVERAGE(Q158:Q178)</f>
        <v>474.83333333333331</v>
      </c>
    </row>
    <row r="179" spans="1:18" ht="12.75" x14ac:dyDescent="0.2">
      <c r="A179" s="3">
        <v>178</v>
      </c>
      <c r="B179" s="26">
        <v>44985</v>
      </c>
      <c r="C179" s="23" t="s">
        <v>20</v>
      </c>
      <c r="D179" s="4">
        <v>4</v>
      </c>
      <c r="E179" s="24" t="s">
        <v>9</v>
      </c>
      <c r="F179" s="5" t="s">
        <v>11</v>
      </c>
      <c r="G179" s="5" t="s">
        <v>11</v>
      </c>
      <c r="H179" s="5" t="s">
        <v>14</v>
      </c>
      <c r="I179" s="5" t="s">
        <v>15</v>
      </c>
      <c r="J179" s="5" t="s">
        <v>54</v>
      </c>
      <c r="K179" s="6">
        <v>6</v>
      </c>
      <c r="L179" s="15">
        <v>66</v>
      </c>
      <c r="M179" s="15">
        <f t="shared" ca="1" si="16"/>
        <v>14</v>
      </c>
      <c r="N179" s="16">
        <f t="shared" ca="1" si="14"/>
        <v>52</v>
      </c>
      <c r="O179" s="18">
        <f t="shared" ca="1" si="13"/>
        <v>0.78787878787878785</v>
      </c>
      <c r="P179" s="19">
        <f t="shared" si="15"/>
        <v>11</v>
      </c>
      <c r="Q179" s="16" t="str">
        <f>IF(COUNTIF($B$2:B179,B179)=1,SUMIF($B$2:$B$1097,B179,$L$2:$L$1097),"")</f>
        <v/>
      </c>
    </row>
    <row r="180" spans="1:18" ht="12.75" x14ac:dyDescent="0.2">
      <c r="A180" s="3">
        <v>179</v>
      </c>
      <c r="B180" s="26">
        <v>44985</v>
      </c>
      <c r="C180" s="23" t="s">
        <v>20</v>
      </c>
      <c r="D180" s="4">
        <v>4</v>
      </c>
      <c r="E180" s="24" t="s">
        <v>9</v>
      </c>
      <c r="F180" s="5" t="s">
        <v>11</v>
      </c>
      <c r="G180" s="5" t="s">
        <v>11</v>
      </c>
      <c r="H180" s="5" t="s">
        <v>14</v>
      </c>
      <c r="I180" s="5" t="s">
        <v>16</v>
      </c>
      <c r="J180" s="5" t="s">
        <v>54</v>
      </c>
      <c r="K180" s="6">
        <v>5</v>
      </c>
      <c r="L180" s="15">
        <v>55</v>
      </c>
      <c r="M180" s="15">
        <f t="shared" ca="1" si="16"/>
        <v>43</v>
      </c>
      <c r="N180" s="16">
        <f t="shared" ca="1" si="14"/>
        <v>12</v>
      </c>
      <c r="O180" s="18">
        <f t="shared" ca="1" si="13"/>
        <v>0.21818181818181817</v>
      </c>
      <c r="P180" s="19">
        <f t="shared" si="15"/>
        <v>11</v>
      </c>
      <c r="Q180" s="16" t="str">
        <f>IF(COUNTIF($B$2:B180,B180)=1,SUMIF($B$2:$B$1097,B180,$L$2:$L$1097),"")</f>
        <v/>
      </c>
    </row>
    <row r="181" spans="1:18" ht="12.75" x14ac:dyDescent="0.2">
      <c r="A181" s="3">
        <v>180</v>
      </c>
      <c r="B181" s="26">
        <v>44985</v>
      </c>
      <c r="C181" s="23" t="s">
        <v>20</v>
      </c>
      <c r="D181" s="4">
        <v>4</v>
      </c>
      <c r="E181" s="24" t="s">
        <v>9</v>
      </c>
      <c r="F181" s="5" t="s">
        <v>11</v>
      </c>
      <c r="G181" s="5" t="s">
        <v>11</v>
      </c>
      <c r="H181" s="5" t="s">
        <v>14</v>
      </c>
      <c r="I181" s="5" t="s">
        <v>17</v>
      </c>
      <c r="J181" s="5" t="s">
        <v>54</v>
      </c>
      <c r="K181" s="6">
        <v>10</v>
      </c>
      <c r="L181" s="15">
        <v>110</v>
      </c>
      <c r="M181" s="15">
        <f t="shared" ca="1" si="16"/>
        <v>7</v>
      </c>
      <c r="N181" s="16">
        <f t="shared" ca="1" si="14"/>
        <v>103</v>
      </c>
      <c r="O181" s="18">
        <f t="shared" ca="1" si="13"/>
        <v>0.9363636363636364</v>
      </c>
      <c r="P181" s="19">
        <f t="shared" si="15"/>
        <v>11</v>
      </c>
      <c r="Q181" s="16" t="str">
        <f>IF(COUNTIF($B$2:B181,B181)=1,SUMIF($B$2:$B$1097,B181,$L$2:$L$1097),"")</f>
        <v/>
      </c>
    </row>
    <row r="182" spans="1:18" ht="12.75" x14ac:dyDescent="0.2">
      <c r="A182" s="3">
        <v>181</v>
      </c>
      <c r="B182" s="26">
        <v>44986</v>
      </c>
      <c r="C182" s="23" t="s">
        <v>23</v>
      </c>
      <c r="D182" s="4">
        <v>5</v>
      </c>
      <c r="E182" s="24" t="s">
        <v>9</v>
      </c>
      <c r="F182" s="5" t="s">
        <v>11</v>
      </c>
      <c r="G182" s="5" t="s">
        <v>11</v>
      </c>
      <c r="H182" s="5" t="s">
        <v>14</v>
      </c>
      <c r="I182" s="5" t="s">
        <v>13</v>
      </c>
      <c r="J182" s="5" t="s">
        <v>56</v>
      </c>
      <c r="K182" s="6">
        <v>16</v>
      </c>
      <c r="L182" s="15">
        <v>176</v>
      </c>
      <c r="M182" s="15">
        <f t="shared" ca="1" si="16"/>
        <v>3</v>
      </c>
      <c r="N182" s="16">
        <f t="shared" ca="1" si="14"/>
        <v>173</v>
      </c>
      <c r="O182" s="18">
        <f t="shared" ca="1" si="13"/>
        <v>0.98295454545454541</v>
      </c>
      <c r="P182" s="19">
        <f t="shared" si="15"/>
        <v>11</v>
      </c>
      <c r="Q182" s="16">
        <f>IF(COUNTIF($B$2:B182,B182)=1,SUMIF($B$2:$B$1097,B182,$L$2:$L$1097),"")</f>
        <v>462</v>
      </c>
      <c r="R182" s="16">
        <f>AVERAGE(Q162:Q182)</f>
        <v>469.33333333333331</v>
      </c>
    </row>
    <row r="183" spans="1:18" ht="12.75" x14ac:dyDescent="0.2">
      <c r="A183" s="3">
        <v>182</v>
      </c>
      <c r="B183" s="26">
        <v>44986</v>
      </c>
      <c r="C183" s="23" t="s">
        <v>23</v>
      </c>
      <c r="D183" s="4">
        <v>5</v>
      </c>
      <c r="E183" s="24" t="s">
        <v>9</v>
      </c>
      <c r="F183" s="5" t="s">
        <v>11</v>
      </c>
      <c r="G183" s="5" t="s">
        <v>11</v>
      </c>
      <c r="H183" s="5" t="s">
        <v>14</v>
      </c>
      <c r="I183" s="5" t="s">
        <v>15</v>
      </c>
      <c r="J183" s="5" t="s">
        <v>56</v>
      </c>
      <c r="K183" s="6">
        <v>8</v>
      </c>
      <c r="L183" s="15">
        <v>88</v>
      </c>
      <c r="M183" s="15">
        <f t="shared" ca="1" si="16"/>
        <v>47</v>
      </c>
      <c r="N183" s="16">
        <f t="shared" ca="1" si="14"/>
        <v>41</v>
      </c>
      <c r="O183" s="18">
        <f t="shared" ca="1" si="13"/>
        <v>0.46590909090909088</v>
      </c>
      <c r="P183" s="19">
        <f t="shared" si="15"/>
        <v>11</v>
      </c>
      <c r="Q183" s="16" t="str">
        <f>IF(COUNTIF($B$2:B183,B183)=1,SUMIF($B$2:$B$1097,B183,$L$2:$L$1097),"")</f>
        <v/>
      </c>
    </row>
    <row r="184" spans="1:18" ht="12.75" x14ac:dyDescent="0.2">
      <c r="A184" s="3">
        <v>183</v>
      </c>
      <c r="B184" s="26">
        <v>44986</v>
      </c>
      <c r="C184" s="23" t="s">
        <v>23</v>
      </c>
      <c r="D184" s="4">
        <v>5</v>
      </c>
      <c r="E184" s="24" t="s">
        <v>9</v>
      </c>
      <c r="F184" s="5" t="s">
        <v>11</v>
      </c>
      <c r="G184" s="5" t="s">
        <v>11</v>
      </c>
      <c r="H184" s="5" t="s">
        <v>14</v>
      </c>
      <c r="I184" s="5" t="s">
        <v>16</v>
      </c>
      <c r="J184" s="5" t="s">
        <v>55</v>
      </c>
      <c r="K184" s="6">
        <v>5</v>
      </c>
      <c r="L184" s="15">
        <v>55</v>
      </c>
      <c r="M184" s="15">
        <f t="shared" ca="1" si="16"/>
        <v>13</v>
      </c>
      <c r="N184" s="16">
        <f t="shared" ca="1" si="14"/>
        <v>42</v>
      </c>
      <c r="O184" s="18">
        <f t="shared" ca="1" si="13"/>
        <v>0.76363636363636367</v>
      </c>
      <c r="P184" s="19">
        <f t="shared" si="15"/>
        <v>11</v>
      </c>
      <c r="Q184" s="16" t="str">
        <f>IF(COUNTIF($B$2:B184,B184)=1,SUMIF($B$2:$B$1097,B184,$L$2:$L$1097),"")</f>
        <v/>
      </c>
    </row>
    <row r="185" spans="1:18" ht="12.75" x14ac:dyDescent="0.2">
      <c r="A185" s="3">
        <v>184</v>
      </c>
      <c r="B185" s="26">
        <v>44986</v>
      </c>
      <c r="C185" s="23" t="s">
        <v>23</v>
      </c>
      <c r="D185" s="4">
        <v>5</v>
      </c>
      <c r="E185" s="24" t="s">
        <v>9</v>
      </c>
      <c r="F185" s="5" t="s">
        <v>11</v>
      </c>
      <c r="G185" s="5" t="s">
        <v>11</v>
      </c>
      <c r="H185" s="5" t="s">
        <v>14</v>
      </c>
      <c r="I185" s="5" t="s">
        <v>17</v>
      </c>
      <c r="J185" s="5" t="s">
        <v>53</v>
      </c>
      <c r="K185" s="6">
        <v>13</v>
      </c>
      <c r="L185" s="15">
        <v>143</v>
      </c>
      <c r="M185" s="15">
        <f t="shared" ca="1" si="16"/>
        <v>1</v>
      </c>
      <c r="N185" s="16">
        <f t="shared" ca="1" si="14"/>
        <v>142</v>
      </c>
      <c r="O185" s="18">
        <f t="shared" ca="1" si="13"/>
        <v>0.99300699300699302</v>
      </c>
      <c r="P185" s="19">
        <f t="shared" si="15"/>
        <v>11</v>
      </c>
      <c r="Q185" s="16" t="str">
        <f>IF(COUNTIF($B$2:B185,B185)=1,SUMIF($B$2:$B$1097,B185,$L$2:$L$1097),"")</f>
        <v/>
      </c>
    </row>
    <row r="186" spans="1:18" ht="12.75" x14ac:dyDescent="0.2">
      <c r="A186" s="3">
        <v>185</v>
      </c>
      <c r="B186" s="26">
        <v>44987</v>
      </c>
      <c r="C186" s="23" t="s">
        <v>23</v>
      </c>
      <c r="D186" s="4">
        <v>6</v>
      </c>
      <c r="E186" s="24" t="s">
        <v>9</v>
      </c>
      <c r="F186" s="5" t="s">
        <v>11</v>
      </c>
      <c r="G186" s="5" t="s">
        <v>11</v>
      </c>
      <c r="H186" s="5" t="s">
        <v>14</v>
      </c>
      <c r="I186" s="5" t="s">
        <v>13</v>
      </c>
      <c r="J186" s="5" t="s">
        <v>52</v>
      </c>
      <c r="K186" s="6">
        <v>24</v>
      </c>
      <c r="L186" s="15">
        <v>264</v>
      </c>
      <c r="M186" s="15">
        <f t="shared" ca="1" si="16"/>
        <v>20</v>
      </c>
      <c r="N186" s="16">
        <f t="shared" ca="1" si="14"/>
        <v>244</v>
      </c>
      <c r="O186" s="18">
        <f t="shared" ca="1" si="13"/>
        <v>0.9242424242424242</v>
      </c>
      <c r="P186" s="19">
        <f t="shared" si="15"/>
        <v>11</v>
      </c>
      <c r="Q186" s="16">
        <f>IF(COUNTIF($B$2:B186,B186)=1,SUMIF($B$2:$B$1097,B186,$L$2:$L$1097),"")</f>
        <v>682</v>
      </c>
      <c r="R186" s="16">
        <f>AVERAGE(Q166:Q186)</f>
        <v>474.83333333333331</v>
      </c>
    </row>
    <row r="187" spans="1:18" ht="12.75" x14ac:dyDescent="0.2">
      <c r="A187" s="3">
        <v>186</v>
      </c>
      <c r="B187" s="26">
        <v>44987</v>
      </c>
      <c r="C187" s="23" t="s">
        <v>23</v>
      </c>
      <c r="D187" s="4">
        <v>6</v>
      </c>
      <c r="E187" s="24" t="s">
        <v>9</v>
      </c>
      <c r="F187" s="5" t="s">
        <v>11</v>
      </c>
      <c r="G187" s="5" t="s">
        <v>11</v>
      </c>
      <c r="H187" s="5" t="s">
        <v>14</v>
      </c>
      <c r="I187" s="5" t="s">
        <v>15</v>
      </c>
      <c r="J187" s="5" t="s">
        <v>55</v>
      </c>
      <c r="K187" s="6">
        <v>10</v>
      </c>
      <c r="L187" s="15">
        <v>110</v>
      </c>
      <c r="M187" s="15">
        <f t="shared" ca="1" si="16"/>
        <v>28</v>
      </c>
      <c r="N187" s="16">
        <f t="shared" ca="1" si="14"/>
        <v>82</v>
      </c>
      <c r="O187" s="18">
        <f t="shared" ca="1" si="13"/>
        <v>0.74545454545454548</v>
      </c>
      <c r="P187" s="19">
        <f t="shared" si="15"/>
        <v>11</v>
      </c>
      <c r="Q187" s="16" t="str">
        <f>IF(COUNTIF($B$2:B187,B187)=1,SUMIF($B$2:$B$1097,B187,$L$2:$L$1097),"")</f>
        <v/>
      </c>
    </row>
    <row r="188" spans="1:18" ht="12.75" x14ac:dyDescent="0.2">
      <c r="A188" s="3">
        <v>187</v>
      </c>
      <c r="B188" s="26">
        <v>44987</v>
      </c>
      <c r="C188" s="23" t="s">
        <v>23</v>
      </c>
      <c r="D188" s="4">
        <v>6</v>
      </c>
      <c r="E188" s="24" t="s">
        <v>9</v>
      </c>
      <c r="F188" s="5" t="s">
        <v>11</v>
      </c>
      <c r="G188" s="5" t="s">
        <v>11</v>
      </c>
      <c r="H188" s="5" t="s">
        <v>14</v>
      </c>
      <c r="I188" s="5" t="s">
        <v>16</v>
      </c>
      <c r="J188" s="5" t="s">
        <v>55</v>
      </c>
      <c r="K188" s="6">
        <v>10</v>
      </c>
      <c r="L188" s="15">
        <v>110</v>
      </c>
      <c r="M188" s="15">
        <f t="shared" ca="1" si="16"/>
        <v>15</v>
      </c>
      <c r="N188" s="16">
        <f t="shared" ca="1" si="14"/>
        <v>95</v>
      </c>
      <c r="O188" s="18">
        <f t="shared" ca="1" si="13"/>
        <v>0.86363636363636365</v>
      </c>
      <c r="P188" s="19">
        <f t="shared" si="15"/>
        <v>11</v>
      </c>
      <c r="Q188" s="16" t="str">
        <f>IF(COUNTIF($B$2:B188,B188)=1,SUMIF($B$2:$B$1097,B188,$L$2:$L$1097),"")</f>
        <v/>
      </c>
    </row>
    <row r="189" spans="1:18" ht="12.75" x14ac:dyDescent="0.2">
      <c r="A189" s="3">
        <v>188</v>
      </c>
      <c r="B189" s="26">
        <v>44987</v>
      </c>
      <c r="C189" s="23" t="s">
        <v>23</v>
      </c>
      <c r="D189" s="4">
        <v>6</v>
      </c>
      <c r="E189" s="24" t="s">
        <v>9</v>
      </c>
      <c r="F189" s="5" t="s">
        <v>11</v>
      </c>
      <c r="G189" s="5" t="s">
        <v>11</v>
      </c>
      <c r="H189" s="5" t="s">
        <v>14</v>
      </c>
      <c r="I189" s="5" t="s">
        <v>17</v>
      </c>
      <c r="J189" s="5" t="s">
        <v>53</v>
      </c>
      <c r="K189" s="6">
        <v>18</v>
      </c>
      <c r="L189" s="15">
        <v>198</v>
      </c>
      <c r="M189" s="15">
        <f t="shared" ca="1" si="16"/>
        <v>33</v>
      </c>
      <c r="N189" s="16">
        <f t="shared" ca="1" si="14"/>
        <v>165</v>
      </c>
      <c r="O189" s="18">
        <f t="shared" ca="1" si="13"/>
        <v>0.83333333333333337</v>
      </c>
      <c r="P189" s="19">
        <f t="shared" si="15"/>
        <v>11</v>
      </c>
      <c r="Q189" s="16" t="str">
        <f>IF(COUNTIF($B$2:B189,B189)=1,SUMIF($B$2:$B$1097,B189,$L$2:$L$1097),"")</f>
        <v/>
      </c>
    </row>
    <row r="190" spans="1:18" ht="12.75" x14ac:dyDescent="0.2">
      <c r="A190" s="3">
        <v>189</v>
      </c>
      <c r="B190" s="26">
        <v>44988</v>
      </c>
      <c r="C190" s="23" t="s">
        <v>23</v>
      </c>
      <c r="D190" s="4">
        <v>7</v>
      </c>
      <c r="E190" s="24" t="s">
        <v>9</v>
      </c>
      <c r="F190" s="5" t="s">
        <v>11</v>
      </c>
      <c r="G190" s="5" t="s">
        <v>11</v>
      </c>
      <c r="H190" s="5" t="s">
        <v>14</v>
      </c>
      <c r="I190" s="5" t="s">
        <v>13</v>
      </c>
      <c r="J190" s="5" t="s">
        <v>56</v>
      </c>
      <c r="K190" s="6">
        <v>18</v>
      </c>
      <c r="L190" s="15">
        <v>198</v>
      </c>
      <c r="M190" s="15">
        <f t="shared" ca="1" si="16"/>
        <v>8</v>
      </c>
      <c r="N190" s="16">
        <f t="shared" ca="1" si="14"/>
        <v>190</v>
      </c>
      <c r="O190" s="18">
        <f t="shared" ca="1" si="13"/>
        <v>0.95959595959595956</v>
      </c>
      <c r="P190" s="19">
        <f t="shared" si="15"/>
        <v>11</v>
      </c>
      <c r="Q190" s="16">
        <f>IF(COUNTIF($B$2:B190,B190)=1,SUMIF($B$2:$B$1097,B190,$L$2:$L$1097),"")</f>
        <v>198</v>
      </c>
      <c r="R190" s="16">
        <f t="shared" ref="R190:R191" si="19">AVERAGE(Q170:Q190)</f>
        <v>474.83333333333331</v>
      </c>
    </row>
    <row r="191" spans="1:18" ht="12.75" x14ac:dyDescent="0.2">
      <c r="A191" s="3">
        <v>190</v>
      </c>
      <c r="B191" s="26">
        <v>44990</v>
      </c>
      <c r="C191" s="23" t="s">
        <v>23</v>
      </c>
      <c r="D191" s="4">
        <v>2</v>
      </c>
      <c r="E191" s="24" t="s">
        <v>9</v>
      </c>
      <c r="F191" s="5" t="s">
        <v>11</v>
      </c>
      <c r="G191" s="5" t="s">
        <v>11</v>
      </c>
      <c r="H191" s="5" t="s">
        <v>14</v>
      </c>
      <c r="I191" s="5" t="s">
        <v>13</v>
      </c>
      <c r="J191" s="5" t="s">
        <v>52</v>
      </c>
      <c r="K191" s="6">
        <v>22</v>
      </c>
      <c r="L191" s="15">
        <v>242</v>
      </c>
      <c r="M191" s="15">
        <f t="shared" ca="1" si="16"/>
        <v>35</v>
      </c>
      <c r="N191" s="16">
        <f t="shared" ca="1" si="14"/>
        <v>207</v>
      </c>
      <c r="O191" s="18">
        <f t="shared" ca="1" si="13"/>
        <v>0.85537190082644632</v>
      </c>
      <c r="P191" s="19">
        <f t="shared" si="15"/>
        <v>11</v>
      </c>
      <c r="Q191" s="16">
        <f>IF(COUNTIF($B$2:B191,B191)=1,SUMIF($B$2:$B$1097,B191,$L$2:$L$1097),"")</f>
        <v>649</v>
      </c>
      <c r="R191" s="16">
        <f t="shared" si="19"/>
        <v>484</v>
      </c>
    </row>
    <row r="192" spans="1:18" ht="12.75" x14ac:dyDescent="0.2">
      <c r="A192" s="3">
        <v>191</v>
      </c>
      <c r="B192" s="26">
        <v>44990</v>
      </c>
      <c r="C192" s="23" t="s">
        <v>23</v>
      </c>
      <c r="D192" s="4">
        <v>2</v>
      </c>
      <c r="E192" s="24" t="s">
        <v>9</v>
      </c>
      <c r="F192" s="5" t="s">
        <v>11</v>
      </c>
      <c r="G192" s="5" t="s">
        <v>11</v>
      </c>
      <c r="H192" s="5" t="s">
        <v>14</v>
      </c>
      <c r="I192" s="5" t="s">
        <v>15</v>
      </c>
      <c r="J192" s="5" t="s">
        <v>54</v>
      </c>
      <c r="K192" s="6">
        <v>11</v>
      </c>
      <c r="L192" s="15">
        <v>121</v>
      </c>
      <c r="M192" s="15">
        <f t="shared" ca="1" si="16"/>
        <v>40</v>
      </c>
      <c r="N192" s="16">
        <f t="shared" ca="1" si="14"/>
        <v>81</v>
      </c>
      <c r="O192" s="18">
        <f t="shared" ca="1" si="13"/>
        <v>0.66942148760330578</v>
      </c>
      <c r="P192" s="19">
        <f t="shared" si="15"/>
        <v>11</v>
      </c>
      <c r="Q192" s="16" t="str">
        <f>IF(COUNTIF($B$2:B192,B192)=1,SUMIF($B$2:$B$1097,B192,$L$2:$L$1097),"")</f>
        <v/>
      </c>
    </row>
    <row r="193" spans="1:18" ht="12.75" x14ac:dyDescent="0.2">
      <c r="A193" s="3">
        <v>192</v>
      </c>
      <c r="B193" s="26">
        <v>44990</v>
      </c>
      <c r="C193" s="23" t="s">
        <v>23</v>
      </c>
      <c r="D193" s="4">
        <v>2</v>
      </c>
      <c r="E193" s="24" t="s">
        <v>9</v>
      </c>
      <c r="F193" s="5" t="s">
        <v>11</v>
      </c>
      <c r="G193" s="5" t="s">
        <v>11</v>
      </c>
      <c r="H193" s="5" t="s">
        <v>14</v>
      </c>
      <c r="I193" s="5" t="s">
        <v>16</v>
      </c>
      <c r="J193" s="5" t="s">
        <v>54</v>
      </c>
      <c r="K193" s="6">
        <v>10</v>
      </c>
      <c r="L193" s="15">
        <v>110</v>
      </c>
      <c r="M193" s="15">
        <f t="shared" ca="1" si="16"/>
        <v>34</v>
      </c>
      <c r="N193" s="16">
        <f t="shared" ca="1" si="14"/>
        <v>76</v>
      </c>
      <c r="O193" s="18">
        <f t="shared" ca="1" si="13"/>
        <v>0.69090909090909092</v>
      </c>
      <c r="P193" s="19">
        <f t="shared" si="15"/>
        <v>11</v>
      </c>
      <c r="Q193" s="16" t="str">
        <f>IF(COUNTIF($B$2:B193,B193)=1,SUMIF($B$2:$B$1097,B193,$L$2:$L$1097),"")</f>
        <v/>
      </c>
    </row>
    <row r="194" spans="1:18" ht="12.75" x14ac:dyDescent="0.2">
      <c r="A194" s="3">
        <v>193</v>
      </c>
      <c r="B194" s="26">
        <v>44990</v>
      </c>
      <c r="C194" s="23" t="s">
        <v>23</v>
      </c>
      <c r="D194" s="4">
        <v>2</v>
      </c>
      <c r="E194" s="24" t="s">
        <v>9</v>
      </c>
      <c r="F194" s="5" t="s">
        <v>11</v>
      </c>
      <c r="G194" s="5" t="s">
        <v>11</v>
      </c>
      <c r="H194" s="5" t="s">
        <v>14</v>
      </c>
      <c r="I194" s="5" t="s">
        <v>17</v>
      </c>
      <c r="J194" s="5" t="s">
        <v>54</v>
      </c>
      <c r="K194" s="6">
        <v>16</v>
      </c>
      <c r="L194" s="15">
        <v>176</v>
      </c>
      <c r="M194" s="15">
        <f t="shared" ca="1" si="16"/>
        <v>42</v>
      </c>
      <c r="N194" s="16">
        <f t="shared" ca="1" si="14"/>
        <v>134</v>
      </c>
      <c r="O194" s="18">
        <f t="shared" ref="O194:O257" ca="1" si="20">IF(L194=0, 0, N194/L194)</f>
        <v>0.76136363636363635</v>
      </c>
      <c r="P194" s="19">
        <f t="shared" si="15"/>
        <v>11</v>
      </c>
      <c r="Q194" s="16" t="str">
        <f>IF(COUNTIF($B$2:B194,B194)=1,SUMIF($B$2:$B$1097,B194,$L$2:$L$1097),"")</f>
        <v/>
      </c>
    </row>
    <row r="195" spans="1:18" ht="12.75" x14ac:dyDescent="0.2">
      <c r="A195" s="3">
        <v>194</v>
      </c>
      <c r="B195" s="26">
        <v>44991</v>
      </c>
      <c r="C195" s="23" t="s">
        <v>23</v>
      </c>
      <c r="D195" s="4">
        <v>3</v>
      </c>
      <c r="E195" s="24" t="s">
        <v>9</v>
      </c>
      <c r="F195" s="5" t="s">
        <v>11</v>
      </c>
      <c r="G195" s="5" t="s">
        <v>11</v>
      </c>
      <c r="H195" s="5" t="s">
        <v>14</v>
      </c>
      <c r="I195" s="5" t="s">
        <v>13</v>
      </c>
      <c r="J195" s="5" t="s">
        <v>56</v>
      </c>
      <c r="K195" s="6">
        <v>17</v>
      </c>
      <c r="L195" s="15">
        <v>187</v>
      </c>
      <c r="M195" s="15">
        <f t="shared" ca="1" si="16"/>
        <v>18</v>
      </c>
      <c r="N195" s="16">
        <f t="shared" ref="N195:N258" ca="1" si="21">L195-M195</f>
        <v>169</v>
      </c>
      <c r="O195" s="18">
        <f t="shared" ca="1" si="20"/>
        <v>0.90374331550802134</v>
      </c>
      <c r="P195" s="19">
        <f t="shared" ref="P195:P258" si="22">IF(K195=0, 0, L195/K195)</f>
        <v>11</v>
      </c>
      <c r="Q195" s="16">
        <f>IF(COUNTIF($B$2:B195,B195)=1,SUMIF($B$2:$B$1097,B195,$L$2:$L$1097),"")</f>
        <v>506</v>
      </c>
      <c r="R195" s="16">
        <f>AVERAGE(Q175:Q195)</f>
        <v>487.66666666666669</v>
      </c>
    </row>
    <row r="196" spans="1:18" ht="12.75" x14ac:dyDescent="0.2">
      <c r="A196" s="3">
        <v>195</v>
      </c>
      <c r="B196" s="26">
        <v>44991</v>
      </c>
      <c r="C196" s="23" t="s">
        <v>23</v>
      </c>
      <c r="D196" s="4">
        <v>3</v>
      </c>
      <c r="E196" s="24" t="s">
        <v>9</v>
      </c>
      <c r="F196" s="5" t="s">
        <v>11</v>
      </c>
      <c r="G196" s="5" t="s">
        <v>11</v>
      </c>
      <c r="H196" s="5" t="s">
        <v>14</v>
      </c>
      <c r="I196" s="5" t="s">
        <v>15</v>
      </c>
      <c r="J196" s="5" t="s">
        <v>56</v>
      </c>
      <c r="K196" s="6">
        <v>10</v>
      </c>
      <c r="L196" s="15">
        <v>110</v>
      </c>
      <c r="M196" s="15">
        <f t="shared" ca="1" si="16"/>
        <v>27</v>
      </c>
      <c r="N196" s="16">
        <f t="shared" ca="1" si="21"/>
        <v>83</v>
      </c>
      <c r="O196" s="18">
        <f t="shared" ca="1" si="20"/>
        <v>0.75454545454545452</v>
      </c>
      <c r="P196" s="19">
        <f t="shared" si="22"/>
        <v>11</v>
      </c>
      <c r="Q196" s="16" t="str">
        <f>IF(COUNTIF($B$2:B196,B196)=1,SUMIF($B$2:$B$1097,B196,$L$2:$L$1097),"")</f>
        <v/>
      </c>
    </row>
    <row r="197" spans="1:18" ht="12.75" x14ac:dyDescent="0.2">
      <c r="A197" s="3">
        <v>196</v>
      </c>
      <c r="B197" s="26">
        <v>44991</v>
      </c>
      <c r="C197" s="23" t="s">
        <v>23</v>
      </c>
      <c r="D197" s="4">
        <v>3</v>
      </c>
      <c r="E197" s="24" t="s">
        <v>9</v>
      </c>
      <c r="F197" s="5" t="s">
        <v>11</v>
      </c>
      <c r="G197" s="5" t="s">
        <v>11</v>
      </c>
      <c r="H197" s="5" t="s">
        <v>14</v>
      </c>
      <c r="I197" s="5" t="s">
        <v>16</v>
      </c>
      <c r="J197" s="5" t="s">
        <v>55</v>
      </c>
      <c r="K197" s="6">
        <v>5</v>
      </c>
      <c r="L197" s="15">
        <v>55</v>
      </c>
      <c r="M197" s="15">
        <f t="shared" ca="1" si="16"/>
        <v>17</v>
      </c>
      <c r="N197" s="16">
        <f t="shared" ca="1" si="21"/>
        <v>38</v>
      </c>
      <c r="O197" s="18">
        <f t="shared" ca="1" si="20"/>
        <v>0.69090909090909092</v>
      </c>
      <c r="P197" s="19">
        <f t="shared" si="22"/>
        <v>11</v>
      </c>
      <c r="Q197" s="16" t="str">
        <f>IF(COUNTIF($B$2:B197,B197)=1,SUMIF($B$2:$B$1097,B197,$L$2:$L$1097),"")</f>
        <v/>
      </c>
    </row>
    <row r="198" spans="1:18" ht="12.75" x14ac:dyDescent="0.2">
      <c r="A198" s="3">
        <v>197</v>
      </c>
      <c r="B198" s="26">
        <v>44991</v>
      </c>
      <c r="C198" s="23" t="s">
        <v>23</v>
      </c>
      <c r="D198" s="4">
        <v>3</v>
      </c>
      <c r="E198" s="24" t="s">
        <v>9</v>
      </c>
      <c r="F198" s="5" t="s">
        <v>11</v>
      </c>
      <c r="G198" s="5" t="s">
        <v>11</v>
      </c>
      <c r="H198" s="5" t="s">
        <v>14</v>
      </c>
      <c r="I198" s="5" t="s">
        <v>17</v>
      </c>
      <c r="J198" s="5" t="s">
        <v>53</v>
      </c>
      <c r="K198" s="6">
        <v>14</v>
      </c>
      <c r="L198" s="15">
        <v>154</v>
      </c>
      <c r="M198" s="15">
        <f t="shared" ca="1" si="16"/>
        <v>35</v>
      </c>
      <c r="N198" s="16">
        <f t="shared" ca="1" si="21"/>
        <v>119</v>
      </c>
      <c r="O198" s="18">
        <f t="shared" ca="1" si="20"/>
        <v>0.77272727272727271</v>
      </c>
      <c r="P198" s="19">
        <f t="shared" si="22"/>
        <v>11</v>
      </c>
      <c r="Q198" s="16" t="str">
        <f>IF(COUNTIF($B$2:B198,B198)=1,SUMIF($B$2:$B$1097,B198,$L$2:$L$1097),"")</f>
        <v/>
      </c>
    </row>
    <row r="199" spans="1:18" ht="12.75" x14ac:dyDescent="0.2">
      <c r="A199" s="3">
        <v>198</v>
      </c>
      <c r="B199" s="26">
        <v>44992</v>
      </c>
      <c r="C199" s="23" t="s">
        <v>23</v>
      </c>
      <c r="D199" s="4">
        <v>4</v>
      </c>
      <c r="E199" s="24" t="s">
        <v>9</v>
      </c>
      <c r="F199" s="5" t="s">
        <v>11</v>
      </c>
      <c r="G199" s="5" t="s">
        <v>11</v>
      </c>
      <c r="H199" s="5" t="s">
        <v>14</v>
      </c>
      <c r="I199" s="5" t="s">
        <v>13</v>
      </c>
      <c r="J199" s="5" t="s">
        <v>52</v>
      </c>
      <c r="K199" s="6">
        <v>16</v>
      </c>
      <c r="L199" s="15">
        <v>176</v>
      </c>
      <c r="M199" s="15">
        <f t="shared" ca="1" si="16"/>
        <v>45</v>
      </c>
      <c r="N199" s="16">
        <f t="shared" ca="1" si="21"/>
        <v>131</v>
      </c>
      <c r="O199" s="18">
        <f t="shared" ca="1" si="20"/>
        <v>0.74431818181818177</v>
      </c>
      <c r="P199" s="19">
        <f t="shared" si="22"/>
        <v>11</v>
      </c>
      <c r="Q199" s="16">
        <f>IF(COUNTIF($B$2:B199,B199)=1,SUMIF($B$2:$B$1097,B199,$L$2:$L$1097),"")</f>
        <v>407</v>
      </c>
      <c r="R199" s="16">
        <f>AVERAGE(Q179:Q199)</f>
        <v>484</v>
      </c>
    </row>
    <row r="200" spans="1:18" ht="12.75" x14ac:dyDescent="0.2">
      <c r="A200" s="3">
        <v>199</v>
      </c>
      <c r="B200" s="26">
        <v>44992</v>
      </c>
      <c r="C200" s="23" t="s">
        <v>23</v>
      </c>
      <c r="D200" s="4">
        <v>4</v>
      </c>
      <c r="E200" s="24" t="s">
        <v>9</v>
      </c>
      <c r="F200" s="5" t="s">
        <v>11</v>
      </c>
      <c r="G200" s="5" t="s">
        <v>11</v>
      </c>
      <c r="H200" s="5" t="s">
        <v>14</v>
      </c>
      <c r="I200" s="5" t="s">
        <v>15</v>
      </c>
      <c r="J200" s="5" t="s">
        <v>54</v>
      </c>
      <c r="K200" s="6">
        <v>6</v>
      </c>
      <c r="L200" s="15">
        <v>66</v>
      </c>
      <c r="M200" s="15">
        <f t="shared" ca="1" si="16"/>
        <v>18</v>
      </c>
      <c r="N200" s="16">
        <f t="shared" ca="1" si="21"/>
        <v>48</v>
      </c>
      <c r="O200" s="18">
        <f t="shared" ca="1" si="20"/>
        <v>0.72727272727272729</v>
      </c>
      <c r="P200" s="19">
        <f t="shared" si="22"/>
        <v>11</v>
      </c>
      <c r="Q200" s="16" t="str">
        <f>IF(COUNTIF($B$2:B200,B200)=1,SUMIF($B$2:$B$1097,B200,$L$2:$L$1097),"")</f>
        <v/>
      </c>
    </row>
    <row r="201" spans="1:18" ht="12.75" x14ac:dyDescent="0.2">
      <c r="A201" s="3">
        <v>200</v>
      </c>
      <c r="B201" s="26">
        <v>44992</v>
      </c>
      <c r="C201" s="23" t="s">
        <v>23</v>
      </c>
      <c r="D201" s="4">
        <v>4</v>
      </c>
      <c r="E201" s="24" t="s">
        <v>9</v>
      </c>
      <c r="F201" s="5" t="s">
        <v>11</v>
      </c>
      <c r="G201" s="5" t="s">
        <v>11</v>
      </c>
      <c r="H201" s="5" t="s">
        <v>14</v>
      </c>
      <c r="I201" s="5" t="s">
        <v>16</v>
      </c>
      <c r="J201" s="5" t="s">
        <v>54</v>
      </c>
      <c r="K201" s="6">
        <v>5</v>
      </c>
      <c r="L201" s="15">
        <v>55</v>
      </c>
      <c r="M201" s="15">
        <f t="shared" ref="M201:M264" ca="1" si="23">RANDBETWEEN(1,50)</f>
        <v>4</v>
      </c>
      <c r="N201" s="16">
        <f t="shared" ca="1" si="21"/>
        <v>51</v>
      </c>
      <c r="O201" s="18">
        <f t="shared" ca="1" si="20"/>
        <v>0.92727272727272725</v>
      </c>
      <c r="P201" s="19">
        <f t="shared" si="22"/>
        <v>11</v>
      </c>
      <c r="Q201" s="16" t="str">
        <f>IF(COUNTIF($B$2:B201,B201)=1,SUMIF($B$2:$B$1097,B201,$L$2:$L$1097),"")</f>
        <v/>
      </c>
    </row>
    <row r="202" spans="1:18" ht="12.75" x14ac:dyDescent="0.2">
      <c r="A202" s="3">
        <v>201</v>
      </c>
      <c r="B202" s="26">
        <v>44992</v>
      </c>
      <c r="C202" s="23" t="s">
        <v>23</v>
      </c>
      <c r="D202" s="4">
        <v>4</v>
      </c>
      <c r="E202" s="24" t="s">
        <v>9</v>
      </c>
      <c r="F202" s="5" t="s">
        <v>11</v>
      </c>
      <c r="G202" s="5" t="s">
        <v>11</v>
      </c>
      <c r="H202" s="5" t="s">
        <v>14</v>
      </c>
      <c r="I202" s="5" t="s">
        <v>17</v>
      </c>
      <c r="J202" s="5" t="s">
        <v>54</v>
      </c>
      <c r="K202" s="6">
        <v>10</v>
      </c>
      <c r="L202" s="15">
        <v>110</v>
      </c>
      <c r="M202" s="15">
        <f t="shared" ca="1" si="23"/>
        <v>50</v>
      </c>
      <c r="N202" s="16">
        <f t="shared" ca="1" si="21"/>
        <v>60</v>
      </c>
      <c r="O202" s="18">
        <f t="shared" ca="1" si="20"/>
        <v>0.54545454545454541</v>
      </c>
      <c r="P202" s="19">
        <f t="shared" si="22"/>
        <v>11</v>
      </c>
      <c r="Q202" s="16" t="str">
        <f>IF(COUNTIF($B$2:B202,B202)=1,SUMIF($B$2:$B$1097,B202,$L$2:$L$1097),"")</f>
        <v/>
      </c>
    </row>
    <row r="203" spans="1:18" ht="12.75" x14ac:dyDescent="0.2">
      <c r="A203" s="3">
        <v>202</v>
      </c>
      <c r="B203" s="26">
        <v>44993</v>
      </c>
      <c r="C203" s="23" t="s">
        <v>23</v>
      </c>
      <c r="D203" s="4">
        <v>5</v>
      </c>
      <c r="E203" s="24" t="s">
        <v>9</v>
      </c>
      <c r="F203" s="5" t="s">
        <v>11</v>
      </c>
      <c r="G203" s="5" t="s">
        <v>11</v>
      </c>
      <c r="H203" s="5" t="s">
        <v>14</v>
      </c>
      <c r="I203" s="5" t="s">
        <v>13</v>
      </c>
      <c r="J203" s="5" t="s">
        <v>56</v>
      </c>
      <c r="K203" s="6">
        <v>15</v>
      </c>
      <c r="L203" s="15">
        <v>165</v>
      </c>
      <c r="M203" s="15">
        <f t="shared" ca="1" si="23"/>
        <v>38</v>
      </c>
      <c r="N203" s="16">
        <f t="shared" ca="1" si="21"/>
        <v>127</v>
      </c>
      <c r="O203" s="18">
        <f t="shared" ca="1" si="20"/>
        <v>0.76969696969696966</v>
      </c>
      <c r="P203" s="19">
        <f t="shared" si="22"/>
        <v>11</v>
      </c>
      <c r="Q203" s="16">
        <f>IF(COUNTIF($B$2:B203,B203)=1,SUMIF($B$2:$B$1097,B203,$L$2:$L$1097),"")</f>
        <v>473</v>
      </c>
      <c r="R203" s="16">
        <f>AVERAGE(Q183:Q203)</f>
        <v>485.83333333333331</v>
      </c>
    </row>
    <row r="204" spans="1:18" ht="12.75" x14ac:dyDescent="0.2">
      <c r="A204" s="3">
        <v>203</v>
      </c>
      <c r="B204" s="26">
        <v>44993</v>
      </c>
      <c r="C204" s="23" t="s">
        <v>23</v>
      </c>
      <c r="D204" s="4">
        <v>5</v>
      </c>
      <c r="E204" s="24" t="s">
        <v>9</v>
      </c>
      <c r="F204" s="5" t="s">
        <v>11</v>
      </c>
      <c r="G204" s="5" t="s">
        <v>11</v>
      </c>
      <c r="H204" s="5" t="s">
        <v>14</v>
      </c>
      <c r="I204" s="5" t="s">
        <v>15</v>
      </c>
      <c r="J204" s="5" t="s">
        <v>56</v>
      </c>
      <c r="K204" s="6">
        <v>11</v>
      </c>
      <c r="L204" s="15">
        <v>121</v>
      </c>
      <c r="M204" s="15">
        <f t="shared" ca="1" si="23"/>
        <v>35</v>
      </c>
      <c r="N204" s="16">
        <f t="shared" ca="1" si="21"/>
        <v>86</v>
      </c>
      <c r="O204" s="18">
        <f t="shared" ca="1" si="20"/>
        <v>0.71074380165289253</v>
      </c>
      <c r="P204" s="19">
        <f t="shared" si="22"/>
        <v>11</v>
      </c>
      <c r="Q204" s="16" t="str">
        <f>IF(COUNTIF($B$2:B204,B204)=1,SUMIF($B$2:$B$1097,B204,$L$2:$L$1097),"")</f>
        <v/>
      </c>
    </row>
    <row r="205" spans="1:18" ht="12.75" x14ac:dyDescent="0.2">
      <c r="A205" s="3">
        <v>204</v>
      </c>
      <c r="B205" s="26">
        <v>44993</v>
      </c>
      <c r="C205" s="23" t="s">
        <v>23</v>
      </c>
      <c r="D205" s="4">
        <v>5</v>
      </c>
      <c r="E205" s="24" t="s">
        <v>9</v>
      </c>
      <c r="F205" s="5" t="s">
        <v>11</v>
      </c>
      <c r="G205" s="5" t="s">
        <v>11</v>
      </c>
      <c r="H205" s="5" t="s">
        <v>14</v>
      </c>
      <c r="I205" s="5" t="s">
        <v>16</v>
      </c>
      <c r="J205" s="5" t="s">
        <v>55</v>
      </c>
      <c r="K205" s="6">
        <v>5</v>
      </c>
      <c r="L205" s="15">
        <v>55</v>
      </c>
      <c r="M205" s="15">
        <f t="shared" ca="1" si="23"/>
        <v>36</v>
      </c>
      <c r="N205" s="16">
        <f t="shared" ca="1" si="21"/>
        <v>19</v>
      </c>
      <c r="O205" s="18">
        <f t="shared" ca="1" si="20"/>
        <v>0.34545454545454546</v>
      </c>
      <c r="P205" s="19">
        <f t="shared" si="22"/>
        <v>11</v>
      </c>
      <c r="Q205" s="16" t="str">
        <f>IF(COUNTIF($B$2:B205,B205)=1,SUMIF($B$2:$B$1097,B205,$L$2:$L$1097),"")</f>
        <v/>
      </c>
    </row>
    <row r="206" spans="1:18" ht="12.75" x14ac:dyDescent="0.2">
      <c r="A206" s="3">
        <v>205</v>
      </c>
      <c r="B206" s="26">
        <v>44993</v>
      </c>
      <c r="C206" s="23" t="s">
        <v>23</v>
      </c>
      <c r="D206" s="4">
        <v>5</v>
      </c>
      <c r="E206" s="24" t="s">
        <v>9</v>
      </c>
      <c r="F206" s="5" t="s">
        <v>11</v>
      </c>
      <c r="G206" s="5" t="s">
        <v>11</v>
      </c>
      <c r="H206" s="5" t="s">
        <v>14</v>
      </c>
      <c r="I206" s="5" t="s">
        <v>17</v>
      </c>
      <c r="J206" s="5" t="s">
        <v>53</v>
      </c>
      <c r="K206" s="6">
        <v>12</v>
      </c>
      <c r="L206" s="15">
        <v>132</v>
      </c>
      <c r="M206" s="15">
        <f t="shared" ca="1" si="23"/>
        <v>42</v>
      </c>
      <c r="N206" s="16">
        <f t="shared" ca="1" si="21"/>
        <v>90</v>
      </c>
      <c r="O206" s="18">
        <f t="shared" ca="1" si="20"/>
        <v>0.68181818181818177</v>
      </c>
      <c r="P206" s="19">
        <f t="shared" si="22"/>
        <v>11</v>
      </c>
      <c r="Q206" s="16" t="str">
        <f>IF(COUNTIF($B$2:B206,B206)=1,SUMIF($B$2:$B$1097,B206,$L$2:$L$1097),"")</f>
        <v/>
      </c>
    </row>
    <row r="207" spans="1:18" ht="12.75" x14ac:dyDescent="0.2">
      <c r="A207" s="3">
        <v>206</v>
      </c>
      <c r="B207" s="26">
        <v>44994</v>
      </c>
      <c r="C207" s="23" t="s">
        <v>23</v>
      </c>
      <c r="D207" s="4">
        <v>6</v>
      </c>
      <c r="E207" s="24" t="s">
        <v>9</v>
      </c>
      <c r="F207" s="5" t="s">
        <v>11</v>
      </c>
      <c r="G207" s="5" t="s">
        <v>11</v>
      </c>
      <c r="H207" s="5" t="s">
        <v>14</v>
      </c>
      <c r="I207" s="5" t="s">
        <v>13</v>
      </c>
      <c r="J207" s="5" t="s">
        <v>52</v>
      </c>
      <c r="K207" s="6">
        <v>20</v>
      </c>
      <c r="L207" s="15">
        <v>220</v>
      </c>
      <c r="M207" s="15">
        <f t="shared" ca="1" si="23"/>
        <v>33</v>
      </c>
      <c r="N207" s="16">
        <f t="shared" ca="1" si="21"/>
        <v>187</v>
      </c>
      <c r="O207" s="18">
        <f t="shared" ca="1" si="20"/>
        <v>0.85</v>
      </c>
      <c r="P207" s="19">
        <f t="shared" si="22"/>
        <v>11</v>
      </c>
      <c r="Q207" s="16">
        <f>IF(COUNTIF($B$2:B207,B207)=1,SUMIF($B$2:$B$1097,B207,$L$2:$L$1097),"")</f>
        <v>627</v>
      </c>
      <c r="R207" s="16">
        <f>AVERAGE(Q187:Q207)</f>
        <v>476.66666666666669</v>
      </c>
    </row>
    <row r="208" spans="1:18" ht="12.75" x14ac:dyDescent="0.2">
      <c r="A208" s="3">
        <v>207</v>
      </c>
      <c r="B208" s="26">
        <v>44994</v>
      </c>
      <c r="C208" s="23" t="s">
        <v>23</v>
      </c>
      <c r="D208" s="4">
        <v>6</v>
      </c>
      <c r="E208" s="24" t="s">
        <v>9</v>
      </c>
      <c r="F208" s="5" t="s">
        <v>11</v>
      </c>
      <c r="G208" s="5" t="s">
        <v>11</v>
      </c>
      <c r="H208" s="5" t="s">
        <v>14</v>
      </c>
      <c r="I208" s="5" t="s">
        <v>15</v>
      </c>
      <c r="J208" s="5" t="s">
        <v>55</v>
      </c>
      <c r="K208" s="6">
        <v>11</v>
      </c>
      <c r="L208" s="15">
        <v>121</v>
      </c>
      <c r="M208" s="15">
        <f t="shared" ca="1" si="23"/>
        <v>21</v>
      </c>
      <c r="N208" s="16">
        <f t="shared" ca="1" si="21"/>
        <v>100</v>
      </c>
      <c r="O208" s="18">
        <f t="shared" ca="1" si="20"/>
        <v>0.82644628099173556</v>
      </c>
      <c r="P208" s="19">
        <f t="shared" si="22"/>
        <v>11</v>
      </c>
      <c r="Q208" s="16" t="str">
        <f>IF(COUNTIF($B$2:B208,B208)=1,SUMIF($B$2:$B$1097,B208,$L$2:$L$1097),"")</f>
        <v/>
      </c>
    </row>
    <row r="209" spans="1:18" ht="12.75" x14ac:dyDescent="0.2">
      <c r="A209" s="3">
        <v>208</v>
      </c>
      <c r="B209" s="26">
        <v>44994</v>
      </c>
      <c r="C209" s="23" t="s">
        <v>23</v>
      </c>
      <c r="D209" s="4">
        <v>6</v>
      </c>
      <c r="E209" s="24" t="s">
        <v>9</v>
      </c>
      <c r="F209" s="5" t="s">
        <v>11</v>
      </c>
      <c r="G209" s="5" t="s">
        <v>11</v>
      </c>
      <c r="H209" s="5" t="s">
        <v>14</v>
      </c>
      <c r="I209" s="5" t="s">
        <v>16</v>
      </c>
      <c r="J209" s="5" t="s">
        <v>55</v>
      </c>
      <c r="K209" s="6">
        <v>10</v>
      </c>
      <c r="L209" s="15">
        <v>110</v>
      </c>
      <c r="M209" s="15">
        <f t="shared" ca="1" si="23"/>
        <v>35</v>
      </c>
      <c r="N209" s="16">
        <f t="shared" ca="1" si="21"/>
        <v>75</v>
      </c>
      <c r="O209" s="18">
        <f t="shared" ca="1" si="20"/>
        <v>0.68181818181818177</v>
      </c>
      <c r="P209" s="19">
        <f t="shared" si="22"/>
        <v>11</v>
      </c>
      <c r="Q209" s="16" t="str">
        <f>IF(COUNTIF($B$2:B209,B209)=1,SUMIF($B$2:$B$1097,B209,$L$2:$L$1097),"")</f>
        <v/>
      </c>
    </row>
    <row r="210" spans="1:18" ht="12.75" x14ac:dyDescent="0.2">
      <c r="A210" s="3">
        <v>209</v>
      </c>
      <c r="B210" s="26">
        <v>44994</v>
      </c>
      <c r="C210" s="23" t="s">
        <v>23</v>
      </c>
      <c r="D210" s="4">
        <v>6</v>
      </c>
      <c r="E210" s="24" t="s">
        <v>9</v>
      </c>
      <c r="F210" s="5" t="s">
        <v>11</v>
      </c>
      <c r="G210" s="5" t="s">
        <v>11</v>
      </c>
      <c r="H210" s="5" t="s">
        <v>14</v>
      </c>
      <c r="I210" s="5" t="s">
        <v>17</v>
      </c>
      <c r="J210" s="5" t="s">
        <v>53</v>
      </c>
      <c r="K210" s="6">
        <v>16</v>
      </c>
      <c r="L210" s="15">
        <v>176</v>
      </c>
      <c r="M210" s="15">
        <f t="shared" ca="1" si="23"/>
        <v>50</v>
      </c>
      <c r="N210" s="16">
        <f t="shared" ca="1" si="21"/>
        <v>126</v>
      </c>
      <c r="O210" s="18">
        <f t="shared" ca="1" si="20"/>
        <v>0.71590909090909094</v>
      </c>
      <c r="P210" s="19">
        <f t="shared" si="22"/>
        <v>11</v>
      </c>
      <c r="Q210" s="16" t="str">
        <f>IF(COUNTIF($B$2:B210,B210)=1,SUMIF($B$2:$B$1097,B210,$L$2:$L$1097),"")</f>
        <v/>
      </c>
    </row>
    <row r="211" spans="1:18" ht="12.75" x14ac:dyDescent="0.2">
      <c r="A211" s="3">
        <v>210</v>
      </c>
      <c r="B211" s="26">
        <v>44995</v>
      </c>
      <c r="C211" s="23" t="s">
        <v>23</v>
      </c>
      <c r="D211" s="4">
        <v>7</v>
      </c>
      <c r="E211" s="24" t="s">
        <v>9</v>
      </c>
      <c r="F211" s="5" t="s">
        <v>11</v>
      </c>
      <c r="G211" s="5" t="s">
        <v>11</v>
      </c>
      <c r="H211" s="5" t="s">
        <v>14</v>
      </c>
      <c r="I211" s="5" t="s">
        <v>13</v>
      </c>
      <c r="J211" s="5" t="s">
        <v>56</v>
      </c>
      <c r="K211" s="6">
        <v>24</v>
      </c>
      <c r="L211" s="15">
        <v>264</v>
      </c>
      <c r="M211" s="15">
        <f t="shared" ca="1" si="23"/>
        <v>47</v>
      </c>
      <c r="N211" s="16">
        <f t="shared" ca="1" si="21"/>
        <v>217</v>
      </c>
      <c r="O211" s="18">
        <f t="shared" ca="1" si="20"/>
        <v>0.82196969696969702</v>
      </c>
      <c r="P211" s="19">
        <f t="shared" si="22"/>
        <v>11</v>
      </c>
      <c r="Q211" s="16">
        <f>IF(COUNTIF($B$2:B211,B211)=1,SUMIF($B$2:$B$1097,B211,$L$2:$L$1097),"")</f>
        <v>264</v>
      </c>
      <c r="R211" s="16">
        <f t="shared" ref="R211:R212" si="24">AVERAGE(Q191:Q211)</f>
        <v>487.66666666666669</v>
      </c>
    </row>
    <row r="212" spans="1:18" ht="12.75" x14ac:dyDescent="0.2">
      <c r="A212" s="3">
        <v>211</v>
      </c>
      <c r="B212" s="26">
        <v>44997</v>
      </c>
      <c r="C212" s="23" t="s">
        <v>23</v>
      </c>
      <c r="D212" s="4">
        <v>2</v>
      </c>
      <c r="E212" s="24" t="s">
        <v>9</v>
      </c>
      <c r="F212" s="5" t="s">
        <v>11</v>
      </c>
      <c r="G212" s="5" t="s">
        <v>11</v>
      </c>
      <c r="H212" s="5" t="s">
        <v>14</v>
      </c>
      <c r="I212" s="5" t="s">
        <v>13</v>
      </c>
      <c r="J212" s="5" t="s">
        <v>52</v>
      </c>
      <c r="K212" s="6">
        <v>19</v>
      </c>
      <c r="L212" s="15">
        <v>209</v>
      </c>
      <c r="M212" s="15">
        <f t="shared" ca="1" si="23"/>
        <v>4</v>
      </c>
      <c r="N212" s="16">
        <f t="shared" ca="1" si="21"/>
        <v>205</v>
      </c>
      <c r="O212" s="18">
        <f t="shared" ca="1" si="20"/>
        <v>0.98086124401913877</v>
      </c>
      <c r="P212" s="19">
        <f t="shared" si="22"/>
        <v>11</v>
      </c>
      <c r="Q212" s="16">
        <f>IF(COUNTIF($B$2:B212,B212)=1,SUMIF($B$2:$B$1097,B212,$L$2:$L$1097),"")</f>
        <v>616</v>
      </c>
      <c r="R212" s="16">
        <f t="shared" si="24"/>
        <v>482.16666666666669</v>
      </c>
    </row>
    <row r="213" spans="1:18" ht="12.75" x14ac:dyDescent="0.2">
      <c r="A213" s="3">
        <v>212</v>
      </c>
      <c r="B213" s="26">
        <v>44997</v>
      </c>
      <c r="C213" s="23" t="s">
        <v>23</v>
      </c>
      <c r="D213" s="4">
        <v>2</v>
      </c>
      <c r="E213" s="24" t="s">
        <v>9</v>
      </c>
      <c r="F213" s="5" t="s">
        <v>11</v>
      </c>
      <c r="G213" s="5" t="s">
        <v>11</v>
      </c>
      <c r="H213" s="5" t="s">
        <v>14</v>
      </c>
      <c r="I213" s="5" t="s">
        <v>15</v>
      </c>
      <c r="J213" s="5" t="s">
        <v>54</v>
      </c>
      <c r="K213" s="6">
        <v>12</v>
      </c>
      <c r="L213" s="15">
        <v>132</v>
      </c>
      <c r="M213" s="15">
        <f t="shared" ca="1" si="23"/>
        <v>42</v>
      </c>
      <c r="N213" s="16">
        <f t="shared" ca="1" si="21"/>
        <v>90</v>
      </c>
      <c r="O213" s="18">
        <f t="shared" ca="1" si="20"/>
        <v>0.68181818181818177</v>
      </c>
      <c r="P213" s="19">
        <f t="shared" si="22"/>
        <v>11</v>
      </c>
      <c r="Q213" s="16" t="str">
        <f>IF(COUNTIF($B$2:B213,B213)=1,SUMIF($B$2:$B$1097,B213,$L$2:$L$1097),"")</f>
        <v/>
      </c>
    </row>
    <row r="214" spans="1:18" ht="12.75" x14ac:dyDescent="0.2">
      <c r="A214" s="3">
        <v>213</v>
      </c>
      <c r="B214" s="26">
        <v>44997</v>
      </c>
      <c r="C214" s="23" t="s">
        <v>23</v>
      </c>
      <c r="D214" s="4">
        <v>2</v>
      </c>
      <c r="E214" s="24" t="s">
        <v>9</v>
      </c>
      <c r="F214" s="5" t="s">
        <v>11</v>
      </c>
      <c r="G214" s="5" t="s">
        <v>11</v>
      </c>
      <c r="H214" s="5" t="s">
        <v>14</v>
      </c>
      <c r="I214" s="5" t="s">
        <v>16</v>
      </c>
      <c r="J214" s="5" t="s">
        <v>54</v>
      </c>
      <c r="K214" s="6">
        <v>9</v>
      </c>
      <c r="L214" s="15">
        <v>99</v>
      </c>
      <c r="M214" s="15">
        <f t="shared" ca="1" si="23"/>
        <v>50</v>
      </c>
      <c r="N214" s="16">
        <f t="shared" ca="1" si="21"/>
        <v>49</v>
      </c>
      <c r="O214" s="18">
        <f t="shared" ca="1" si="20"/>
        <v>0.49494949494949497</v>
      </c>
      <c r="P214" s="19">
        <f t="shared" si="22"/>
        <v>11</v>
      </c>
      <c r="Q214" s="16" t="str">
        <f>IF(COUNTIF($B$2:B214,B214)=1,SUMIF($B$2:$B$1097,B214,$L$2:$L$1097),"")</f>
        <v/>
      </c>
    </row>
    <row r="215" spans="1:18" ht="12.75" x14ac:dyDescent="0.2">
      <c r="A215" s="3">
        <v>214</v>
      </c>
      <c r="B215" s="26">
        <v>44997</v>
      </c>
      <c r="C215" s="23" t="s">
        <v>23</v>
      </c>
      <c r="D215" s="4">
        <v>2</v>
      </c>
      <c r="E215" s="24" t="s">
        <v>9</v>
      </c>
      <c r="F215" s="5" t="s">
        <v>11</v>
      </c>
      <c r="G215" s="5" t="s">
        <v>11</v>
      </c>
      <c r="H215" s="5" t="s">
        <v>14</v>
      </c>
      <c r="I215" s="5" t="s">
        <v>17</v>
      </c>
      <c r="J215" s="5" t="s">
        <v>54</v>
      </c>
      <c r="K215" s="6">
        <v>16</v>
      </c>
      <c r="L215" s="15">
        <v>176</v>
      </c>
      <c r="M215" s="15">
        <f t="shared" ca="1" si="23"/>
        <v>50</v>
      </c>
      <c r="N215" s="16">
        <f t="shared" ca="1" si="21"/>
        <v>126</v>
      </c>
      <c r="O215" s="18">
        <f t="shared" ca="1" si="20"/>
        <v>0.71590909090909094</v>
      </c>
      <c r="P215" s="19">
        <f t="shared" si="22"/>
        <v>11</v>
      </c>
      <c r="Q215" s="16" t="str">
        <f>IF(COUNTIF($B$2:B215,B215)=1,SUMIF($B$2:$B$1097,B215,$L$2:$L$1097),"")</f>
        <v/>
      </c>
    </row>
    <row r="216" spans="1:18" ht="12.75" x14ac:dyDescent="0.2">
      <c r="A216" s="3">
        <v>215</v>
      </c>
      <c r="B216" s="26">
        <v>44998</v>
      </c>
      <c r="C216" s="23" t="s">
        <v>23</v>
      </c>
      <c r="D216" s="4">
        <v>3</v>
      </c>
      <c r="E216" s="24" t="s">
        <v>9</v>
      </c>
      <c r="F216" s="5" t="s">
        <v>11</v>
      </c>
      <c r="G216" s="5" t="s">
        <v>11</v>
      </c>
      <c r="H216" s="5" t="s">
        <v>14</v>
      </c>
      <c r="I216" s="5" t="s">
        <v>13</v>
      </c>
      <c r="J216" s="5" t="s">
        <v>56</v>
      </c>
      <c r="K216" s="6">
        <v>15</v>
      </c>
      <c r="L216" s="15">
        <v>165</v>
      </c>
      <c r="M216" s="15">
        <f t="shared" ca="1" si="23"/>
        <v>1</v>
      </c>
      <c r="N216" s="16">
        <f t="shared" ca="1" si="21"/>
        <v>164</v>
      </c>
      <c r="O216" s="18">
        <f t="shared" ca="1" si="20"/>
        <v>0.9939393939393939</v>
      </c>
      <c r="P216" s="19">
        <f t="shared" si="22"/>
        <v>11</v>
      </c>
      <c r="Q216" s="16">
        <f>IF(COUNTIF($B$2:B216,B216)=1,SUMIF($B$2:$B$1097,B216,$L$2:$L$1097),"")</f>
        <v>484</v>
      </c>
      <c r="R216" s="16">
        <f>AVERAGE(Q196:Q216)</f>
        <v>478.5</v>
      </c>
    </row>
    <row r="217" spans="1:18" ht="12.75" x14ac:dyDescent="0.2">
      <c r="A217" s="3">
        <v>216</v>
      </c>
      <c r="B217" s="26">
        <v>44998</v>
      </c>
      <c r="C217" s="23" t="s">
        <v>23</v>
      </c>
      <c r="D217" s="4">
        <v>3</v>
      </c>
      <c r="E217" s="24" t="s">
        <v>9</v>
      </c>
      <c r="F217" s="5" t="s">
        <v>11</v>
      </c>
      <c r="G217" s="5" t="s">
        <v>11</v>
      </c>
      <c r="H217" s="5" t="s">
        <v>14</v>
      </c>
      <c r="I217" s="5" t="s">
        <v>15</v>
      </c>
      <c r="J217" s="5" t="s">
        <v>56</v>
      </c>
      <c r="K217" s="6">
        <v>13</v>
      </c>
      <c r="L217" s="15">
        <v>143</v>
      </c>
      <c r="M217" s="15">
        <f t="shared" ca="1" si="23"/>
        <v>14</v>
      </c>
      <c r="N217" s="16">
        <f t="shared" ca="1" si="21"/>
        <v>129</v>
      </c>
      <c r="O217" s="18">
        <f t="shared" ca="1" si="20"/>
        <v>0.90209790209790208</v>
      </c>
      <c r="P217" s="19">
        <f t="shared" si="22"/>
        <v>11</v>
      </c>
      <c r="Q217" s="16" t="str">
        <f>IF(COUNTIF($B$2:B217,B217)=1,SUMIF($B$2:$B$1097,B217,$L$2:$L$1097),"")</f>
        <v/>
      </c>
    </row>
    <row r="218" spans="1:18" ht="12.75" x14ac:dyDescent="0.2">
      <c r="A218" s="3">
        <v>217</v>
      </c>
      <c r="B218" s="26">
        <v>44998</v>
      </c>
      <c r="C218" s="23" t="s">
        <v>23</v>
      </c>
      <c r="D218" s="4">
        <v>3</v>
      </c>
      <c r="E218" s="24" t="s">
        <v>9</v>
      </c>
      <c r="F218" s="5" t="s">
        <v>11</v>
      </c>
      <c r="G218" s="5" t="s">
        <v>11</v>
      </c>
      <c r="H218" s="5" t="s">
        <v>14</v>
      </c>
      <c r="I218" s="5" t="s">
        <v>16</v>
      </c>
      <c r="J218" s="5" t="s">
        <v>55</v>
      </c>
      <c r="K218" s="6">
        <v>5</v>
      </c>
      <c r="L218" s="15">
        <v>55</v>
      </c>
      <c r="M218" s="15">
        <f t="shared" ca="1" si="23"/>
        <v>41</v>
      </c>
      <c r="N218" s="16">
        <f t="shared" ca="1" si="21"/>
        <v>14</v>
      </c>
      <c r="O218" s="18">
        <f t="shared" ca="1" si="20"/>
        <v>0.25454545454545452</v>
      </c>
      <c r="P218" s="19">
        <f t="shared" si="22"/>
        <v>11</v>
      </c>
      <c r="Q218" s="16" t="str">
        <f>IF(COUNTIF($B$2:B218,B218)=1,SUMIF($B$2:$B$1097,B218,$L$2:$L$1097),"")</f>
        <v/>
      </c>
    </row>
    <row r="219" spans="1:18" ht="12.75" x14ac:dyDescent="0.2">
      <c r="A219" s="3">
        <v>218</v>
      </c>
      <c r="B219" s="26">
        <v>44998</v>
      </c>
      <c r="C219" s="23" t="s">
        <v>23</v>
      </c>
      <c r="D219" s="4">
        <v>3</v>
      </c>
      <c r="E219" s="24" t="s">
        <v>9</v>
      </c>
      <c r="F219" s="5" t="s">
        <v>11</v>
      </c>
      <c r="G219" s="5" t="s">
        <v>11</v>
      </c>
      <c r="H219" s="5" t="s">
        <v>14</v>
      </c>
      <c r="I219" s="5" t="s">
        <v>17</v>
      </c>
      <c r="J219" s="5" t="s">
        <v>53</v>
      </c>
      <c r="K219" s="6">
        <v>11</v>
      </c>
      <c r="L219" s="15">
        <v>121</v>
      </c>
      <c r="M219" s="15">
        <f t="shared" ca="1" si="23"/>
        <v>16</v>
      </c>
      <c r="N219" s="16">
        <f t="shared" ca="1" si="21"/>
        <v>105</v>
      </c>
      <c r="O219" s="18">
        <f t="shared" ca="1" si="20"/>
        <v>0.86776859504132231</v>
      </c>
      <c r="P219" s="19">
        <f t="shared" si="22"/>
        <v>11</v>
      </c>
      <c r="Q219" s="16" t="str">
        <f>IF(COUNTIF($B$2:B219,B219)=1,SUMIF($B$2:$B$1097,B219,$L$2:$L$1097),"")</f>
        <v/>
      </c>
    </row>
    <row r="220" spans="1:18" ht="12.75" x14ac:dyDescent="0.2">
      <c r="A220" s="3">
        <v>219</v>
      </c>
      <c r="B220" s="26">
        <v>44999</v>
      </c>
      <c r="C220" s="23" t="s">
        <v>23</v>
      </c>
      <c r="D220" s="4">
        <v>4</v>
      </c>
      <c r="E220" s="24" t="s">
        <v>9</v>
      </c>
      <c r="F220" s="5" t="s">
        <v>11</v>
      </c>
      <c r="G220" s="5" t="s">
        <v>11</v>
      </c>
      <c r="H220" s="5" t="s">
        <v>14</v>
      </c>
      <c r="I220" s="5" t="s">
        <v>13</v>
      </c>
      <c r="J220" s="5" t="s">
        <v>52</v>
      </c>
      <c r="K220" s="6">
        <v>14</v>
      </c>
      <c r="L220" s="15">
        <v>154</v>
      </c>
      <c r="M220" s="15">
        <f t="shared" ca="1" si="23"/>
        <v>28</v>
      </c>
      <c r="N220" s="16">
        <f t="shared" ca="1" si="21"/>
        <v>126</v>
      </c>
      <c r="O220" s="18">
        <f t="shared" ca="1" si="20"/>
        <v>0.81818181818181823</v>
      </c>
      <c r="P220" s="19">
        <f t="shared" si="22"/>
        <v>11</v>
      </c>
      <c r="Q220" s="16">
        <f>IF(COUNTIF($B$2:B220,B220)=1,SUMIF($B$2:$B$1097,B220,$L$2:$L$1097),"")</f>
        <v>374</v>
      </c>
      <c r="R220" s="16">
        <f>AVERAGE(Q200:Q220)</f>
        <v>473</v>
      </c>
    </row>
    <row r="221" spans="1:18" ht="12.75" x14ac:dyDescent="0.2">
      <c r="A221" s="3">
        <v>220</v>
      </c>
      <c r="B221" s="26">
        <v>44999</v>
      </c>
      <c r="C221" s="23" t="s">
        <v>23</v>
      </c>
      <c r="D221" s="4">
        <v>4</v>
      </c>
      <c r="E221" s="24" t="s">
        <v>9</v>
      </c>
      <c r="F221" s="5" t="s">
        <v>11</v>
      </c>
      <c r="G221" s="5" t="s">
        <v>11</v>
      </c>
      <c r="H221" s="5" t="s">
        <v>14</v>
      </c>
      <c r="I221" s="5" t="s">
        <v>15</v>
      </c>
      <c r="J221" s="5" t="s">
        <v>54</v>
      </c>
      <c r="K221" s="6">
        <v>6</v>
      </c>
      <c r="L221" s="15">
        <v>66</v>
      </c>
      <c r="M221" s="15">
        <f t="shared" ca="1" si="23"/>
        <v>4</v>
      </c>
      <c r="N221" s="16">
        <f t="shared" ca="1" si="21"/>
        <v>62</v>
      </c>
      <c r="O221" s="18">
        <f t="shared" ca="1" si="20"/>
        <v>0.93939393939393945</v>
      </c>
      <c r="P221" s="19">
        <f t="shared" si="22"/>
        <v>11</v>
      </c>
      <c r="Q221" s="16" t="str">
        <f>IF(COUNTIF($B$2:B221,B221)=1,SUMIF($B$2:$B$1097,B221,$L$2:$L$1097),"")</f>
        <v/>
      </c>
    </row>
    <row r="222" spans="1:18" ht="12.75" x14ac:dyDescent="0.2">
      <c r="A222" s="3">
        <v>221</v>
      </c>
      <c r="B222" s="26">
        <v>44999</v>
      </c>
      <c r="C222" s="23" t="s">
        <v>23</v>
      </c>
      <c r="D222" s="4">
        <v>4</v>
      </c>
      <c r="E222" s="24" t="s">
        <v>9</v>
      </c>
      <c r="F222" s="5" t="s">
        <v>11</v>
      </c>
      <c r="G222" s="5" t="s">
        <v>11</v>
      </c>
      <c r="H222" s="5" t="s">
        <v>14</v>
      </c>
      <c r="I222" s="5" t="s">
        <v>16</v>
      </c>
      <c r="J222" s="5" t="s">
        <v>54</v>
      </c>
      <c r="K222" s="6">
        <v>5</v>
      </c>
      <c r="L222" s="15">
        <v>55</v>
      </c>
      <c r="M222" s="15">
        <f t="shared" ca="1" si="23"/>
        <v>47</v>
      </c>
      <c r="N222" s="16">
        <f t="shared" ca="1" si="21"/>
        <v>8</v>
      </c>
      <c r="O222" s="18">
        <f t="shared" ca="1" si="20"/>
        <v>0.14545454545454545</v>
      </c>
      <c r="P222" s="19">
        <f t="shared" si="22"/>
        <v>11</v>
      </c>
      <c r="Q222" s="16" t="str">
        <f>IF(COUNTIF($B$2:B222,B222)=1,SUMIF($B$2:$B$1097,B222,$L$2:$L$1097),"")</f>
        <v/>
      </c>
    </row>
    <row r="223" spans="1:18" ht="12.75" x14ac:dyDescent="0.2">
      <c r="A223" s="3">
        <v>222</v>
      </c>
      <c r="B223" s="26">
        <v>44999</v>
      </c>
      <c r="C223" s="23" t="s">
        <v>23</v>
      </c>
      <c r="D223" s="4">
        <v>4</v>
      </c>
      <c r="E223" s="24" t="s">
        <v>9</v>
      </c>
      <c r="F223" s="5" t="s">
        <v>11</v>
      </c>
      <c r="G223" s="5" t="s">
        <v>11</v>
      </c>
      <c r="H223" s="5" t="s">
        <v>14</v>
      </c>
      <c r="I223" s="5" t="s">
        <v>17</v>
      </c>
      <c r="J223" s="5" t="s">
        <v>54</v>
      </c>
      <c r="K223" s="6">
        <v>9</v>
      </c>
      <c r="L223" s="15">
        <v>99</v>
      </c>
      <c r="M223" s="15">
        <f t="shared" ca="1" si="23"/>
        <v>27</v>
      </c>
      <c r="N223" s="16">
        <f t="shared" ca="1" si="21"/>
        <v>72</v>
      </c>
      <c r="O223" s="18">
        <f t="shared" ca="1" si="20"/>
        <v>0.72727272727272729</v>
      </c>
      <c r="P223" s="19">
        <f t="shared" si="22"/>
        <v>11</v>
      </c>
      <c r="Q223" s="16" t="str">
        <f>IF(COUNTIF($B$2:B223,B223)=1,SUMIF($B$2:$B$1097,B223,$L$2:$L$1097),"")</f>
        <v/>
      </c>
    </row>
    <row r="224" spans="1:18" ht="12.75" x14ac:dyDescent="0.2">
      <c r="A224" s="3">
        <v>223</v>
      </c>
      <c r="B224" s="26">
        <v>45000</v>
      </c>
      <c r="C224" s="23" t="s">
        <v>23</v>
      </c>
      <c r="D224" s="4">
        <v>5</v>
      </c>
      <c r="E224" s="24" t="s">
        <v>9</v>
      </c>
      <c r="F224" s="5" t="s">
        <v>11</v>
      </c>
      <c r="G224" s="5" t="s">
        <v>11</v>
      </c>
      <c r="H224" s="5" t="s">
        <v>14</v>
      </c>
      <c r="I224" s="5" t="s">
        <v>13</v>
      </c>
      <c r="J224" s="5" t="s">
        <v>56</v>
      </c>
      <c r="K224" s="6">
        <v>14</v>
      </c>
      <c r="L224" s="15">
        <v>154</v>
      </c>
      <c r="M224" s="15">
        <f t="shared" ca="1" si="23"/>
        <v>5</v>
      </c>
      <c r="N224" s="16">
        <f t="shared" ca="1" si="21"/>
        <v>149</v>
      </c>
      <c r="O224" s="18">
        <f t="shared" ca="1" si="20"/>
        <v>0.96753246753246758</v>
      </c>
      <c r="P224" s="19">
        <f t="shared" si="22"/>
        <v>11</v>
      </c>
      <c r="Q224" s="16">
        <f>IF(COUNTIF($B$2:B224,B224)=1,SUMIF($B$2:$B$1097,B224,$L$2:$L$1097),"")</f>
        <v>440</v>
      </c>
      <c r="R224" s="16">
        <f>AVERAGE(Q204:Q224)</f>
        <v>467.5</v>
      </c>
    </row>
    <row r="225" spans="1:18" ht="12.75" x14ac:dyDescent="0.2">
      <c r="A225" s="3">
        <v>224</v>
      </c>
      <c r="B225" s="26">
        <v>45000</v>
      </c>
      <c r="C225" s="23" t="s">
        <v>23</v>
      </c>
      <c r="D225" s="4">
        <v>5</v>
      </c>
      <c r="E225" s="24" t="s">
        <v>9</v>
      </c>
      <c r="F225" s="5" t="s">
        <v>11</v>
      </c>
      <c r="G225" s="5" t="s">
        <v>11</v>
      </c>
      <c r="H225" s="5" t="s">
        <v>14</v>
      </c>
      <c r="I225" s="5" t="s">
        <v>15</v>
      </c>
      <c r="J225" s="5" t="s">
        <v>56</v>
      </c>
      <c r="K225" s="6">
        <v>8</v>
      </c>
      <c r="L225" s="15">
        <v>88</v>
      </c>
      <c r="M225" s="15">
        <f t="shared" ca="1" si="23"/>
        <v>10</v>
      </c>
      <c r="N225" s="16">
        <f t="shared" ca="1" si="21"/>
        <v>78</v>
      </c>
      <c r="O225" s="18">
        <f t="shared" ca="1" si="20"/>
        <v>0.88636363636363635</v>
      </c>
      <c r="P225" s="19">
        <f t="shared" si="22"/>
        <v>11</v>
      </c>
      <c r="Q225" s="16" t="str">
        <f>IF(COUNTIF($B$2:B225,B225)=1,SUMIF($B$2:$B$1097,B225,$L$2:$L$1097),"")</f>
        <v/>
      </c>
    </row>
    <row r="226" spans="1:18" ht="12.75" x14ac:dyDescent="0.2">
      <c r="A226" s="3">
        <v>225</v>
      </c>
      <c r="B226" s="26">
        <v>45000</v>
      </c>
      <c r="C226" s="23" t="s">
        <v>23</v>
      </c>
      <c r="D226" s="4">
        <v>5</v>
      </c>
      <c r="E226" s="24" t="s">
        <v>9</v>
      </c>
      <c r="F226" s="5" t="s">
        <v>11</v>
      </c>
      <c r="G226" s="5" t="s">
        <v>11</v>
      </c>
      <c r="H226" s="5" t="s">
        <v>14</v>
      </c>
      <c r="I226" s="5" t="s">
        <v>16</v>
      </c>
      <c r="J226" s="5" t="s">
        <v>55</v>
      </c>
      <c r="K226" s="6">
        <v>5</v>
      </c>
      <c r="L226" s="15">
        <v>55</v>
      </c>
      <c r="M226" s="15">
        <f t="shared" ca="1" si="23"/>
        <v>42</v>
      </c>
      <c r="N226" s="16">
        <f t="shared" ca="1" si="21"/>
        <v>13</v>
      </c>
      <c r="O226" s="18">
        <f t="shared" ca="1" si="20"/>
        <v>0.23636363636363636</v>
      </c>
      <c r="P226" s="19">
        <f t="shared" si="22"/>
        <v>11</v>
      </c>
      <c r="Q226" s="16" t="str">
        <f>IF(COUNTIF($B$2:B226,B226)=1,SUMIF($B$2:$B$1097,B226,$L$2:$L$1097),"")</f>
        <v/>
      </c>
    </row>
    <row r="227" spans="1:18" ht="12.75" x14ac:dyDescent="0.2">
      <c r="A227" s="3">
        <v>226</v>
      </c>
      <c r="B227" s="26">
        <v>45000</v>
      </c>
      <c r="C227" s="23" t="s">
        <v>23</v>
      </c>
      <c r="D227" s="4">
        <v>5</v>
      </c>
      <c r="E227" s="24" t="s">
        <v>9</v>
      </c>
      <c r="F227" s="5" t="s">
        <v>11</v>
      </c>
      <c r="G227" s="5" t="s">
        <v>11</v>
      </c>
      <c r="H227" s="5" t="s">
        <v>14</v>
      </c>
      <c r="I227" s="5" t="s">
        <v>17</v>
      </c>
      <c r="J227" s="5" t="s">
        <v>53</v>
      </c>
      <c r="K227" s="6">
        <v>13</v>
      </c>
      <c r="L227" s="15">
        <v>143</v>
      </c>
      <c r="M227" s="15">
        <f t="shared" ca="1" si="23"/>
        <v>8</v>
      </c>
      <c r="N227" s="16">
        <f t="shared" ca="1" si="21"/>
        <v>135</v>
      </c>
      <c r="O227" s="18">
        <f t="shared" ca="1" si="20"/>
        <v>0.94405594405594406</v>
      </c>
      <c r="P227" s="19">
        <f t="shared" si="22"/>
        <v>11</v>
      </c>
      <c r="Q227" s="16" t="str">
        <f>IF(COUNTIF($B$2:B227,B227)=1,SUMIF($B$2:$B$1097,B227,$L$2:$L$1097),"")</f>
        <v/>
      </c>
    </row>
    <row r="228" spans="1:18" ht="12.75" x14ac:dyDescent="0.2">
      <c r="A228" s="3">
        <v>227</v>
      </c>
      <c r="B228" s="26">
        <v>45001</v>
      </c>
      <c r="C228" s="23" t="s">
        <v>23</v>
      </c>
      <c r="D228" s="4">
        <v>6</v>
      </c>
      <c r="E228" s="24" t="s">
        <v>9</v>
      </c>
      <c r="F228" s="5" t="s">
        <v>11</v>
      </c>
      <c r="G228" s="5" t="s">
        <v>11</v>
      </c>
      <c r="H228" s="5" t="s">
        <v>14</v>
      </c>
      <c r="I228" s="5" t="s">
        <v>13</v>
      </c>
      <c r="J228" s="5" t="s">
        <v>52</v>
      </c>
      <c r="K228" s="6">
        <v>19</v>
      </c>
      <c r="L228" s="15">
        <v>209</v>
      </c>
      <c r="M228" s="15">
        <f t="shared" ca="1" si="23"/>
        <v>32</v>
      </c>
      <c r="N228" s="16">
        <f t="shared" ca="1" si="21"/>
        <v>177</v>
      </c>
      <c r="O228" s="18">
        <f t="shared" ca="1" si="20"/>
        <v>0.84688995215311003</v>
      </c>
      <c r="P228" s="19">
        <f t="shared" si="22"/>
        <v>11</v>
      </c>
      <c r="Q228" s="16">
        <f>IF(COUNTIF($B$2:B228,B228)=1,SUMIF($B$2:$B$1097,B228,$L$2:$L$1097),"")</f>
        <v>627</v>
      </c>
      <c r="R228" s="16">
        <f>AVERAGE(Q208:Q228)</f>
        <v>467.5</v>
      </c>
    </row>
    <row r="229" spans="1:18" ht="12.75" x14ac:dyDescent="0.2">
      <c r="A229" s="3">
        <v>228</v>
      </c>
      <c r="B229" s="26">
        <v>45001</v>
      </c>
      <c r="C229" s="23" t="s">
        <v>23</v>
      </c>
      <c r="D229" s="4">
        <v>6</v>
      </c>
      <c r="E229" s="24" t="s">
        <v>9</v>
      </c>
      <c r="F229" s="5" t="s">
        <v>11</v>
      </c>
      <c r="G229" s="5" t="s">
        <v>11</v>
      </c>
      <c r="H229" s="5" t="s">
        <v>14</v>
      </c>
      <c r="I229" s="5" t="s">
        <v>15</v>
      </c>
      <c r="J229" s="5" t="s">
        <v>55</v>
      </c>
      <c r="K229" s="6">
        <v>10</v>
      </c>
      <c r="L229" s="15">
        <v>110</v>
      </c>
      <c r="M229" s="15">
        <f t="shared" ca="1" si="23"/>
        <v>6</v>
      </c>
      <c r="N229" s="16">
        <f t="shared" ca="1" si="21"/>
        <v>104</v>
      </c>
      <c r="O229" s="18">
        <f t="shared" ca="1" si="20"/>
        <v>0.94545454545454544</v>
      </c>
      <c r="P229" s="19">
        <f t="shared" si="22"/>
        <v>11</v>
      </c>
      <c r="Q229" s="16" t="str">
        <f>IF(COUNTIF($B$2:B229,B229)=1,SUMIF($B$2:$B$1097,B229,$L$2:$L$1097),"")</f>
        <v/>
      </c>
    </row>
    <row r="230" spans="1:18" ht="12.75" x14ac:dyDescent="0.2">
      <c r="A230" s="3">
        <v>229</v>
      </c>
      <c r="B230" s="26">
        <v>45001</v>
      </c>
      <c r="C230" s="23" t="s">
        <v>23</v>
      </c>
      <c r="D230" s="4">
        <v>6</v>
      </c>
      <c r="E230" s="24" t="s">
        <v>9</v>
      </c>
      <c r="F230" s="5" t="s">
        <v>11</v>
      </c>
      <c r="G230" s="5" t="s">
        <v>11</v>
      </c>
      <c r="H230" s="5" t="s">
        <v>14</v>
      </c>
      <c r="I230" s="5" t="s">
        <v>16</v>
      </c>
      <c r="J230" s="5" t="s">
        <v>55</v>
      </c>
      <c r="K230" s="6">
        <v>10</v>
      </c>
      <c r="L230" s="15">
        <v>110</v>
      </c>
      <c r="M230" s="15">
        <f t="shared" ca="1" si="23"/>
        <v>29</v>
      </c>
      <c r="N230" s="16">
        <f t="shared" ca="1" si="21"/>
        <v>81</v>
      </c>
      <c r="O230" s="18">
        <f t="shared" ca="1" si="20"/>
        <v>0.73636363636363633</v>
      </c>
      <c r="P230" s="19">
        <f t="shared" si="22"/>
        <v>11</v>
      </c>
      <c r="Q230" s="16" t="str">
        <f>IF(COUNTIF($B$2:B230,B230)=1,SUMIF($B$2:$B$1097,B230,$L$2:$L$1097),"")</f>
        <v/>
      </c>
    </row>
    <row r="231" spans="1:18" ht="12.75" x14ac:dyDescent="0.2">
      <c r="A231" s="3">
        <v>230</v>
      </c>
      <c r="B231" s="26">
        <v>45001</v>
      </c>
      <c r="C231" s="23" t="s">
        <v>23</v>
      </c>
      <c r="D231" s="4">
        <v>6</v>
      </c>
      <c r="E231" s="24" t="s">
        <v>9</v>
      </c>
      <c r="F231" s="5" t="s">
        <v>11</v>
      </c>
      <c r="G231" s="5" t="s">
        <v>11</v>
      </c>
      <c r="H231" s="5" t="s">
        <v>14</v>
      </c>
      <c r="I231" s="5" t="s">
        <v>17</v>
      </c>
      <c r="J231" s="5" t="s">
        <v>53</v>
      </c>
      <c r="K231" s="6">
        <v>18</v>
      </c>
      <c r="L231" s="15">
        <v>198</v>
      </c>
      <c r="M231" s="15">
        <f t="shared" ca="1" si="23"/>
        <v>40</v>
      </c>
      <c r="N231" s="16">
        <f t="shared" ca="1" si="21"/>
        <v>158</v>
      </c>
      <c r="O231" s="18">
        <f t="shared" ca="1" si="20"/>
        <v>0.79797979797979801</v>
      </c>
      <c r="P231" s="19">
        <f t="shared" si="22"/>
        <v>11</v>
      </c>
      <c r="Q231" s="16" t="str">
        <f>IF(COUNTIF($B$2:B231,B231)=1,SUMIF($B$2:$B$1097,B231,$L$2:$L$1097),"")</f>
        <v/>
      </c>
    </row>
    <row r="232" spans="1:18" ht="12.75" x14ac:dyDescent="0.2">
      <c r="A232" s="3">
        <v>231</v>
      </c>
      <c r="B232" s="26">
        <v>45002</v>
      </c>
      <c r="C232" s="23" t="s">
        <v>23</v>
      </c>
      <c r="D232" s="4">
        <v>7</v>
      </c>
      <c r="E232" s="24" t="s">
        <v>9</v>
      </c>
      <c r="F232" s="5" t="s">
        <v>11</v>
      </c>
      <c r="G232" s="5" t="s">
        <v>11</v>
      </c>
      <c r="H232" s="5" t="s">
        <v>14</v>
      </c>
      <c r="I232" s="5" t="s">
        <v>13</v>
      </c>
      <c r="J232" s="5" t="s">
        <v>56</v>
      </c>
      <c r="K232" s="6">
        <v>21</v>
      </c>
      <c r="L232" s="15">
        <v>231</v>
      </c>
      <c r="M232" s="15">
        <f t="shared" ca="1" si="23"/>
        <v>46</v>
      </c>
      <c r="N232" s="16">
        <f t="shared" ca="1" si="21"/>
        <v>185</v>
      </c>
      <c r="O232" s="18">
        <f t="shared" ca="1" si="20"/>
        <v>0.80086580086580084</v>
      </c>
      <c r="P232" s="19">
        <f t="shared" si="22"/>
        <v>11</v>
      </c>
      <c r="Q232" s="16">
        <f>IF(COUNTIF($B$2:B232,B232)=1,SUMIF($B$2:$B$1097,B232,$L$2:$L$1097),"")</f>
        <v>231</v>
      </c>
      <c r="R232" s="16">
        <f t="shared" ref="R232:R233" si="25">AVERAGE(Q212:Q232)</f>
        <v>462</v>
      </c>
    </row>
    <row r="233" spans="1:18" ht="12.75" x14ac:dyDescent="0.2">
      <c r="A233" s="3">
        <v>232</v>
      </c>
      <c r="B233" s="26">
        <v>45004</v>
      </c>
      <c r="C233" s="23" t="s">
        <v>23</v>
      </c>
      <c r="D233" s="4">
        <v>2</v>
      </c>
      <c r="E233" s="24" t="s">
        <v>9</v>
      </c>
      <c r="F233" s="5" t="s">
        <v>11</v>
      </c>
      <c r="G233" s="5" t="s">
        <v>11</v>
      </c>
      <c r="H233" s="5" t="s">
        <v>14</v>
      </c>
      <c r="I233" s="5" t="s">
        <v>13</v>
      </c>
      <c r="J233" s="5" t="s">
        <v>52</v>
      </c>
      <c r="K233" s="6">
        <v>21</v>
      </c>
      <c r="L233" s="15">
        <v>231</v>
      </c>
      <c r="M233" s="15">
        <f t="shared" ca="1" si="23"/>
        <v>49</v>
      </c>
      <c r="N233" s="16">
        <f t="shared" ca="1" si="21"/>
        <v>182</v>
      </c>
      <c r="O233" s="18">
        <f t="shared" ca="1" si="20"/>
        <v>0.78787878787878785</v>
      </c>
      <c r="P233" s="19">
        <f t="shared" si="22"/>
        <v>11</v>
      </c>
      <c r="Q233" s="16">
        <f>IF(COUNTIF($B$2:B233,B233)=1,SUMIF($B$2:$B$1097,B233,$L$2:$L$1097),"")</f>
        <v>572</v>
      </c>
      <c r="R233" s="16">
        <f t="shared" si="25"/>
        <v>454.66666666666669</v>
      </c>
    </row>
    <row r="234" spans="1:18" ht="12.75" x14ac:dyDescent="0.2">
      <c r="A234" s="3">
        <v>233</v>
      </c>
      <c r="B234" s="26">
        <v>45004</v>
      </c>
      <c r="C234" s="23" t="s">
        <v>23</v>
      </c>
      <c r="D234" s="4">
        <v>2</v>
      </c>
      <c r="E234" s="24" t="s">
        <v>9</v>
      </c>
      <c r="F234" s="5" t="s">
        <v>11</v>
      </c>
      <c r="G234" s="5" t="s">
        <v>11</v>
      </c>
      <c r="H234" s="5" t="s">
        <v>14</v>
      </c>
      <c r="I234" s="5" t="s">
        <v>15</v>
      </c>
      <c r="J234" s="5" t="s">
        <v>54</v>
      </c>
      <c r="K234" s="6">
        <v>9</v>
      </c>
      <c r="L234" s="15">
        <v>99</v>
      </c>
      <c r="M234" s="15">
        <f t="shared" ca="1" si="23"/>
        <v>45</v>
      </c>
      <c r="N234" s="16">
        <f t="shared" ca="1" si="21"/>
        <v>54</v>
      </c>
      <c r="O234" s="18">
        <f t="shared" ca="1" si="20"/>
        <v>0.54545454545454541</v>
      </c>
      <c r="P234" s="19">
        <f t="shared" si="22"/>
        <v>11</v>
      </c>
      <c r="Q234" s="16" t="str">
        <f>IF(COUNTIF($B$2:B234,B234)=1,SUMIF($B$2:$B$1097,B234,$L$2:$L$1097),"")</f>
        <v/>
      </c>
    </row>
    <row r="235" spans="1:18" ht="12.75" x14ac:dyDescent="0.2">
      <c r="A235" s="3">
        <v>234</v>
      </c>
      <c r="B235" s="26">
        <v>45004</v>
      </c>
      <c r="C235" s="23" t="s">
        <v>23</v>
      </c>
      <c r="D235" s="4">
        <v>2</v>
      </c>
      <c r="E235" s="24" t="s">
        <v>9</v>
      </c>
      <c r="F235" s="5" t="s">
        <v>11</v>
      </c>
      <c r="G235" s="5" t="s">
        <v>11</v>
      </c>
      <c r="H235" s="5" t="s">
        <v>14</v>
      </c>
      <c r="I235" s="5" t="s">
        <v>16</v>
      </c>
      <c r="J235" s="5" t="s">
        <v>54</v>
      </c>
      <c r="K235" s="6">
        <v>9</v>
      </c>
      <c r="L235" s="15">
        <v>99</v>
      </c>
      <c r="M235" s="15">
        <f t="shared" ca="1" si="23"/>
        <v>40</v>
      </c>
      <c r="N235" s="16">
        <f t="shared" ca="1" si="21"/>
        <v>59</v>
      </c>
      <c r="O235" s="18">
        <f t="shared" ca="1" si="20"/>
        <v>0.59595959595959591</v>
      </c>
      <c r="P235" s="19">
        <f t="shared" si="22"/>
        <v>11</v>
      </c>
      <c r="Q235" s="16" t="str">
        <f>IF(COUNTIF($B$2:B235,B235)=1,SUMIF($B$2:$B$1097,B235,$L$2:$L$1097),"")</f>
        <v/>
      </c>
    </row>
    <row r="236" spans="1:18" ht="12.75" x14ac:dyDescent="0.2">
      <c r="A236" s="3">
        <v>235</v>
      </c>
      <c r="B236" s="26">
        <v>45004</v>
      </c>
      <c r="C236" s="23" t="s">
        <v>23</v>
      </c>
      <c r="D236" s="4">
        <v>2</v>
      </c>
      <c r="E236" s="24" t="s">
        <v>9</v>
      </c>
      <c r="F236" s="5" t="s">
        <v>11</v>
      </c>
      <c r="G236" s="5" t="s">
        <v>11</v>
      </c>
      <c r="H236" s="5" t="s">
        <v>14</v>
      </c>
      <c r="I236" s="5" t="s">
        <v>17</v>
      </c>
      <c r="J236" s="5" t="s">
        <v>54</v>
      </c>
      <c r="K236" s="6">
        <v>13</v>
      </c>
      <c r="L236" s="15">
        <v>143</v>
      </c>
      <c r="M236" s="15">
        <f t="shared" ca="1" si="23"/>
        <v>6</v>
      </c>
      <c r="N236" s="16">
        <f t="shared" ca="1" si="21"/>
        <v>137</v>
      </c>
      <c r="O236" s="18">
        <f t="shared" ca="1" si="20"/>
        <v>0.95804195804195802</v>
      </c>
      <c r="P236" s="19">
        <f t="shared" si="22"/>
        <v>11</v>
      </c>
      <c r="Q236" s="16" t="str">
        <f>IF(COUNTIF($B$2:B236,B236)=1,SUMIF($B$2:$B$1097,B236,$L$2:$L$1097),"")</f>
        <v/>
      </c>
    </row>
    <row r="237" spans="1:18" ht="12.75" x14ac:dyDescent="0.2">
      <c r="A237" s="3">
        <v>236</v>
      </c>
      <c r="B237" s="26">
        <v>45005</v>
      </c>
      <c r="C237" s="23" t="s">
        <v>23</v>
      </c>
      <c r="D237" s="4">
        <v>3</v>
      </c>
      <c r="E237" s="24" t="s">
        <v>9</v>
      </c>
      <c r="F237" s="5" t="s">
        <v>11</v>
      </c>
      <c r="G237" s="5" t="s">
        <v>10</v>
      </c>
      <c r="H237" s="5" t="s">
        <v>24</v>
      </c>
      <c r="I237" s="5" t="s">
        <v>13</v>
      </c>
      <c r="J237" s="5" t="s">
        <v>56</v>
      </c>
      <c r="K237" s="6">
        <v>26</v>
      </c>
      <c r="L237" s="15">
        <v>230</v>
      </c>
      <c r="M237" s="15">
        <f t="shared" ca="1" si="23"/>
        <v>46</v>
      </c>
      <c r="N237" s="16">
        <f t="shared" ca="1" si="21"/>
        <v>184</v>
      </c>
      <c r="O237" s="18">
        <f t="shared" ca="1" si="20"/>
        <v>0.8</v>
      </c>
      <c r="P237" s="19">
        <f t="shared" si="22"/>
        <v>8.8461538461538467</v>
      </c>
      <c r="Q237" s="16">
        <f>IF(COUNTIF($B$2:B237,B237)=1,SUMIF($B$2:$B$1097,B237,$L$2:$L$1097),"")</f>
        <v>592</v>
      </c>
      <c r="R237" s="16">
        <f>AVERAGE(Q217:Q237)</f>
        <v>472.66666666666669</v>
      </c>
    </row>
    <row r="238" spans="1:18" ht="12.75" x14ac:dyDescent="0.2">
      <c r="A238" s="3">
        <v>237</v>
      </c>
      <c r="B238" s="26">
        <v>45005</v>
      </c>
      <c r="C238" s="23" t="s">
        <v>23</v>
      </c>
      <c r="D238" s="4">
        <v>3</v>
      </c>
      <c r="E238" s="24" t="s">
        <v>9</v>
      </c>
      <c r="F238" s="5" t="s">
        <v>11</v>
      </c>
      <c r="G238" s="5" t="s">
        <v>10</v>
      </c>
      <c r="H238" s="5" t="s">
        <v>24</v>
      </c>
      <c r="I238" s="5" t="s">
        <v>15</v>
      </c>
      <c r="J238" s="5" t="s">
        <v>56</v>
      </c>
      <c r="K238" s="6">
        <v>16</v>
      </c>
      <c r="L238" s="15">
        <v>152</v>
      </c>
      <c r="M238" s="15">
        <f t="shared" ca="1" si="23"/>
        <v>29</v>
      </c>
      <c r="N238" s="16">
        <f t="shared" ca="1" si="21"/>
        <v>123</v>
      </c>
      <c r="O238" s="18">
        <f t="shared" ca="1" si="20"/>
        <v>0.80921052631578949</v>
      </c>
      <c r="P238" s="19">
        <f t="shared" si="22"/>
        <v>9.5</v>
      </c>
      <c r="Q238" s="16" t="str">
        <f>IF(COUNTIF($B$2:B238,B238)=1,SUMIF($B$2:$B$1097,B238,$L$2:$L$1097),"")</f>
        <v/>
      </c>
    </row>
    <row r="239" spans="1:18" ht="12.75" x14ac:dyDescent="0.2">
      <c r="A239" s="3">
        <v>238</v>
      </c>
      <c r="B239" s="26">
        <v>45005</v>
      </c>
      <c r="C239" s="23" t="s">
        <v>23</v>
      </c>
      <c r="D239" s="4">
        <v>3</v>
      </c>
      <c r="E239" s="24" t="s">
        <v>9</v>
      </c>
      <c r="F239" s="5" t="s">
        <v>11</v>
      </c>
      <c r="G239" s="5" t="s">
        <v>10</v>
      </c>
      <c r="H239" s="5" t="s">
        <v>24</v>
      </c>
      <c r="I239" s="5" t="s">
        <v>16</v>
      </c>
      <c r="J239" s="5" t="s">
        <v>55</v>
      </c>
      <c r="K239" s="6">
        <v>12</v>
      </c>
      <c r="L239" s="15">
        <v>76</v>
      </c>
      <c r="M239" s="15">
        <f t="shared" ca="1" si="23"/>
        <v>49</v>
      </c>
      <c r="N239" s="16">
        <f t="shared" ca="1" si="21"/>
        <v>27</v>
      </c>
      <c r="O239" s="18">
        <f t="shared" ca="1" si="20"/>
        <v>0.35526315789473684</v>
      </c>
      <c r="P239" s="19">
        <f t="shared" si="22"/>
        <v>6.333333333333333</v>
      </c>
      <c r="Q239" s="16" t="str">
        <f>IF(COUNTIF($B$2:B239,B239)=1,SUMIF($B$2:$B$1097,B239,$L$2:$L$1097),"")</f>
        <v/>
      </c>
    </row>
    <row r="240" spans="1:18" ht="12.75" x14ac:dyDescent="0.2">
      <c r="A240" s="3">
        <v>239</v>
      </c>
      <c r="B240" s="26">
        <v>45005</v>
      </c>
      <c r="C240" s="23" t="s">
        <v>23</v>
      </c>
      <c r="D240" s="4">
        <v>3</v>
      </c>
      <c r="E240" s="24" t="s">
        <v>9</v>
      </c>
      <c r="F240" s="5" t="s">
        <v>11</v>
      </c>
      <c r="G240" s="5" t="s">
        <v>10</v>
      </c>
      <c r="H240" s="5" t="s">
        <v>24</v>
      </c>
      <c r="I240" s="5" t="s">
        <v>17</v>
      </c>
      <c r="J240" s="5" t="s">
        <v>53</v>
      </c>
      <c r="K240" s="6">
        <v>18</v>
      </c>
      <c r="L240" s="15">
        <v>134</v>
      </c>
      <c r="M240" s="15">
        <f t="shared" ca="1" si="23"/>
        <v>47</v>
      </c>
      <c r="N240" s="16">
        <f t="shared" ca="1" si="21"/>
        <v>87</v>
      </c>
      <c r="O240" s="18">
        <f t="shared" ca="1" si="20"/>
        <v>0.64925373134328357</v>
      </c>
      <c r="P240" s="19">
        <f t="shared" si="22"/>
        <v>7.4444444444444446</v>
      </c>
      <c r="Q240" s="16" t="str">
        <f>IF(COUNTIF($B$2:B240,B240)=1,SUMIF($B$2:$B$1097,B240,$L$2:$L$1097),"")</f>
        <v/>
      </c>
    </row>
    <row r="241" spans="1:18" ht="12.75" x14ac:dyDescent="0.2">
      <c r="A241" s="3">
        <v>240</v>
      </c>
      <c r="B241" s="26">
        <v>45006</v>
      </c>
      <c r="C241" s="23" t="s">
        <v>23</v>
      </c>
      <c r="D241" s="4">
        <v>4</v>
      </c>
      <c r="E241" s="24" t="s">
        <v>9</v>
      </c>
      <c r="F241" s="5" t="s">
        <v>11</v>
      </c>
      <c r="G241" s="5" t="s">
        <v>10</v>
      </c>
      <c r="H241" s="5" t="s">
        <v>25</v>
      </c>
      <c r="I241" s="5" t="s">
        <v>13</v>
      </c>
      <c r="J241" s="5" t="s">
        <v>52</v>
      </c>
      <c r="K241" s="6">
        <v>20</v>
      </c>
      <c r="L241" s="15">
        <v>172</v>
      </c>
      <c r="M241" s="15">
        <f t="shared" ca="1" si="23"/>
        <v>37</v>
      </c>
      <c r="N241" s="16">
        <f t="shared" ca="1" si="21"/>
        <v>135</v>
      </c>
      <c r="O241" s="18">
        <f t="shared" ca="1" si="20"/>
        <v>0.78488372093023251</v>
      </c>
      <c r="P241" s="19">
        <f t="shared" si="22"/>
        <v>8.6</v>
      </c>
      <c r="Q241" s="16">
        <f>IF(COUNTIF($B$2:B241,B241)=1,SUMIF($B$2:$B$1097,B241,$L$2:$L$1097),"")</f>
        <v>776</v>
      </c>
      <c r="R241" s="16">
        <f>AVERAGE(Q221:Q241)</f>
        <v>539.66666666666663</v>
      </c>
    </row>
    <row r="242" spans="1:18" ht="12.75" x14ac:dyDescent="0.2">
      <c r="A242" s="3">
        <v>241</v>
      </c>
      <c r="B242" s="26">
        <v>45006</v>
      </c>
      <c r="C242" s="23" t="s">
        <v>23</v>
      </c>
      <c r="D242" s="4">
        <v>4</v>
      </c>
      <c r="E242" s="24" t="s">
        <v>9</v>
      </c>
      <c r="F242" s="5" t="s">
        <v>11</v>
      </c>
      <c r="G242" s="5" t="s">
        <v>10</v>
      </c>
      <c r="H242" s="5" t="s">
        <v>25</v>
      </c>
      <c r="I242" s="5" t="s">
        <v>15</v>
      </c>
      <c r="J242" s="5" t="s">
        <v>54</v>
      </c>
      <c r="K242" s="6">
        <v>23</v>
      </c>
      <c r="L242" s="15">
        <v>197</v>
      </c>
      <c r="M242" s="15">
        <f t="shared" ca="1" si="23"/>
        <v>9</v>
      </c>
      <c r="N242" s="16">
        <f t="shared" ca="1" si="21"/>
        <v>188</v>
      </c>
      <c r="O242" s="18">
        <f t="shared" ca="1" si="20"/>
        <v>0.95431472081218272</v>
      </c>
      <c r="P242" s="19">
        <f t="shared" si="22"/>
        <v>8.5652173913043477</v>
      </c>
      <c r="Q242" s="16" t="str">
        <f>IF(COUNTIF($B$2:B242,B242)=1,SUMIF($B$2:$B$1097,B242,$L$2:$L$1097),"")</f>
        <v/>
      </c>
    </row>
    <row r="243" spans="1:18" ht="12.75" x14ac:dyDescent="0.2">
      <c r="A243" s="3">
        <v>242</v>
      </c>
      <c r="B243" s="26">
        <v>45006</v>
      </c>
      <c r="C243" s="23" t="s">
        <v>23</v>
      </c>
      <c r="D243" s="4">
        <v>4</v>
      </c>
      <c r="E243" s="24" t="s">
        <v>9</v>
      </c>
      <c r="F243" s="5" t="s">
        <v>11</v>
      </c>
      <c r="G243" s="5" t="s">
        <v>10</v>
      </c>
      <c r="H243" s="5" t="s">
        <v>25</v>
      </c>
      <c r="I243" s="5" t="s">
        <v>16</v>
      </c>
      <c r="J243" s="5" t="s">
        <v>54</v>
      </c>
      <c r="K243" s="6">
        <v>21</v>
      </c>
      <c r="L243" s="15">
        <v>191</v>
      </c>
      <c r="M243" s="15">
        <f t="shared" ca="1" si="23"/>
        <v>29</v>
      </c>
      <c r="N243" s="16">
        <f t="shared" ca="1" si="21"/>
        <v>162</v>
      </c>
      <c r="O243" s="18">
        <f t="shared" ca="1" si="20"/>
        <v>0.84816753926701571</v>
      </c>
      <c r="P243" s="19">
        <f t="shared" si="22"/>
        <v>9.0952380952380949</v>
      </c>
      <c r="Q243" s="16" t="str">
        <f>IF(COUNTIF($B$2:B243,B243)=1,SUMIF($B$2:$B$1097,B243,$L$2:$L$1097),"")</f>
        <v/>
      </c>
    </row>
    <row r="244" spans="1:18" ht="12.75" x14ac:dyDescent="0.2">
      <c r="A244" s="3">
        <v>243</v>
      </c>
      <c r="B244" s="26">
        <v>45006</v>
      </c>
      <c r="C244" s="23" t="s">
        <v>23</v>
      </c>
      <c r="D244" s="4">
        <v>4</v>
      </c>
      <c r="E244" s="24" t="s">
        <v>9</v>
      </c>
      <c r="F244" s="5" t="s">
        <v>11</v>
      </c>
      <c r="G244" s="5" t="s">
        <v>10</v>
      </c>
      <c r="H244" s="5" t="s">
        <v>25</v>
      </c>
      <c r="I244" s="5" t="s">
        <v>17</v>
      </c>
      <c r="J244" s="5" t="s">
        <v>54</v>
      </c>
      <c r="K244" s="6">
        <v>24</v>
      </c>
      <c r="L244" s="15">
        <v>216</v>
      </c>
      <c r="M244" s="15">
        <f t="shared" ca="1" si="23"/>
        <v>16</v>
      </c>
      <c r="N244" s="16">
        <f t="shared" ca="1" si="21"/>
        <v>200</v>
      </c>
      <c r="O244" s="18">
        <f t="shared" ca="1" si="20"/>
        <v>0.92592592592592593</v>
      </c>
      <c r="P244" s="19">
        <f t="shared" si="22"/>
        <v>9</v>
      </c>
      <c r="Q244" s="16" t="str">
        <f>IF(COUNTIF($B$2:B244,B244)=1,SUMIF($B$2:$B$1097,B244,$L$2:$L$1097),"")</f>
        <v/>
      </c>
    </row>
    <row r="245" spans="1:18" ht="12.75" x14ac:dyDescent="0.2">
      <c r="A245" s="3">
        <v>244</v>
      </c>
      <c r="B245" s="26">
        <v>45007</v>
      </c>
      <c r="C245" s="23" t="s">
        <v>23</v>
      </c>
      <c r="D245" s="4">
        <v>5</v>
      </c>
      <c r="E245" s="24" t="s">
        <v>9</v>
      </c>
      <c r="F245" s="5" t="s">
        <v>11</v>
      </c>
      <c r="G245" s="5" t="s">
        <v>10</v>
      </c>
      <c r="H245" s="5" t="s">
        <v>25</v>
      </c>
      <c r="I245" s="5" t="s">
        <v>13</v>
      </c>
      <c r="J245" s="5" t="s">
        <v>56</v>
      </c>
      <c r="K245" s="6">
        <v>26</v>
      </c>
      <c r="L245" s="15">
        <v>222</v>
      </c>
      <c r="M245" s="15">
        <f t="shared" ca="1" si="23"/>
        <v>35</v>
      </c>
      <c r="N245" s="16">
        <f t="shared" ca="1" si="21"/>
        <v>187</v>
      </c>
      <c r="O245" s="18">
        <f t="shared" ca="1" si="20"/>
        <v>0.84234234234234229</v>
      </c>
      <c r="P245" s="19">
        <f t="shared" si="22"/>
        <v>8.5384615384615383</v>
      </c>
      <c r="Q245" s="16">
        <f>IF(COUNTIF($B$2:B245,B245)=1,SUMIF($B$2:$B$1097,B245,$L$2:$L$1097),"")</f>
        <v>789</v>
      </c>
      <c r="R245" s="16">
        <f>AVERAGE(Q225:Q245)</f>
        <v>597.83333333333337</v>
      </c>
    </row>
    <row r="246" spans="1:18" ht="12.75" x14ac:dyDescent="0.2">
      <c r="A246" s="3">
        <v>245</v>
      </c>
      <c r="B246" s="26">
        <v>45007</v>
      </c>
      <c r="C246" s="23" t="s">
        <v>23</v>
      </c>
      <c r="D246" s="4">
        <v>5</v>
      </c>
      <c r="E246" s="24" t="s">
        <v>9</v>
      </c>
      <c r="F246" s="5" t="s">
        <v>11</v>
      </c>
      <c r="G246" s="5" t="s">
        <v>10</v>
      </c>
      <c r="H246" s="5" t="s">
        <v>25</v>
      </c>
      <c r="I246" s="5" t="s">
        <v>15</v>
      </c>
      <c r="J246" s="5" t="s">
        <v>56</v>
      </c>
      <c r="K246" s="6">
        <v>22</v>
      </c>
      <c r="L246" s="15">
        <v>186</v>
      </c>
      <c r="M246" s="15">
        <f t="shared" ca="1" si="23"/>
        <v>47</v>
      </c>
      <c r="N246" s="16">
        <f t="shared" ca="1" si="21"/>
        <v>139</v>
      </c>
      <c r="O246" s="18">
        <f t="shared" ca="1" si="20"/>
        <v>0.74731182795698925</v>
      </c>
      <c r="P246" s="19">
        <f t="shared" si="22"/>
        <v>8.454545454545455</v>
      </c>
      <c r="Q246" s="16" t="str">
        <f>IF(COUNTIF($B$2:B246,B246)=1,SUMIF($B$2:$B$1097,B246,$L$2:$L$1097),"")</f>
        <v/>
      </c>
    </row>
    <row r="247" spans="1:18" ht="12.75" x14ac:dyDescent="0.2">
      <c r="A247" s="3">
        <v>246</v>
      </c>
      <c r="B247" s="26">
        <v>45007</v>
      </c>
      <c r="C247" s="23" t="s">
        <v>23</v>
      </c>
      <c r="D247" s="4">
        <v>5</v>
      </c>
      <c r="E247" s="24" t="s">
        <v>9</v>
      </c>
      <c r="F247" s="5" t="s">
        <v>11</v>
      </c>
      <c r="G247" s="5" t="s">
        <v>10</v>
      </c>
      <c r="H247" s="5" t="s">
        <v>25</v>
      </c>
      <c r="I247" s="5" t="s">
        <v>16</v>
      </c>
      <c r="J247" s="5" t="s">
        <v>55</v>
      </c>
      <c r="K247" s="6">
        <v>19</v>
      </c>
      <c r="L247" s="15">
        <v>185</v>
      </c>
      <c r="M247" s="15">
        <f t="shared" ca="1" si="23"/>
        <v>49</v>
      </c>
      <c r="N247" s="16">
        <f t="shared" ca="1" si="21"/>
        <v>136</v>
      </c>
      <c r="O247" s="18">
        <f t="shared" ca="1" si="20"/>
        <v>0.73513513513513518</v>
      </c>
      <c r="P247" s="19">
        <f t="shared" si="22"/>
        <v>9.7368421052631575</v>
      </c>
      <c r="Q247" s="16" t="str">
        <f>IF(COUNTIF($B$2:B247,B247)=1,SUMIF($B$2:$B$1097,B247,$L$2:$L$1097),"")</f>
        <v/>
      </c>
    </row>
    <row r="248" spans="1:18" ht="12.75" x14ac:dyDescent="0.2">
      <c r="A248" s="3">
        <v>247</v>
      </c>
      <c r="B248" s="26">
        <v>45007</v>
      </c>
      <c r="C248" s="23" t="s">
        <v>23</v>
      </c>
      <c r="D248" s="4">
        <v>5</v>
      </c>
      <c r="E248" s="24" t="s">
        <v>9</v>
      </c>
      <c r="F248" s="5" t="s">
        <v>11</v>
      </c>
      <c r="G248" s="5" t="s">
        <v>10</v>
      </c>
      <c r="H248" s="5" t="s">
        <v>25</v>
      </c>
      <c r="I248" s="5" t="s">
        <v>17</v>
      </c>
      <c r="J248" s="5" t="s">
        <v>53</v>
      </c>
      <c r="K248" s="6">
        <v>20</v>
      </c>
      <c r="L248" s="15">
        <v>196</v>
      </c>
      <c r="M248" s="15">
        <f t="shared" ca="1" si="23"/>
        <v>6</v>
      </c>
      <c r="N248" s="16">
        <f t="shared" ca="1" si="21"/>
        <v>190</v>
      </c>
      <c r="O248" s="18">
        <f t="shared" ca="1" si="20"/>
        <v>0.96938775510204078</v>
      </c>
      <c r="P248" s="19">
        <f t="shared" si="22"/>
        <v>9.8000000000000007</v>
      </c>
      <c r="Q248" s="16" t="str">
        <f>IF(COUNTIF($B$2:B248,B248)=1,SUMIF($B$2:$B$1097,B248,$L$2:$L$1097),"")</f>
        <v/>
      </c>
    </row>
    <row r="249" spans="1:18" ht="12.75" x14ac:dyDescent="0.2">
      <c r="A249" s="3">
        <v>248</v>
      </c>
      <c r="B249" s="26">
        <v>45008</v>
      </c>
      <c r="C249" s="23" t="s">
        <v>23</v>
      </c>
      <c r="D249" s="4">
        <v>6</v>
      </c>
      <c r="E249" s="24" t="s">
        <v>9</v>
      </c>
      <c r="F249" s="5" t="s">
        <v>11</v>
      </c>
      <c r="G249" s="5" t="s">
        <v>10</v>
      </c>
      <c r="H249" s="5" t="s">
        <v>25</v>
      </c>
      <c r="I249" s="5" t="s">
        <v>13</v>
      </c>
      <c r="J249" s="5" t="s">
        <v>52</v>
      </c>
      <c r="K249" s="6">
        <v>29</v>
      </c>
      <c r="L249" s="15">
        <v>263</v>
      </c>
      <c r="M249" s="15">
        <f t="shared" ca="1" si="23"/>
        <v>31</v>
      </c>
      <c r="N249" s="16">
        <f t="shared" ca="1" si="21"/>
        <v>232</v>
      </c>
      <c r="O249" s="18">
        <f t="shared" ca="1" si="20"/>
        <v>0.88212927756653992</v>
      </c>
      <c r="P249" s="19">
        <f t="shared" si="22"/>
        <v>9.068965517241379</v>
      </c>
      <c r="Q249" s="16">
        <f>IF(COUNTIF($B$2:B249,B249)=1,SUMIF($B$2:$B$1097,B249,$L$2:$L$1097),"")</f>
        <v>1007</v>
      </c>
      <c r="R249" s="16">
        <f>AVERAGE(Q229:Q249)</f>
        <v>661.16666666666663</v>
      </c>
    </row>
    <row r="250" spans="1:18" ht="12.75" x14ac:dyDescent="0.2">
      <c r="A250" s="3">
        <v>249</v>
      </c>
      <c r="B250" s="26">
        <v>45008</v>
      </c>
      <c r="C250" s="23" t="s">
        <v>23</v>
      </c>
      <c r="D250" s="4">
        <v>6</v>
      </c>
      <c r="E250" s="24" t="s">
        <v>9</v>
      </c>
      <c r="F250" s="5" t="s">
        <v>11</v>
      </c>
      <c r="G250" s="5" t="s">
        <v>10</v>
      </c>
      <c r="H250" s="5" t="s">
        <v>25</v>
      </c>
      <c r="I250" s="5" t="s">
        <v>15</v>
      </c>
      <c r="J250" s="5" t="s">
        <v>55</v>
      </c>
      <c r="K250" s="6">
        <v>30</v>
      </c>
      <c r="L250" s="15">
        <v>266</v>
      </c>
      <c r="M250" s="15">
        <f t="shared" ca="1" si="23"/>
        <v>46</v>
      </c>
      <c r="N250" s="16">
        <f t="shared" ca="1" si="21"/>
        <v>220</v>
      </c>
      <c r="O250" s="18">
        <f t="shared" ca="1" si="20"/>
        <v>0.82706766917293228</v>
      </c>
      <c r="P250" s="19">
        <f t="shared" si="22"/>
        <v>8.8666666666666671</v>
      </c>
      <c r="Q250" s="16" t="str">
        <f>IF(COUNTIF($B$2:B250,B250)=1,SUMIF($B$2:$B$1097,B250,$L$2:$L$1097),"")</f>
        <v/>
      </c>
    </row>
    <row r="251" spans="1:18" ht="12.75" x14ac:dyDescent="0.2">
      <c r="A251" s="3">
        <v>250</v>
      </c>
      <c r="B251" s="26">
        <v>45008</v>
      </c>
      <c r="C251" s="23" t="s">
        <v>23</v>
      </c>
      <c r="D251" s="4">
        <v>6</v>
      </c>
      <c r="E251" s="24" t="s">
        <v>9</v>
      </c>
      <c r="F251" s="5" t="s">
        <v>11</v>
      </c>
      <c r="G251" s="5" t="s">
        <v>10</v>
      </c>
      <c r="H251" s="5" t="s">
        <v>25</v>
      </c>
      <c r="I251" s="5" t="s">
        <v>16</v>
      </c>
      <c r="J251" s="5" t="s">
        <v>55</v>
      </c>
      <c r="K251" s="6">
        <v>24</v>
      </c>
      <c r="L251" s="15">
        <v>248</v>
      </c>
      <c r="M251" s="15">
        <f t="shared" ca="1" si="23"/>
        <v>50</v>
      </c>
      <c r="N251" s="16">
        <f t="shared" ca="1" si="21"/>
        <v>198</v>
      </c>
      <c r="O251" s="18">
        <f t="shared" ca="1" si="20"/>
        <v>0.79838709677419351</v>
      </c>
      <c r="P251" s="19">
        <f t="shared" si="22"/>
        <v>10.333333333333334</v>
      </c>
      <c r="Q251" s="16" t="str">
        <f>IF(COUNTIF($B$2:B251,B251)=1,SUMIF($B$2:$B$1097,B251,$L$2:$L$1097),"")</f>
        <v/>
      </c>
    </row>
    <row r="252" spans="1:18" ht="12.75" x14ac:dyDescent="0.2">
      <c r="A252" s="3">
        <v>251</v>
      </c>
      <c r="B252" s="26">
        <v>45008</v>
      </c>
      <c r="C252" s="23" t="s">
        <v>23</v>
      </c>
      <c r="D252" s="4">
        <v>6</v>
      </c>
      <c r="E252" s="24" t="s">
        <v>9</v>
      </c>
      <c r="F252" s="5" t="s">
        <v>11</v>
      </c>
      <c r="G252" s="5" t="s">
        <v>10</v>
      </c>
      <c r="H252" s="5" t="s">
        <v>25</v>
      </c>
      <c r="I252" s="5" t="s">
        <v>17</v>
      </c>
      <c r="J252" s="5" t="s">
        <v>53</v>
      </c>
      <c r="K252" s="6">
        <v>26</v>
      </c>
      <c r="L252" s="15">
        <v>230</v>
      </c>
      <c r="M252" s="15">
        <f t="shared" ca="1" si="23"/>
        <v>9</v>
      </c>
      <c r="N252" s="16">
        <f t="shared" ca="1" si="21"/>
        <v>221</v>
      </c>
      <c r="O252" s="18">
        <f t="shared" ca="1" si="20"/>
        <v>0.96086956521739131</v>
      </c>
      <c r="P252" s="19">
        <f t="shared" si="22"/>
        <v>8.8461538461538467</v>
      </c>
      <c r="Q252" s="16" t="str">
        <f>IF(COUNTIF($B$2:B252,B252)=1,SUMIF($B$2:$B$1097,B252,$L$2:$L$1097),"")</f>
        <v/>
      </c>
    </row>
    <row r="253" spans="1:18" ht="12.75" x14ac:dyDescent="0.2">
      <c r="A253" s="3">
        <v>252</v>
      </c>
      <c r="B253" s="26">
        <v>45009</v>
      </c>
      <c r="C253" s="23" t="s">
        <v>23</v>
      </c>
      <c r="D253" s="4">
        <v>7</v>
      </c>
      <c r="E253" s="24" t="s">
        <v>9</v>
      </c>
      <c r="F253" s="5" t="s">
        <v>11</v>
      </c>
      <c r="G253" s="5" t="s">
        <v>10</v>
      </c>
      <c r="H253" s="5" t="s">
        <v>25</v>
      </c>
      <c r="I253" s="5" t="s">
        <v>13</v>
      </c>
      <c r="J253" s="5" t="s">
        <v>56</v>
      </c>
      <c r="K253" s="6">
        <v>30</v>
      </c>
      <c r="L253" s="15">
        <v>274</v>
      </c>
      <c r="M253" s="15">
        <f t="shared" ca="1" si="23"/>
        <v>19</v>
      </c>
      <c r="N253" s="16">
        <f t="shared" ca="1" si="21"/>
        <v>255</v>
      </c>
      <c r="O253" s="18">
        <f t="shared" ca="1" si="20"/>
        <v>0.93065693430656937</v>
      </c>
      <c r="P253" s="19">
        <f t="shared" si="22"/>
        <v>9.1333333333333329</v>
      </c>
      <c r="Q253" s="16">
        <f>IF(COUNTIF($B$2:B253,B253)=1,SUMIF($B$2:$B$1097,B253,$L$2:$L$1097),"")</f>
        <v>274</v>
      </c>
      <c r="R253" s="16">
        <f t="shared" ref="R253:R254" si="26">AVERAGE(Q233:Q253)</f>
        <v>668.33333333333337</v>
      </c>
    </row>
    <row r="254" spans="1:18" ht="12.75" x14ac:dyDescent="0.2">
      <c r="A254" s="3">
        <v>253</v>
      </c>
      <c r="B254" s="26">
        <v>45011</v>
      </c>
      <c r="C254" s="23" t="s">
        <v>23</v>
      </c>
      <c r="D254" s="4">
        <v>2</v>
      </c>
      <c r="E254" s="24" t="s">
        <v>9</v>
      </c>
      <c r="F254" s="5" t="s">
        <v>11</v>
      </c>
      <c r="G254" s="5" t="s">
        <v>11</v>
      </c>
      <c r="H254" s="5" t="s">
        <v>14</v>
      </c>
      <c r="I254" s="5" t="s">
        <v>13</v>
      </c>
      <c r="J254" s="5" t="s">
        <v>52</v>
      </c>
      <c r="K254" s="6">
        <v>24</v>
      </c>
      <c r="L254" s="15">
        <v>264</v>
      </c>
      <c r="M254" s="15">
        <f t="shared" ca="1" si="23"/>
        <v>20</v>
      </c>
      <c r="N254" s="16">
        <f t="shared" ca="1" si="21"/>
        <v>244</v>
      </c>
      <c r="O254" s="18">
        <f t="shared" ca="1" si="20"/>
        <v>0.9242424242424242</v>
      </c>
      <c r="P254" s="19">
        <f t="shared" si="22"/>
        <v>11</v>
      </c>
      <c r="Q254" s="16">
        <f>IF(COUNTIF($B$2:B254,B254)=1,SUMIF($B$2:$B$1097,B254,$L$2:$L$1097),"")</f>
        <v>616</v>
      </c>
      <c r="R254" s="16">
        <f t="shared" si="26"/>
        <v>675.66666666666663</v>
      </c>
    </row>
    <row r="255" spans="1:18" ht="12.75" x14ac:dyDescent="0.2">
      <c r="A255" s="3">
        <v>254</v>
      </c>
      <c r="B255" s="26">
        <v>45011</v>
      </c>
      <c r="C255" s="23" t="s">
        <v>23</v>
      </c>
      <c r="D255" s="4">
        <v>2</v>
      </c>
      <c r="E255" s="24" t="s">
        <v>9</v>
      </c>
      <c r="F255" s="5" t="s">
        <v>11</v>
      </c>
      <c r="G255" s="5" t="s">
        <v>11</v>
      </c>
      <c r="H255" s="5" t="s">
        <v>14</v>
      </c>
      <c r="I255" s="5" t="s">
        <v>15</v>
      </c>
      <c r="J255" s="5" t="s">
        <v>54</v>
      </c>
      <c r="K255" s="6">
        <v>10</v>
      </c>
      <c r="L255" s="15">
        <v>110</v>
      </c>
      <c r="M255" s="15">
        <f t="shared" ca="1" si="23"/>
        <v>36</v>
      </c>
      <c r="N255" s="16">
        <f t="shared" ca="1" si="21"/>
        <v>74</v>
      </c>
      <c r="O255" s="18">
        <f t="shared" ca="1" si="20"/>
        <v>0.67272727272727273</v>
      </c>
      <c r="P255" s="19">
        <f t="shared" si="22"/>
        <v>11</v>
      </c>
      <c r="Q255" s="16" t="str">
        <f>IF(COUNTIF($B$2:B255,B255)=1,SUMIF($B$2:$B$1097,B255,$L$2:$L$1097),"")</f>
        <v/>
      </c>
    </row>
    <row r="256" spans="1:18" ht="12.75" x14ac:dyDescent="0.2">
      <c r="A256" s="3">
        <v>255</v>
      </c>
      <c r="B256" s="26">
        <v>45011</v>
      </c>
      <c r="C256" s="23" t="s">
        <v>23</v>
      </c>
      <c r="D256" s="4">
        <v>2</v>
      </c>
      <c r="E256" s="24" t="s">
        <v>9</v>
      </c>
      <c r="F256" s="5" t="s">
        <v>11</v>
      </c>
      <c r="G256" s="5" t="s">
        <v>11</v>
      </c>
      <c r="H256" s="5" t="s">
        <v>14</v>
      </c>
      <c r="I256" s="5" t="s">
        <v>16</v>
      </c>
      <c r="J256" s="5" t="s">
        <v>54</v>
      </c>
      <c r="K256" s="6">
        <v>8</v>
      </c>
      <c r="L256" s="15">
        <v>88</v>
      </c>
      <c r="M256" s="15">
        <f t="shared" ca="1" si="23"/>
        <v>30</v>
      </c>
      <c r="N256" s="16">
        <f t="shared" ca="1" si="21"/>
        <v>58</v>
      </c>
      <c r="O256" s="18">
        <f t="shared" ca="1" si="20"/>
        <v>0.65909090909090906</v>
      </c>
      <c r="P256" s="19">
        <f t="shared" si="22"/>
        <v>11</v>
      </c>
      <c r="Q256" s="16" t="str">
        <f>IF(COUNTIF($B$2:B256,B256)=1,SUMIF($B$2:$B$1097,B256,$L$2:$L$1097),"")</f>
        <v/>
      </c>
    </row>
    <row r="257" spans="1:18" ht="12.75" x14ac:dyDescent="0.2">
      <c r="A257" s="3">
        <v>256</v>
      </c>
      <c r="B257" s="26">
        <v>45011</v>
      </c>
      <c r="C257" s="23" t="s">
        <v>23</v>
      </c>
      <c r="D257" s="4">
        <v>2</v>
      </c>
      <c r="E257" s="24" t="s">
        <v>9</v>
      </c>
      <c r="F257" s="5" t="s">
        <v>11</v>
      </c>
      <c r="G257" s="5" t="s">
        <v>11</v>
      </c>
      <c r="H257" s="5" t="s">
        <v>14</v>
      </c>
      <c r="I257" s="5" t="s">
        <v>17</v>
      </c>
      <c r="J257" s="5" t="s">
        <v>54</v>
      </c>
      <c r="K257" s="6">
        <v>14</v>
      </c>
      <c r="L257" s="15">
        <v>154</v>
      </c>
      <c r="M257" s="15">
        <f t="shared" ca="1" si="23"/>
        <v>39</v>
      </c>
      <c r="N257" s="16">
        <f t="shared" ca="1" si="21"/>
        <v>115</v>
      </c>
      <c r="O257" s="18">
        <f t="shared" ca="1" si="20"/>
        <v>0.74675324675324672</v>
      </c>
      <c r="P257" s="19">
        <f t="shared" si="22"/>
        <v>11</v>
      </c>
      <c r="Q257" s="16" t="str">
        <f>IF(COUNTIF($B$2:B257,B257)=1,SUMIF($B$2:$B$1097,B257,$L$2:$L$1097),"")</f>
        <v/>
      </c>
    </row>
    <row r="258" spans="1:18" ht="12.75" x14ac:dyDescent="0.2">
      <c r="A258" s="3">
        <v>257</v>
      </c>
      <c r="B258" s="26">
        <v>45012</v>
      </c>
      <c r="C258" s="23" t="s">
        <v>23</v>
      </c>
      <c r="D258" s="4">
        <v>3</v>
      </c>
      <c r="E258" s="24" t="s">
        <v>9</v>
      </c>
      <c r="F258" s="5" t="s">
        <v>11</v>
      </c>
      <c r="G258" s="5" t="s">
        <v>11</v>
      </c>
      <c r="H258" s="5" t="s">
        <v>14</v>
      </c>
      <c r="I258" s="5" t="s">
        <v>13</v>
      </c>
      <c r="J258" s="5" t="s">
        <v>56</v>
      </c>
      <c r="K258" s="6">
        <v>18</v>
      </c>
      <c r="L258" s="15">
        <v>198</v>
      </c>
      <c r="M258" s="15">
        <f t="shared" ca="1" si="23"/>
        <v>19</v>
      </c>
      <c r="N258" s="16">
        <f t="shared" ca="1" si="21"/>
        <v>179</v>
      </c>
      <c r="O258" s="18">
        <f t="shared" ref="O258:O321" ca="1" si="27">IF(L258=0, 0, N258/L258)</f>
        <v>0.90404040404040409</v>
      </c>
      <c r="P258" s="19">
        <f t="shared" si="22"/>
        <v>11</v>
      </c>
      <c r="Q258" s="16">
        <f>IF(COUNTIF($B$2:B258,B258)=1,SUMIF($B$2:$B$1097,B258,$L$2:$L$1097),"")</f>
        <v>517</v>
      </c>
      <c r="R258" s="16">
        <f>AVERAGE(Q238:Q258)</f>
        <v>663.16666666666663</v>
      </c>
    </row>
    <row r="259" spans="1:18" ht="12.75" x14ac:dyDescent="0.2">
      <c r="A259" s="3">
        <v>258</v>
      </c>
      <c r="B259" s="26">
        <v>45012</v>
      </c>
      <c r="C259" s="23" t="s">
        <v>23</v>
      </c>
      <c r="D259" s="4">
        <v>3</v>
      </c>
      <c r="E259" s="24" t="s">
        <v>9</v>
      </c>
      <c r="F259" s="5" t="s">
        <v>11</v>
      </c>
      <c r="G259" s="5" t="s">
        <v>11</v>
      </c>
      <c r="H259" s="5" t="s">
        <v>14</v>
      </c>
      <c r="I259" s="5" t="s">
        <v>15</v>
      </c>
      <c r="J259" s="5" t="s">
        <v>56</v>
      </c>
      <c r="K259" s="6">
        <v>11</v>
      </c>
      <c r="L259" s="15">
        <v>121</v>
      </c>
      <c r="M259" s="15">
        <f t="shared" ca="1" si="23"/>
        <v>50</v>
      </c>
      <c r="N259" s="16">
        <f t="shared" ref="N259:N322" ca="1" si="28">L259-M259</f>
        <v>71</v>
      </c>
      <c r="O259" s="18">
        <f t="shared" ca="1" si="27"/>
        <v>0.58677685950413228</v>
      </c>
      <c r="P259" s="19">
        <f t="shared" ref="P259:P322" si="29">IF(K259=0, 0, L259/K259)</f>
        <v>11</v>
      </c>
      <c r="Q259" s="16" t="str">
        <f>IF(COUNTIF($B$2:B259,B259)=1,SUMIF($B$2:$B$1097,B259,$L$2:$L$1097),"")</f>
        <v/>
      </c>
    </row>
    <row r="260" spans="1:18" ht="12.75" x14ac:dyDescent="0.2">
      <c r="A260" s="3">
        <v>259</v>
      </c>
      <c r="B260" s="26">
        <v>45012</v>
      </c>
      <c r="C260" s="23" t="s">
        <v>23</v>
      </c>
      <c r="D260" s="4">
        <v>3</v>
      </c>
      <c r="E260" s="24" t="s">
        <v>9</v>
      </c>
      <c r="F260" s="5" t="s">
        <v>11</v>
      </c>
      <c r="G260" s="5" t="s">
        <v>11</v>
      </c>
      <c r="H260" s="5" t="s">
        <v>14</v>
      </c>
      <c r="I260" s="5" t="s">
        <v>16</v>
      </c>
      <c r="J260" s="5" t="s">
        <v>55</v>
      </c>
      <c r="K260" s="6">
        <v>5</v>
      </c>
      <c r="L260" s="15">
        <v>55</v>
      </c>
      <c r="M260" s="15">
        <f t="shared" ca="1" si="23"/>
        <v>43</v>
      </c>
      <c r="N260" s="16">
        <f t="shared" ca="1" si="28"/>
        <v>12</v>
      </c>
      <c r="O260" s="18">
        <f t="shared" ca="1" si="27"/>
        <v>0.21818181818181817</v>
      </c>
      <c r="P260" s="19">
        <f t="shared" si="29"/>
        <v>11</v>
      </c>
      <c r="Q260" s="16" t="str">
        <f>IF(COUNTIF($B$2:B260,B260)=1,SUMIF($B$2:$B$1097,B260,$L$2:$L$1097),"")</f>
        <v/>
      </c>
    </row>
    <row r="261" spans="1:18" ht="12.75" x14ac:dyDescent="0.2">
      <c r="A261" s="3">
        <v>260</v>
      </c>
      <c r="B261" s="26">
        <v>45012</v>
      </c>
      <c r="C261" s="23" t="s">
        <v>23</v>
      </c>
      <c r="D261" s="4">
        <v>3</v>
      </c>
      <c r="E261" s="24" t="s">
        <v>9</v>
      </c>
      <c r="F261" s="5" t="s">
        <v>11</v>
      </c>
      <c r="G261" s="5" t="s">
        <v>11</v>
      </c>
      <c r="H261" s="5" t="s">
        <v>14</v>
      </c>
      <c r="I261" s="5" t="s">
        <v>17</v>
      </c>
      <c r="J261" s="5" t="s">
        <v>53</v>
      </c>
      <c r="K261" s="6">
        <v>13</v>
      </c>
      <c r="L261" s="15">
        <v>143</v>
      </c>
      <c r="M261" s="15">
        <f t="shared" ca="1" si="23"/>
        <v>37</v>
      </c>
      <c r="N261" s="16">
        <f t="shared" ca="1" si="28"/>
        <v>106</v>
      </c>
      <c r="O261" s="18">
        <f t="shared" ca="1" si="27"/>
        <v>0.74125874125874125</v>
      </c>
      <c r="P261" s="19">
        <f t="shared" si="29"/>
        <v>11</v>
      </c>
      <c r="Q261" s="16" t="str">
        <f>IF(COUNTIF($B$2:B261,B261)=1,SUMIF($B$2:$B$1097,B261,$L$2:$L$1097),"")</f>
        <v/>
      </c>
    </row>
    <row r="262" spans="1:18" ht="12.75" x14ac:dyDescent="0.2">
      <c r="A262" s="3">
        <v>261</v>
      </c>
      <c r="B262" s="26">
        <v>45013</v>
      </c>
      <c r="C262" s="23" t="s">
        <v>23</v>
      </c>
      <c r="D262" s="4">
        <v>4</v>
      </c>
      <c r="E262" s="24" t="s">
        <v>9</v>
      </c>
      <c r="F262" s="5" t="s">
        <v>11</v>
      </c>
      <c r="G262" s="5" t="s">
        <v>11</v>
      </c>
      <c r="H262" s="5" t="s">
        <v>14</v>
      </c>
      <c r="I262" s="5" t="s">
        <v>13</v>
      </c>
      <c r="J262" s="5" t="s">
        <v>52</v>
      </c>
      <c r="K262" s="6">
        <v>16</v>
      </c>
      <c r="L262" s="15">
        <v>176</v>
      </c>
      <c r="M262" s="15">
        <f t="shared" ca="1" si="23"/>
        <v>42</v>
      </c>
      <c r="N262" s="16">
        <f t="shared" ca="1" si="28"/>
        <v>134</v>
      </c>
      <c r="O262" s="18">
        <f t="shared" ca="1" si="27"/>
        <v>0.76136363636363635</v>
      </c>
      <c r="P262" s="19">
        <f t="shared" si="29"/>
        <v>11</v>
      </c>
      <c r="Q262" s="16">
        <f>IF(COUNTIF($B$2:B262,B262)=1,SUMIF($B$2:$B$1097,B262,$L$2:$L$1097),"")</f>
        <v>396</v>
      </c>
      <c r="R262" s="16">
        <f>AVERAGE(Q242:Q262)</f>
        <v>599.83333333333337</v>
      </c>
    </row>
    <row r="263" spans="1:18" ht="12.75" x14ac:dyDescent="0.2">
      <c r="A263" s="3">
        <v>262</v>
      </c>
      <c r="B263" s="26">
        <v>45013</v>
      </c>
      <c r="C263" s="23" t="s">
        <v>23</v>
      </c>
      <c r="D263" s="4">
        <v>4</v>
      </c>
      <c r="E263" s="24" t="s">
        <v>9</v>
      </c>
      <c r="F263" s="5" t="s">
        <v>11</v>
      </c>
      <c r="G263" s="5" t="s">
        <v>11</v>
      </c>
      <c r="H263" s="5" t="s">
        <v>14</v>
      </c>
      <c r="I263" s="5" t="s">
        <v>15</v>
      </c>
      <c r="J263" s="5" t="s">
        <v>54</v>
      </c>
      <c r="K263" s="6">
        <v>5</v>
      </c>
      <c r="L263" s="15">
        <v>55</v>
      </c>
      <c r="M263" s="15">
        <f t="shared" ca="1" si="23"/>
        <v>31</v>
      </c>
      <c r="N263" s="16">
        <f t="shared" ca="1" si="28"/>
        <v>24</v>
      </c>
      <c r="O263" s="18">
        <f t="shared" ca="1" si="27"/>
        <v>0.43636363636363634</v>
      </c>
      <c r="P263" s="19">
        <f t="shared" si="29"/>
        <v>11</v>
      </c>
      <c r="Q263" s="16" t="str">
        <f>IF(COUNTIF($B$2:B263,B263)=1,SUMIF($B$2:$B$1097,B263,$L$2:$L$1097),"")</f>
        <v/>
      </c>
    </row>
    <row r="264" spans="1:18" ht="12.75" x14ac:dyDescent="0.2">
      <c r="A264" s="3">
        <v>263</v>
      </c>
      <c r="B264" s="26">
        <v>45013</v>
      </c>
      <c r="C264" s="23" t="s">
        <v>23</v>
      </c>
      <c r="D264" s="4">
        <v>4</v>
      </c>
      <c r="E264" s="24" t="s">
        <v>9</v>
      </c>
      <c r="F264" s="5" t="s">
        <v>11</v>
      </c>
      <c r="G264" s="5" t="s">
        <v>11</v>
      </c>
      <c r="H264" s="5" t="s">
        <v>14</v>
      </c>
      <c r="I264" s="5" t="s">
        <v>16</v>
      </c>
      <c r="J264" s="5" t="s">
        <v>54</v>
      </c>
      <c r="K264" s="6">
        <v>5</v>
      </c>
      <c r="L264" s="15">
        <v>55</v>
      </c>
      <c r="M264" s="15">
        <f t="shared" ca="1" si="23"/>
        <v>9</v>
      </c>
      <c r="N264" s="16">
        <f t="shared" ca="1" si="28"/>
        <v>46</v>
      </c>
      <c r="O264" s="18">
        <f t="shared" ca="1" si="27"/>
        <v>0.83636363636363631</v>
      </c>
      <c r="P264" s="19">
        <f t="shared" si="29"/>
        <v>11</v>
      </c>
      <c r="Q264" s="16" t="str">
        <f>IF(COUNTIF($B$2:B264,B264)=1,SUMIF($B$2:$B$1097,B264,$L$2:$L$1097),"")</f>
        <v/>
      </c>
    </row>
    <row r="265" spans="1:18" ht="12.75" x14ac:dyDescent="0.2">
      <c r="A265" s="3">
        <v>264</v>
      </c>
      <c r="B265" s="26">
        <v>45013</v>
      </c>
      <c r="C265" s="23" t="s">
        <v>23</v>
      </c>
      <c r="D265" s="4">
        <v>4</v>
      </c>
      <c r="E265" s="24" t="s">
        <v>9</v>
      </c>
      <c r="F265" s="5" t="s">
        <v>11</v>
      </c>
      <c r="G265" s="5" t="s">
        <v>11</v>
      </c>
      <c r="H265" s="5" t="s">
        <v>14</v>
      </c>
      <c r="I265" s="5" t="s">
        <v>17</v>
      </c>
      <c r="J265" s="5" t="s">
        <v>54</v>
      </c>
      <c r="K265" s="6">
        <v>10</v>
      </c>
      <c r="L265" s="15">
        <v>110</v>
      </c>
      <c r="M265" s="15">
        <f t="shared" ref="M265:M328" ca="1" si="30">RANDBETWEEN(1,50)</f>
        <v>21</v>
      </c>
      <c r="N265" s="16">
        <f t="shared" ca="1" si="28"/>
        <v>89</v>
      </c>
      <c r="O265" s="18">
        <f t="shared" ca="1" si="27"/>
        <v>0.80909090909090908</v>
      </c>
      <c r="P265" s="19">
        <f t="shared" si="29"/>
        <v>11</v>
      </c>
      <c r="Q265" s="16" t="str">
        <f>IF(COUNTIF($B$2:B265,B265)=1,SUMIF($B$2:$B$1097,B265,$L$2:$L$1097),"")</f>
        <v/>
      </c>
    </row>
    <row r="266" spans="1:18" ht="12.75" x14ac:dyDescent="0.2">
      <c r="A266" s="3">
        <v>265</v>
      </c>
      <c r="B266" s="26">
        <v>45014</v>
      </c>
      <c r="C266" s="23" t="s">
        <v>23</v>
      </c>
      <c r="D266" s="4">
        <v>5</v>
      </c>
      <c r="E266" s="24" t="s">
        <v>9</v>
      </c>
      <c r="F266" s="5" t="s">
        <v>11</v>
      </c>
      <c r="G266" s="5" t="s">
        <v>11</v>
      </c>
      <c r="H266" s="5" t="s">
        <v>14</v>
      </c>
      <c r="I266" s="5" t="s">
        <v>13</v>
      </c>
      <c r="J266" s="5" t="s">
        <v>56</v>
      </c>
      <c r="K266" s="6">
        <v>16</v>
      </c>
      <c r="L266" s="15">
        <v>176</v>
      </c>
      <c r="M266" s="15">
        <f t="shared" ca="1" si="30"/>
        <v>30</v>
      </c>
      <c r="N266" s="16">
        <f t="shared" ca="1" si="28"/>
        <v>146</v>
      </c>
      <c r="O266" s="18">
        <f t="shared" ca="1" si="27"/>
        <v>0.82954545454545459</v>
      </c>
      <c r="P266" s="19">
        <f t="shared" si="29"/>
        <v>11</v>
      </c>
      <c r="Q266" s="16">
        <f>IF(COUNTIF($B$2:B266,B266)=1,SUMIF($B$2:$B$1097,B266,$L$2:$L$1097),"")</f>
        <v>473</v>
      </c>
      <c r="R266" s="16">
        <f>AVERAGE(Q246:Q266)</f>
        <v>547.16666666666663</v>
      </c>
    </row>
    <row r="267" spans="1:18" ht="12.75" x14ac:dyDescent="0.2">
      <c r="A267" s="3">
        <v>266</v>
      </c>
      <c r="B267" s="26">
        <v>45014</v>
      </c>
      <c r="C267" s="23" t="s">
        <v>23</v>
      </c>
      <c r="D267" s="4">
        <v>5</v>
      </c>
      <c r="E267" s="24" t="s">
        <v>9</v>
      </c>
      <c r="F267" s="5" t="s">
        <v>11</v>
      </c>
      <c r="G267" s="5" t="s">
        <v>11</v>
      </c>
      <c r="H267" s="5" t="s">
        <v>14</v>
      </c>
      <c r="I267" s="5" t="s">
        <v>15</v>
      </c>
      <c r="J267" s="5" t="s">
        <v>56</v>
      </c>
      <c r="K267" s="6">
        <v>10</v>
      </c>
      <c r="L267" s="15">
        <v>110</v>
      </c>
      <c r="M267" s="15">
        <f t="shared" ca="1" si="30"/>
        <v>46</v>
      </c>
      <c r="N267" s="16">
        <f t="shared" ca="1" si="28"/>
        <v>64</v>
      </c>
      <c r="O267" s="18">
        <f t="shared" ca="1" si="27"/>
        <v>0.58181818181818179</v>
      </c>
      <c r="P267" s="19">
        <f t="shared" si="29"/>
        <v>11</v>
      </c>
      <c r="Q267" s="16" t="str">
        <f>IF(COUNTIF($B$2:B267,B267)=1,SUMIF($B$2:$B$1097,B267,$L$2:$L$1097),"")</f>
        <v/>
      </c>
    </row>
    <row r="268" spans="1:18" ht="12.75" x14ac:dyDescent="0.2">
      <c r="A268" s="3">
        <v>267</v>
      </c>
      <c r="B268" s="26">
        <v>45014</v>
      </c>
      <c r="C268" s="23" t="s">
        <v>23</v>
      </c>
      <c r="D268" s="4">
        <v>5</v>
      </c>
      <c r="E268" s="24" t="s">
        <v>9</v>
      </c>
      <c r="F268" s="5" t="s">
        <v>11</v>
      </c>
      <c r="G268" s="5" t="s">
        <v>11</v>
      </c>
      <c r="H268" s="5" t="s">
        <v>14</v>
      </c>
      <c r="I268" s="5" t="s">
        <v>16</v>
      </c>
      <c r="J268" s="5" t="s">
        <v>55</v>
      </c>
      <c r="K268" s="6">
        <v>5</v>
      </c>
      <c r="L268" s="15">
        <v>55</v>
      </c>
      <c r="M268" s="15">
        <f t="shared" ca="1" si="30"/>
        <v>45</v>
      </c>
      <c r="N268" s="16">
        <f t="shared" ca="1" si="28"/>
        <v>10</v>
      </c>
      <c r="O268" s="18">
        <f t="shared" ca="1" si="27"/>
        <v>0.18181818181818182</v>
      </c>
      <c r="P268" s="19">
        <f t="shared" si="29"/>
        <v>11</v>
      </c>
      <c r="Q268" s="16" t="str">
        <f>IF(COUNTIF($B$2:B268,B268)=1,SUMIF($B$2:$B$1097,B268,$L$2:$L$1097),"")</f>
        <v/>
      </c>
    </row>
    <row r="269" spans="1:18" ht="12.75" x14ac:dyDescent="0.2">
      <c r="A269" s="3">
        <v>268</v>
      </c>
      <c r="B269" s="26">
        <v>45014</v>
      </c>
      <c r="C269" s="23" t="s">
        <v>23</v>
      </c>
      <c r="D269" s="4">
        <v>5</v>
      </c>
      <c r="E269" s="24" t="s">
        <v>9</v>
      </c>
      <c r="F269" s="5" t="s">
        <v>11</v>
      </c>
      <c r="G269" s="5" t="s">
        <v>11</v>
      </c>
      <c r="H269" s="5" t="s">
        <v>14</v>
      </c>
      <c r="I269" s="5" t="s">
        <v>17</v>
      </c>
      <c r="J269" s="5" t="s">
        <v>53</v>
      </c>
      <c r="K269" s="6">
        <v>12</v>
      </c>
      <c r="L269" s="15">
        <v>132</v>
      </c>
      <c r="M269" s="15">
        <f t="shared" ca="1" si="30"/>
        <v>30</v>
      </c>
      <c r="N269" s="16">
        <f t="shared" ca="1" si="28"/>
        <v>102</v>
      </c>
      <c r="O269" s="18">
        <f t="shared" ca="1" si="27"/>
        <v>0.77272727272727271</v>
      </c>
      <c r="P269" s="19">
        <f t="shared" si="29"/>
        <v>11</v>
      </c>
      <c r="Q269" s="16" t="str">
        <f>IF(COUNTIF($B$2:B269,B269)=1,SUMIF($B$2:$B$1097,B269,$L$2:$L$1097),"")</f>
        <v/>
      </c>
    </row>
    <row r="270" spans="1:18" ht="12.75" x14ac:dyDescent="0.2">
      <c r="A270" s="3">
        <v>269</v>
      </c>
      <c r="B270" s="26">
        <v>45015</v>
      </c>
      <c r="C270" s="23" t="s">
        <v>23</v>
      </c>
      <c r="D270" s="4">
        <v>6</v>
      </c>
      <c r="E270" s="24" t="s">
        <v>9</v>
      </c>
      <c r="F270" s="5" t="s">
        <v>11</v>
      </c>
      <c r="G270" s="5" t="s">
        <v>11</v>
      </c>
      <c r="H270" s="5" t="s">
        <v>14</v>
      </c>
      <c r="I270" s="5" t="s">
        <v>13</v>
      </c>
      <c r="J270" s="5" t="s">
        <v>52</v>
      </c>
      <c r="K270" s="6">
        <v>21</v>
      </c>
      <c r="L270" s="15">
        <v>231</v>
      </c>
      <c r="M270" s="15">
        <f t="shared" ca="1" si="30"/>
        <v>47</v>
      </c>
      <c r="N270" s="16">
        <f t="shared" ca="1" si="28"/>
        <v>184</v>
      </c>
      <c r="O270" s="18">
        <f t="shared" ca="1" si="27"/>
        <v>0.79653679653679654</v>
      </c>
      <c r="P270" s="19">
        <f t="shared" si="29"/>
        <v>11</v>
      </c>
      <c r="Q270" s="16">
        <f>IF(COUNTIF($B$2:B270,B270)=1,SUMIF($B$2:$B$1097,B270,$L$2:$L$1097),"")</f>
        <v>638</v>
      </c>
      <c r="R270" s="16">
        <f>AVERAGE(Q250:Q270)</f>
        <v>485.66666666666669</v>
      </c>
    </row>
    <row r="271" spans="1:18" ht="12.75" x14ac:dyDescent="0.2">
      <c r="A271" s="3">
        <v>270</v>
      </c>
      <c r="B271" s="26">
        <v>45015</v>
      </c>
      <c r="C271" s="23" t="s">
        <v>23</v>
      </c>
      <c r="D271" s="4">
        <v>6</v>
      </c>
      <c r="E271" s="24" t="s">
        <v>9</v>
      </c>
      <c r="F271" s="5" t="s">
        <v>11</v>
      </c>
      <c r="G271" s="5" t="s">
        <v>11</v>
      </c>
      <c r="H271" s="5" t="s">
        <v>14</v>
      </c>
      <c r="I271" s="5" t="s">
        <v>15</v>
      </c>
      <c r="J271" s="5" t="s">
        <v>55</v>
      </c>
      <c r="K271" s="6">
        <v>12</v>
      </c>
      <c r="L271" s="15">
        <v>132</v>
      </c>
      <c r="M271" s="15">
        <f t="shared" ca="1" si="30"/>
        <v>42</v>
      </c>
      <c r="N271" s="16">
        <f t="shared" ca="1" si="28"/>
        <v>90</v>
      </c>
      <c r="O271" s="18">
        <f t="shared" ca="1" si="27"/>
        <v>0.68181818181818177</v>
      </c>
      <c r="P271" s="19">
        <f t="shared" si="29"/>
        <v>11</v>
      </c>
      <c r="Q271" s="16" t="str">
        <f>IF(COUNTIF($B$2:B271,B271)=1,SUMIF($B$2:$B$1097,B271,$L$2:$L$1097),"")</f>
        <v/>
      </c>
    </row>
    <row r="272" spans="1:18" ht="12.75" x14ac:dyDescent="0.2">
      <c r="A272" s="3">
        <v>271</v>
      </c>
      <c r="B272" s="26">
        <v>45015</v>
      </c>
      <c r="C272" s="23" t="s">
        <v>23</v>
      </c>
      <c r="D272" s="4">
        <v>6</v>
      </c>
      <c r="E272" s="24" t="s">
        <v>9</v>
      </c>
      <c r="F272" s="5" t="s">
        <v>11</v>
      </c>
      <c r="G272" s="5" t="s">
        <v>11</v>
      </c>
      <c r="H272" s="5" t="s">
        <v>14</v>
      </c>
      <c r="I272" s="5" t="s">
        <v>16</v>
      </c>
      <c r="J272" s="5" t="s">
        <v>55</v>
      </c>
      <c r="K272" s="6">
        <v>8</v>
      </c>
      <c r="L272" s="15">
        <v>88</v>
      </c>
      <c r="M272" s="15">
        <f t="shared" ca="1" si="30"/>
        <v>24</v>
      </c>
      <c r="N272" s="16">
        <f t="shared" ca="1" si="28"/>
        <v>64</v>
      </c>
      <c r="O272" s="18">
        <f t="shared" ca="1" si="27"/>
        <v>0.72727272727272729</v>
      </c>
      <c r="P272" s="19">
        <f t="shared" si="29"/>
        <v>11</v>
      </c>
      <c r="Q272" s="16" t="str">
        <f>IF(COUNTIF($B$2:B272,B272)=1,SUMIF($B$2:$B$1097,B272,$L$2:$L$1097),"")</f>
        <v/>
      </c>
    </row>
    <row r="273" spans="1:18" ht="12.75" x14ac:dyDescent="0.2">
      <c r="A273" s="3">
        <v>272</v>
      </c>
      <c r="B273" s="26">
        <v>45015</v>
      </c>
      <c r="C273" s="23" t="s">
        <v>23</v>
      </c>
      <c r="D273" s="4">
        <v>6</v>
      </c>
      <c r="E273" s="24" t="s">
        <v>9</v>
      </c>
      <c r="F273" s="5" t="s">
        <v>11</v>
      </c>
      <c r="G273" s="5" t="s">
        <v>11</v>
      </c>
      <c r="H273" s="5" t="s">
        <v>14</v>
      </c>
      <c r="I273" s="5" t="s">
        <v>17</v>
      </c>
      <c r="J273" s="5" t="s">
        <v>53</v>
      </c>
      <c r="K273" s="6">
        <v>17</v>
      </c>
      <c r="L273" s="15">
        <v>187</v>
      </c>
      <c r="M273" s="15">
        <f t="shared" ca="1" si="30"/>
        <v>27</v>
      </c>
      <c r="N273" s="16">
        <f t="shared" ca="1" si="28"/>
        <v>160</v>
      </c>
      <c r="O273" s="18">
        <f t="shared" ca="1" si="27"/>
        <v>0.85561497326203206</v>
      </c>
      <c r="P273" s="19">
        <f t="shared" si="29"/>
        <v>11</v>
      </c>
      <c r="Q273" s="16" t="str">
        <f>IF(COUNTIF($B$2:B273,B273)=1,SUMIF($B$2:$B$1097,B273,$L$2:$L$1097),"")</f>
        <v/>
      </c>
    </row>
    <row r="274" spans="1:18" ht="12.75" x14ac:dyDescent="0.2">
      <c r="A274" s="3">
        <v>273</v>
      </c>
      <c r="B274" s="26">
        <v>45016</v>
      </c>
      <c r="C274" s="23" t="s">
        <v>23</v>
      </c>
      <c r="D274" s="4">
        <v>7</v>
      </c>
      <c r="E274" s="24" t="s">
        <v>9</v>
      </c>
      <c r="F274" s="5" t="s">
        <v>11</v>
      </c>
      <c r="G274" s="5" t="s">
        <v>11</v>
      </c>
      <c r="H274" s="5" t="s">
        <v>14</v>
      </c>
      <c r="I274" s="5" t="s">
        <v>13</v>
      </c>
      <c r="J274" s="5" t="s">
        <v>56</v>
      </c>
      <c r="K274" s="6">
        <v>24</v>
      </c>
      <c r="L274" s="15">
        <v>264</v>
      </c>
      <c r="M274" s="15">
        <f t="shared" ca="1" si="30"/>
        <v>29</v>
      </c>
      <c r="N274" s="16">
        <f t="shared" ca="1" si="28"/>
        <v>235</v>
      </c>
      <c r="O274" s="18">
        <f t="shared" ca="1" si="27"/>
        <v>0.89015151515151514</v>
      </c>
      <c r="P274" s="19">
        <f t="shared" si="29"/>
        <v>11</v>
      </c>
      <c r="Q274" s="16">
        <f>IF(COUNTIF($B$2:B274,B274)=1,SUMIF($B$2:$B$1097,B274,$L$2:$L$1097),"")</f>
        <v>264</v>
      </c>
      <c r="R274" s="16">
        <f t="shared" ref="R274:R275" si="31">AVERAGE(Q254:Q274)</f>
        <v>484</v>
      </c>
    </row>
    <row r="275" spans="1:18" ht="12.75" x14ac:dyDescent="0.2">
      <c r="A275" s="3">
        <v>274</v>
      </c>
      <c r="B275" s="26">
        <v>45018</v>
      </c>
      <c r="C275" s="23" t="s">
        <v>26</v>
      </c>
      <c r="D275" s="4">
        <v>2</v>
      </c>
      <c r="E275" s="24" t="s">
        <v>27</v>
      </c>
      <c r="F275" s="5" t="s">
        <v>11</v>
      </c>
      <c r="G275" s="5" t="s">
        <v>11</v>
      </c>
      <c r="H275" s="5" t="s">
        <v>14</v>
      </c>
      <c r="I275" s="5" t="s">
        <v>13</v>
      </c>
      <c r="J275" s="5" t="s">
        <v>52</v>
      </c>
      <c r="K275" s="6">
        <v>19</v>
      </c>
      <c r="L275" s="15">
        <v>209</v>
      </c>
      <c r="M275" s="15">
        <f t="shared" ca="1" si="30"/>
        <v>42</v>
      </c>
      <c r="N275" s="16">
        <f t="shared" ca="1" si="28"/>
        <v>167</v>
      </c>
      <c r="O275" s="18">
        <f t="shared" ca="1" si="27"/>
        <v>0.79904306220095689</v>
      </c>
      <c r="P275" s="19">
        <f t="shared" si="29"/>
        <v>11</v>
      </c>
      <c r="Q275" s="16">
        <f>IF(COUNTIF($B$2:B275,B275)=1,SUMIF($B$2:$B$1097,B275,$L$2:$L$1097),"")</f>
        <v>594</v>
      </c>
      <c r="R275" s="16">
        <f t="shared" si="31"/>
        <v>480.33333333333331</v>
      </c>
    </row>
    <row r="276" spans="1:18" ht="12.75" x14ac:dyDescent="0.2">
      <c r="A276" s="3">
        <v>275</v>
      </c>
      <c r="B276" s="26">
        <v>45018</v>
      </c>
      <c r="C276" s="23" t="s">
        <v>26</v>
      </c>
      <c r="D276" s="4">
        <v>2</v>
      </c>
      <c r="E276" s="24" t="s">
        <v>27</v>
      </c>
      <c r="F276" s="5" t="s">
        <v>11</v>
      </c>
      <c r="G276" s="5" t="s">
        <v>11</v>
      </c>
      <c r="H276" s="5" t="s">
        <v>14</v>
      </c>
      <c r="I276" s="5" t="s">
        <v>15</v>
      </c>
      <c r="J276" s="5" t="s">
        <v>54</v>
      </c>
      <c r="K276" s="6">
        <v>13</v>
      </c>
      <c r="L276" s="15">
        <v>143</v>
      </c>
      <c r="M276" s="15">
        <f t="shared" ca="1" si="30"/>
        <v>50</v>
      </c>
      <c r="N276" s="16">
        <f t="shared" ca="1" si="28"/>
        <v>93</v>
      </c>
      <c r="O276" s="18">
        <f t="shared" ca="1" si="27"/>
        <v>0.65034965034965031</v>
      </c>
      <c r="P276" s="19">
        <f t="shared" si="29"/>
        <v>11</v>
      </c>
      <c r="Q276" s="16" t="str">
        <f>IF(COUNTIF($B$2:B276,B276)=1,SUMIF($B$2:$B$1097,B276,$L$2:$L$1097),"")</f>
        <v/>
      </c>
    </row>
    <row r="277" spans="1:18" ht="12.75" x14ac:dyDescent="0.2">
      <c r="A277" s="3">
        <v>276</v>
      </c>
      <c r="B277" s="26">
        <v>45018</v>
      </c>
      <c r="C277" s="23" t="s">
        <v>26</v>
      </c>
      <c r="D277" s="4">
        <v>2</v>
      </c>
      <c r="E277" s="24" t="s">
        <v>27</v>
      </c>
      <c r="F277" s="5" t="s">
        <v>11</v>
      </c>
      <c r="G277" s="5" t="s">
        <v>11</v>
      </c>
      <c r="H277" s="5" t="s">
        <v>14</v>
      </c>
      <c r="I277" s="5" t="s">
        <v>16</v>
      </c>
      <c r="J277" s="5" t="s">
        <v>54</v>
      </c>
      <c r="K277" s="6">
        <v>10</v>
      </c>
      <c r="L277" s="15">
        <v>110</v>
      </c>
      <c r="M277" s="15">
        <f t="shared" ca="1" si="30"/>
        <v>2</v>
      </c>
      <c r="N277" s="16">
        <f t="shared" ca="1" si="28"/>
        <v>108</v>
      </c>
      <c r="O277" s="18">
        <f t="shared" ca="1" si="27"/>
        <v>0.98181818181818181</v>
      </c>
      <c r="P277" s="19">
        <f t="shared" si="29"/>
        <v>11</v>
      </c>
      <c r="Q277" s="16" t="str">
        <f>IF(COUNTIF($B$2:B277,B277)=1,SUMIF($B$2:$B$1097,B277,$L$2:$L$1097),"")</f>
        <v/>
      </c>
    </row>
    <row r="278" spans="1:18" ht="12.75" x14ac:dyDescent="0.2">
      <c r="A278" s="3">
        <v>277</v>
      </c>
      <c r="B278" s="26">
        <v>45018</v>
      </c>
      <c r="C278" s="23" t="s">
        <v>26</v>
      </c>
      <c r="D278" s="4">
        <v>2</v>
      </c>
      <c r="E278" s="24" t="s">
        <v>27</v>
      </c>
      <c r="F278" s="5" t="s">
        <v>11</v>
      </c>
      <c r="G278" s="5" t="s">
        <v>11</v>
      </c>
      <c r="H278" s="5" t="s">
        <v>14</v>
      </c>
      <c r="I278" s="5" t="s">
        <v>17</v>
      </c>
      <c r="J278" s="5" t="s">
        <v>54</v>
      </c>
      <c r="K278" s="6">
        <v>12</v>
      </c>
      <c r="L278" s="15">
        <v>132</v>
      </c>
      <c r="M278" s="15">
        <f t="shared" ca="1" si="30"/>
        <v>9</v>
      </c>
      <c r="N278" s="16">
        <f t="shared" ca="1" si="28"/>
        <v>123</v>
      </c>
      <c r="O278" s="18">
        <f t="shared" ca="1" si="27"/>
        <v>0.93181818181818177</v>
      </c>
      <c r="P278" s="19">
        <f t="shared" si="29"/>
        <v>11</v>
      </c>
      <c r="Q278" s="16" t="str">
        <f>IF(COUNTIF($B$2:B278,B278)=1,SUMIF($B$2:$B$1097,B278,$L$2:$L$1097),"")</f>
        <v/>
      </c>
    </row>
    <row r="279" spans="1:18" ht="12.75" x14ac:dyDescent="0.2">
      <c r="A279" s="3">
        <v>278</v>
      </c>
      <c r="B279" s="26">
        <v>45019</v>
      </c>
      <c r="C279" s="23" t="s">
        <v>26</v>
      </c>
      <c r="D279" s="4">
        <v>3</v>
      </c>
      <c r="E279" s="24" t="s">
        <v>27</v>
      </c>
      <c r="F279" s="5" t="s">
        <v>11</v>
      </c>
      <c r="G279" s="5" t="s">
        <v>11</v>
      </c>
      <c r="H279" s="5" t="s">
        <v>14</v>
      </c>
      <c r="I279" s="5" t="s">
        <v>13</v>
      </c>
      <c r="J279" s="5" t="s">
        <v>56</v>
      </c>
      <c r="K279" s="6">
        <v>17</v>
      </c>
      <c r="L279" s="15">
        <v>187</v>
      </c>
      <c r="M279" s="15">
        <f t="shared" ca="1" si="30"/>
        <v>48</v>
      </c>
      <c r="N279" s="16">
        <f t="shared" ca="1" si="28"/>
        <v>139</v>
      </c>
      <c r="O279" s="18">
        <f t="shared" ca="1" si="27"/>
        <v>0.74331550802139035</v>
      </c>
      <c r="P279" s="19">
        <f t="shared" si="29"/>
        <v>11</v>
      </c>
      <c r="Q279" s="16">
        <f>IF(COUNTIF($B$2:B279,B279)=1,SUMIF($B$2:$B$1097,B279,$L$2:$L$1097),"")</f>
        <v>517</v>
      </c>
      <c r="R279" s="16">
        <f>AVERAGE(Q259:Q279)</f>
        <v>480.33333333333331</v>
      </c>
    </row>
    <row r="280" spans="1:18" ht="12.75" x14ac:dyDescent="0.2">
      <c r="A280" s="3">
        <v>279</v>
      </c>
      <c r="B280" s="26">
        <v>45019</v>
      </c>
      <c r="C280" s="23" t="s">
        <v>26</v>
      </c>
      <c r="D280" s="4">
        <v>3</v>
      </c>
      <c r="E280" s="24" t="s">
        <v>27</v>
      </c>
      <c r="F280" s="5" t="s">
        <v>11</v>
      </c>
      <c r="G280" s="5" t="s">
        <v>11</v>
      </c>
      <c r="H280" s="5" t="s">
        <v>14</v>
      </c>
      <c r="I280" s="5" t="s">
        <v>15</v>
      </c>
      <c r="J280" s="5" t="s">
        <v>56</v>
      </c>
      <c r="K280" s="6">
        <v>11</v>
      </c>
      <c r="L280" s="15">
        <v>121</v>
      </c>
      <c r="M280" s="15">
        <f t="shared" ca="1" si="30"/>
        <v>47</v>
      </c>
      <c r="N280" s="16">
        <f t="shared" ca="1" si="28"/>
        <v>74</v>
      </c>
      <c r="O280" s="18">
        <f t="shared" ca="1" si="27"/>
        <v>0.61157024793388426</v>
      </c>
      <c r="P280" s="19">
        <f t="shared" si="29"/>
        <v>11</v>
      </c>
      <c r="Q280" s="16" t="str">
        <f>IF(COUNTIF($B$2:B280,B280)=1,SUMIF($B$2:$B$1097,B280,$L$2:$L$1097),"")</f>
        <v/>
      </c>
    </row>
    <row r="281" spans="1:18" ht="12.75" x14ac:dyDescent="0.2">
      <c r="A281" s="3">
        <v>280</v>
      </c>
      <c r="B281" s="26">
        <v>45019</v>
      </c>
      <c r="C281" s="23" t="s">
        <v>26</v>
      </c>
      <c r="D281" s="4">
        <v>3</v>
      </c>
      <c r="E281" s="24" t="s">
        <v>27</v>
      </c>
      <c r="F281" s="5" t="s">
        <v>11</v>
      </c>
      <c r="G281" s="5" t="s">
        <v>11</v>
      </c>
      <c r="H281" s="5" t="s">
        <v>14</v>
      </c>
      <c r="I281" s="5" t="s">
        <v>16</v>
      </c>
      <c r="J281" s="5" t="s">
        <v>55</v>
      </c>
      <c r="K281" s="6">
        <v>5</v>
      </c>
      <c r="L281" s="15">
        <v>55</v>
      </c>
      <c r="M281" s="15">
        <f t="shared" ca="1" si="30"/>
        <v>32</v>
      </c>
      <c r="N281" s="16">
        <f t="shared" ca="1" si="28"/>
        <v>23</v>
      </c>
      <c r="O281" s="18">
        <f t="shared" ca="1" si="27"/>
        <v>0.41818181818181815</v>
      </c>
      <c r="P281" s="19">
        <f t="shared" si="29"/>
        <v>11</v>
      </c>
      <c r="Q281" s="16" t="str">
        <f>IF(COUNTIF($B$2:B281,B281)=1,SUMIF($B$2:$B$1097,B281,$L$2:$L$1097),"")</f>
        <v/>
      </c>
    </row>
    <row r="282" spans="1:18" ht="12.75" x14ac:dyDescent="0.2">
      <c r="A282" s="3">
        <v>281</v>
      </c>
      <c r="B282" s="26">
        <v>45019</v>
      </c>
      <c r="C282" s="23" t="s">
        <v>26</v>
      </c>
      <c r="D282" s="4">
        <v>3</v>
      </c>
      <c r="E282" s="24" t="s">
        <v>27</v>
      </c>
      <c r="F282" s="5" t="s">
        <v>11</v>
      </c>
      <c r="G282" s="5" t="s">
        <v>11</v>
      </c>
      <c r="H282" s="5" t="s">
        <v>14</v>
      </c>
      <c r="I282" s="5" t="s">
        <v>17</v>
      </c>
      <c r="J282" s="5" t="s">
        <v>53</v>
      </c>
      <c r="K282" s="6">
        <v>14</v>
      </c>
      <c r="L282" s="15">
        <v>154</v>
      </c>
      <c r="M282" s="15">
        <f t="shared" ca="1" si="30"/>
        <v>3</v>
      </c>
      <c r="N282" s="16">
        <f t="shared" ca="1" si="28"/>
        <v>151</v>
      </c>
      <c r="O282" s="18">
        <f t="shared" ca="1" si="27"/>
        <v>0.98051948051948057</v>
      </c>
      <c r="P282" s="19">
        <f t="shared" si="29"/>
        <v>11</v>
      </c>
      <c r="Q282" s="16" t="str">
        <f>IF(COUNTIF($B$2:B282,B282)=1,SUMIF($B$2:$B$1097,B282,$L$2:$L$1097),"")</f>
        <v/>
      </c>
    </row>
    <row r="283" spans="1:18" ht="12.75" x14ac:dyDescent="0.2">
      <c r="A283" s="3">
        <v>282</v>
      </c>
      <c r="B283" s="26">
        <v>45020</v>
      </c>
      <c r="C283" s="23" t="s">
        <v>26</v>
      </c>
      <c r="D283" s="4">
        <v>4</v>
      </c>
      <c r="E283" s="24" t="s">
        <v>27</v>
      </c>
      <c r="F283" s="5" t="s">
        <v>11</v>
      </c>
      <c r="G283" s="5" t="s">
        <v>11</v>
      </c>
      <c r="H283" s="5" t="s">
        <v>14</v>
      </c>
      <c r="I283" s="5" t="s">
        <v>13</v>
      </c>
      <c r="J283" s="5" t="s">
        <v>52</v>
      </c>
      <c r="K283" s="6">
        <v>15</v>
      </c>
      <c r="L283" s="15">
        <v>165</v>
      </c>
      <c r="M283" s="15">
        <f t="shared" ca="1" si="30"/>
        <v>30</v>
      </c>
      <c r="N283" s="16">
        <f t="shared" ca="1" si="28"/>
        <v>135</v>
      </c>
      <c r="O283" s="18">
        <f t="shared" ca="1" si="27"/>
        <v>0.81818181818181823</v>
      </c>
      <c r="P283" s="19">
        <f t="shared" si="29"/>
        <v>11</v>
      </c>
      <c r="Q283" s="16">
        <f>IF(COUNTIF($B$2:B283,B283)=1,SUMIF($B$2:$B$1097,B283,$L$2:$L$1097),"")</f>
        <v>385</v>
      </c>
      <c r="R283" s="16">
        <f>AVERAGE(Q263:Q283)</f>
        <v>478.5</v>
      </c>
    </row>
    <row r="284" spans="1:18" ht="12.75" x14ac:dyDescent="0.2">
      <c r="A284" s="3">
        <v>283</v>
      </c>
      <c r="B284" s="26">
        <v>45020</v>
      </c>
      <c r="C284" s="23" t="s">
        <v>26</v>
      </c>
      <c r="D284" s="4">
        <v>4</v>
      </c>
      <c r="E284" s="24" t="s">
        <v>27</v>
      </c>
      <c r="F284" s="5" t="s">
        <v>11</v>
      </c>
      <c r="G284" s="5" t="s">
        <v>11</v>
      </c>
      <c r="H284" s="5" t="s">
        <v>14</v>
      </c>
      <c r="I284" s="5" t="s">
        <v>15</v>
      </c>
      <c r="J284" s="5" t="s">
        <v>54</v>
      </c>
      <c r="K284" s="6">
        <v>6</v>
      </c>
      <c r="L284" s="15">
        <v>66</v>
      </c>
      <c r="M284" s="15">
        <f t="shared" ca="1" si="30"/>
        <v>8</v>
      </c>
      <c r="N284" s="16">
        <f t="shared" ca="1" si="28"/>
        <v>58</v>
      </c>
      <c r="O284" s="18">
        <f t="shared" ca="1" si="27"/>
        <v>0.87878787878787878</v>
      </c>
      <c r="P284" s="19">
        <f t="shared" si="29"/>
        <v>11</v>
      </c>
      <c r="Q284" s="16" t="str">
        <f>IF(COUNTIF($B$2:B284,B284)=1,SUMIF($B$2:$B$1097,B284,$L$2:$L$1097),"")</f>
        <v/>
      </c>
    </row>
    <row r="285" spans="1:18" ht="12.75" x14ac:dyDescent="0.2">
      <c r="A285" s="3">
        <v>284</v>
      </c>
      <c r="B285" s="26">
        <v>45020</v>
      </c>
      <c r="C285" s="23" t="s">
        <v>26</v>
      </c>
      <c r="D285" s="4">
        <v>4</v>
      </c>
      <c r="E285" s="24" t="s">
        <v>27</v>
      </c>
      <c r="F285" s="5" t="s">
        <v>11</v>
      </c>
      <c r="G285" s="5" t="s">
        <v>11</v>
      </c>
      <c r="H285" s="5" t="s">
        <v>14</v>
      </c>
      <c r="I285" s="5" t="s">
        <v>16</v>
      </c>
      <c r="J285" s="5" t="s">
        <v>54</v>
      </c>
      <c r="K285" s="6">
        <v>5</v>
      </c>
      <c r="L285" s="15">
        <v>55</v>
      </c>
      <c r="M285" s="15">
        <f t="shared" ca="1" si="30"/>
        <v>11</v>
      </c>
      <c r="N285" s="16">
        <f t="shared" ca="1" si="28"/>
        <v>44</v>
      </c>
      <c r="O285" s="18">
        <f t="shared" ca="1" si="27"/>
        <v>0.8</v>
      </c>
      <c r="P285" s="19">
        <f t="shared" si="29"/>
        <v>11</v>
      </c>
      <c r="Q285" s="16" t="str">
        <f>IF(COUNTIF($B$2:B285,B285)=1,SUMIF($B$2:$B$1097,B285,$L$2:$L$1097),"")</f>
        <v/>
      </c>
    </row>
    <row r="286" spans="1:18" ht="12.75" x14ac:dyDescent="0.2">
      <c r="A286" s="3">
        <v>285</v>
      </c>
      <c r="B286" s="26">
        <v>45020</v>
      </c>
      <c r="C286" s="23" t="s">
        <v>26</v>
      </c>
      <c r="D286" s="4">
        <v>4</v>
      </c>
      <c r="E286" s="24" t="s">
        <v>27</v>
      </c>
      <c r="F286" s="5" t="s">
        <v>11</v>
      </c>
      <c r="G286" s="5" t="s">
        <v>11</v>
      </c>
      <c r="H286" s="5" t="s">
        <v>14</v>
      </c>
      <c r="I286" s="5" t="s">
        <v>17</v>
      </c>
      <c r="J286" s="5" t="s">
        <v>54</v>
      </c>
      <c r="K286" s="6">
        <v>9</v>
      </c>
      <c r="L286" s="15">
        <v>99</v>
      </c>
      <c r="M286" s="15">
        <f t="shared" ca="1" si="30"/>
        <v>47</v>
      </c>
      <c r="N286" s="16">
        <f t="shared" ca="1" si="28"/>
        <v>52</v>
      </c>
      <c r="O286" s="18">
        <f t="shared" ca="1" si="27"/>
        <v>0.5252525252525253</v>
      </c>
      <c r="P286" s="19">
        <f t="shared" si="29"/>
        <v>11</v>
      </c>
      <c r="Q286" s="16" t="str">
        <f>IF(COUNTIF($B$2:B286,B286)=1,SUMIF($B$2:$B$1097,B286,$L$2:$L$1097),"")</f>
        <v/>
      </c>
    </row>
    <row r="287" spans="1:18" ht="12.75" x14ac:dyDescent="0.2">
      <c r="A287" s="3">
        <v>286</v>
      </c>
      <c r="B287" s="26">
        <v>45021</v>
      </c>
      <c r="C287" s="23" t="s">
        <v>26</v>
      </c>
      <c r="D287" s="4">
        <v>5</v>
      </c>
      <c r="E287" s="24" t="s">
        <v>27</v>
      </c>
      <c r="F287" s="5" t="s">
        <v>11</v>
      </c>
      <c r="G287" s="5" t="s">
        <v>11</v>
      </c>
      <c r="H287" s="5" t="s">
        <v>14</v>
      </c>
      <c r="I287" s="5" t="s">
        <v>13</v>
      </c>
      <c r="J287" s="5" t="s">
        <v>56</v>
      </c>
      <c r="K287" s="6">
        <v>16</v>
      </c>
      <c r="L287" s="15">
        <v>176</v>
      </c>
      <c r="M287" s="15">
        <f t="shared" ca="1" si="30"/>
        <v>30</v>
      </c>
      <c r="N287" s="16">
        <f t="shared" ca="1" si="28"/>
        <v>146</v>
      </c>
      <c r="O287" s="18">
        <f t="shared" ca="1" si="27"/>
        <v>0.82954545454545459</v>
      </c>
      <c r="P287" s="19">
        <f t="shared" si="29"/>
        <v>11</v>
      </c>
      <c r="Q287" s="16">
        <f>IF(COUNTIF($B$2:B287,B287)=1,SUMIF($B$2:$B$1097,B287,$L$2:$L$1097),"")</f>
        <v>484</v>
      </c>
      <c r="R287" s="16">
        <f>AVERAGE(Q267:Q287)</f>
        <v>480.33333333333331</v>
      </c>
    </row>
    <row r="288" spans="1:18" ht="12.75" x14ac:dyDescent="0.2">
      <c r="A288" s="3">
        <v>287</v>
      </c>
      <c r="B288" s="26">
        <v>45021</v>
      </c>
      <c r="C288" s="23" t="s">
        <v>26</v>
      </c>
      <c r="D288" s="4">
        <v>5</v>
      </c>
      <c r="E288" s="24" t="s">
        <v>27</v>
      </c>
      <c r="F288" s="5" t="s">
        <v>11</v>
      </c>
      <c r="G288" s="5" t="s">
        <v>11</v>
      </c>
      <c r="H288" s="5" t="s">
        <v>14</v>
      </c>
      <c r="I288" s="5" t="s">
        <v>15</v>
      </c>
      <c r="J288" s="5" t="s">
        <v>56</v>
      </c>
      <c r="K288" s="6">
        <v>11</v>
      </c>
      <c r="L288" s="15">
        <v>121</v>
      </c>
      <c r="M288" s="15">
        <f t="shared" ca="1" si="30"/>
        <v>18</v>
      </c>
      <c r="N288" s="16">
        <f t="shared" ca="1" si="28"/>
        <v>103</v>
      </c>
      <c r="O288" s="18">
        <f t="shared" ca="1" si="27"/>
        <v>0.85123966942148765</v>
      </c>
      <c r="P288" s="19">
        <f t="shared" si="29"/>
        <v>11</v>
      </c>
      <c r="Q288" s="16" t="str">
        <f>IF(COUNTIF($B$2:B288,B288)=1,SUMIF($B$2:$B$1097,B288,$L$2:$L$1097),"")</f>
        <v/>
      </c>
    </row>
    <row r="289" spans="1:18" ht="12.75" x14ac:dyDescent="0.2">
      <c r="A289" s="3">
        <v>288</v>
      </c>
      <c r="B289" s="26">
        <v>45021</v>
      </c>
      <c r="C289" s="23" t="s">
        <v>26</v>
      </c>
      <c r="D289" s="4">
        <v>5</v>
      </c>
      <c r="E289" s="24" t="s">
        <v>27</v>
      </c>
      <c r="F289" s="5" t="s">
        <v>11</v>
      </c>
      <c r="G289" s="5" t="s">
        <v>11</v>
      </c>
      <c r="H289" s="5" t="s">
        <v>14</v>
      </c>
      <c r="I289" s="5" t="s">
        <v>16</v>
      </c>
      <c r="J289" s="5" t="s">
        <v>55</v>
      </c>
      <c r="K289" s="6">
        <v>5</v>
      </c>
      <c r="L289" s="15">
        <v>55</v>
      </c>
      <c r="M289" s="15">
        <f t="shared" ca="1" si="30"/>
        <v>37</v>
      </c>
      <c r="N289" s="16">
        <f t="shared" ca="1" si="28"/>
        <v>18</v>
      </c>
      <c r="O289" s="18">
        <f t="shared" ca="1" si="27"/>
        <v>0.32727272727272727</v>
      </c>
      <c r="P289" s="19">
        <f t="shared" si="29"/>
        <v>11</v>
      </c>
      <c r="Q289" s="16" t="str">
        <f>IF(COUNTIF($B$2:B289,B289)=1,SUMIF($B$2:$B$1097,B289,$L$2:$L$1097),"")</f>
        <v/>
      </c>
    </row>
    <row r="290" spans="1:18" ht="12.75" x14ac:dyDescent="0.2">
      <c r="A290" s="3">
        <v>289</v>
      </c>
      <c r="B290" s="26">
        <v>45021</v>
      </c>
      <c r="C290" s="23" t="s">
        <v>26</v>
      </c>
      <c r="D290" s="4">
        <v>5</v>
      </c>
      <c r="E290" s="24" t="s">
        <v>27</v>
      </c>
      <c r="F290" s="5" t="s">
        <v>11</v>
      </c>
      <c r="G290" s="5" t="s">
        <v>11</v>
      </c>
      <c r="H290" s="5" t="s">
        <v>14</v>
      </c>
      <c r="I290" s="5" t="s">
        <v>17</v>
      </c>
      <c r="J290" s="5" t="s">
        <v>53</v>
      </c>
      <c r="K290" s="6">
        <v>12</v>
      </c>
      <c r="L290" s="15">
        <v>132</v>
      </c>
      <c r="M290" s="15">
        <f t="shared" ca="1" si="30"/>
        <v>44</v>
      </c>
      <c r="N290" s="16">
        <f t="shared" ca="1" si="28"/>
        <v>88</v>
      </c>
      <c r="O290" s="18">
        <f t="shared" ca="1" si="27"/>
        <v>0.66666666666666663</v>
      </c>
      <c r="P290" s="19">
        <f t="shared" si="29"/>
        <v>11</v>
      </c>
      <c r="Q290" s="16" t="str">
        <f>IF(COUNTIF($B$2:B290,B290)=1,SUMIF($B$2:$B$1097,B290,$L$2:$L$1097),"")</f>
        <v/>
      </c>
    </row>
    <row r="291" spans="1:18" ht="12.75" x14ac:dyDescent="0.2">
      <c r="A291" s="3">
        <v>290</v>
      </c>
      <c r="B291" s="26">
        <v>45022</v>
      </c>
      <c r="C291" s="23" t="s">
        <v>26</v>
      </c>
      <c r="D291" s="4">
        <v>6</v>
      </c>
      <c r="E291" s="24" t="s">
        <v>27</v>
      </c>
      <c r="F291" s="5" t="s">
        <v>11</v>
      </c>
      <c r="G291" s="5" t="s">
        <v>11</v>
      </c>
      <c r="H291" s="5" t="s">
        <v>14</v>
      </c>
      <c r="I291" s="5" t="s">
        <v>13</v>
      </c>
      <c r="J291" s="5" t="s">
        <v>52</v>
      </c>
      <c r="K291" s="6">
        <v>18</v>
      </c>
      <c r="L291" s="15">
        <v>198</v>
      </c>
      <c r="M291" s="15">
        <f t="shared" ca="1" si="30"/>
        <v>25</v>
      </c>
      <c r="N291" s="16">
        <f t="shared" ca="1" si="28"/>
        <v>173</v>
      </c>
      <c r="O291" s="18">
        <f t="shared" ca="1" si="27"/>
        <v>0.8737373737373737</v>
      </c>
      <c r="P291" s="19">
        <f t="shared" si="29"/>
        <v>11</v>
      </c>
      <c r="Q291" s="16">
        <f>IF(COUNTIF($B$2:B291,B291)=1,SUMIF($B$2:$B$1097,B291,$L$2:$L$1097),"")</f>
        <v>605</v>
      </c>
      <c r="R291" s="16">
        <f>AVERAGE(Q271:Q291)</f>
        <v>474.83333333333331</v>
      </c>
    </row>
    <row r="292" spans="1:18" ht="12.75" x14ac:dyDescent="0.2">
      <c r="A292" s="3">
        <v>291</v>
      </c>
      <c r="B292" s="26">
        <v>45022</v>
      </c>
      <c r="C292" s="23" t="s">
        <v>26</v>
      </c>
      <c r="D292" s="4">
        <v>6</v>
      </c>
      <c r="E292" s="24" t="s">
        <v>27</v>
      </c>
      <c r="F292" s="5" t="s">
        <v>11</v>
      </c>
      <c r="G292" s="5" t="s">
        <v>11</v>
      </c>
      <c r="H292" s="5" t="s">
        <v>14</v>
      </c>
      <c r="I292" s="5" t="s">
        <v>15</v>
      </c>
      <c r="J292" s="5" t="s">
        <v>55</v>
      </c>
      <c r="K292" s="6">
        <v>12</v>
      </c>
      <c r="L292" s="15">
        <v>132</v>
      </c>
      <c r="M292" s="15">
        <f t="shared" ca="1" si="30"/>
        <v>11</v>
      </c>
      <c r="N292" s="16">
        <f t="shared" ca="1" si="28"/>
        <v>121</v>
      </c>
      <c r="O292" s="18">
        <f t="shared" ca="1" si="27"/>
        <v>0.91666666666666663</v>
      </c>
      <c r="P292" s="19">
        <f t="shared" si="29"/>
        <v>11</v>
      </c>
      <c r="Q292" s="16" t="str">
        <f>IF(COUNTIF($B$2:B292,B292)=1,SUMIF($B$2:$B$1097,B292,$L$2:$L$1097),"")</f>
        <v/>
      </c>
    </row>
    <row r="293" spans="1:18" ht="12.75" x14ac:dyDescent="0.2">
      <c r="A293" s="3">
        <v>292</v>
      </c>
      <c r="B293" s="26">
        <v>45022</v>
      </c>
      <c r="C293" s="23" t="s">
        <v>26</v>
      </c>
      <c r="D293" s="4">
        <v>6</v>
      </c>
      <c r="E293" s="24" t="s">
        <v>27</v>
      </c>
      <c r="F293" s="5" t="s">
        <v>11</v>
      </c>
      <c r="G293" s="5" t="s">
        <v>11</v>
      </c>
      <c r="H293" s="5" t="s">
        <v>14</v>
      </c>
      <c r="I293" s="5" t="s">
        <v>16</v>
      </c>
      <c r="J293" s="5" t="s">
        <v>55</v>
      </c>
      <c r="K293" s="6">
        <v>9</v>
      </c>
      <c r="L293" s="15">
        <v>99</v>
      </c>
      <c r="M293" s="15">
        <f t="shared" ca="1" si="30"/>
        <v>17</v>
      </c>
      <c r="N293" s="16">
        <f t="shared" ca="1" si="28"/>
        <v>82</v>
      </c>
      <c r="O293" s="18">
        <f t="shared" ca="1" si="27"/>
        <v>0.82828282828282829</v>
      </c>
      <c r="P293" s="19">
        <f t="shared" si="29"/>
        <v>11</v>
      </c>
      <c r="Q293" s="16" t="str">
        <f>IF(COUNTIF($B$2:B293,B293)=1,SUMIF($B$2:$B$1097,B293,$L$2:$L$1097),"")</f>
        <v/>
      </c>
    </row>
    <row r="294" spans="1:18" ht="12.75" x14ac:dyDescent="0.2">
      <c r="A294" s="3">
        <v>293</v>
      </c>
      <c r="B294" s="26">
        <v>45022</v>
      </c>
      <c r="C294" s="23" t="s">
        <v>26</v>
      </c>
      <c r="D294" s="4">
        <v>6</v>
      </c>
      <c r="E294" s="24" t="s">
        <v>27</v>
      </c>
      <c r="F294" s="5" t="s">
        <v>11</v>
      </c>
      <c r="G294" s="5" t="s">
        <v>11</v>
      </c>
      <c r="H294" s="5" t="s">
        <v>14</v>
      </c>
      <c r="I294" s="5" t="s">
        <v>17</v>
      </c>
      <c r="J294" s="5" t="s">
        <v>53</v>
      </c>
      <c r="K294" s="6">
        <v>16</v>
      </c>
      <c r="L294" s="15">
        <v>176</v>
      </c>
      <c r="M294" s="15">
        <f t="shared" ca="1" si="30"/>
        <v>38</v>
      </c>
      <c r="N294" s="16">
        <f t="shared" ca="1" si="28"/>
        <v>138</v>
      </c>
      <c r="O294" s="18">
        <f t="shared" ca="1" si="27"/>
        <v>0.78409090909090906</v>
      </c>
      <c r="P294" s="19">
        <f t="shared" si="29"/>
        <v>11</v>
      </c>
      <c r="Q294" s="16" t="str">
        <f>IF(COUNTIF($B$2:B294,B294)=1,SUMIF($B$2:$B$1097,B294,$L$2:$L$1097),"")</f>
        <v/>
      </c>
    </row>
    <row r="295" spans="1:18" ht="12.75" x14ac:dyDescent="0.2">
      <c r="A295" s="3">
        <v>294</v>
      </c>
      <c r="B295" s="26">
        <v>45023</v>
      </c>
      <c r="C295" s="23" t="s">
        <v>26</v>
      </c>
      <c r="D295" s="4">
        <v>7</v>
      </c>
      <c r="E295" s="24" t="s">
        <v>27</v>
      </c>
      <c r="F295" s="5" t="s">
        <v>11</v>
      </c>
      <c r="G295" s="5" t="s">
        <v>11</v>
      </c>
      <c r="H295" s="5" t="s">
        <v>14</v>
      </c>
      <c r="I295" s="5" t="s">
        <v>13</v>
      </c>
      <c r="J295" s="5" t="s">
        <v>56</v>
      </c>
      <c r="K295" s="6">
        <v>21</v>
      </c>
      <c r="L295" s="15">
        <v>231</v>
      </c>
      <c r="M295" s="15">
        <f t="shared" ca="1" si="30"/>
        <v>48</v>
      </c>
      <c r="N295" s="16">
        <f t="shared" ca="1" si="28"/>
        <v>183</v>
      </c>
      <c r="O295" s="18">
        <f t="shared" ca="1" si="27"/>
        <v>0.79220779220779225</v>
      </c>
      <c r="P295" s="19">
        <f t="shared" si="29"/>
        <v>11</v>
      </c>
      <c r="Q295" s="16">
        <f>IF(COUNTIF($B$2:B295,B295)=1,SUMIF($B$2:$B$1097,B295,$L$2:$L$1097),"")</f>
        <v>231</v>
      </c>
      <c r="R295" s="16">
        <f t="shared" ref="R295:R296" si="32">AVERAGE(Q275:Q295)</f>
        <v>469.33333333333331</v>
      </c>
    </row>
    <row r="296" spans="1:18" ht="12.75" x14ac:dyDescent="0.2">
      <c r="A296" s="3">
        <v>295</v>
      </c>
      <c r="B296" s="26">
        <v>45025</v>
      </c>
      <c r="C296" s="23" t="s">
        <v>26</v>
      </c>
      <c r="D296" s="4">
        <v>2</v>
      </c>
      <c r="E296" s="24" t="s">
        <v>27</v>
      </c>
      <c r="F296" s="5" t="s">
        <v>11</v>
      </c>
      <c r="G296" s="5" t="s">
        <v>11</v>
      </c>
      <c r="H296" s="5" t="s">
        <v>14</v>
      </c>
      <c r="I296" s="5" t="s">
        <v>13</v>
      </c>
      <c r="J296" s="5" t="s">
        <v>52</v>
      </c>
      <c r="K296" s="6">
        <v>24</v>
      </c>
      <c r="L296" s="15">
        <v>264</v>
      </c>
      <c r="M296" s="15">
        <f t="shared" ca="1" si="30"/>
        <v>40</v>
      </c>
      <c r="N296" s="16">
        <f t="shared" ca="1" si="28"/>
        <v>224</v>
      </c>
      <c r="O296" s="18">
        <f t="shared" ca="1" si="27"/>
        <v>0.84848484848484851</v>
      </c>
      <c r="P296" s="19">
        <f t="shared" si="29"/>
        <v>11</v>
      </c>
      <c r="Q296" s="16">
        <f>IF(COUNTIF($B$2:B296,B296)=1,SUMIF($B$2:$B$1097,B296,$L$2:$L$1097),"")</f>
        <v>616</v>
      </c>
      <c r="R296" s="16">
        <f t="shared" si="32"/>
        <v>473</v>
      </c>
    </row>
    <row r="297" spans="1:18" ht="12.75" x14ac:dyDescent="0.2">
      <c r="A297" s="3">
        <v>296</v>
      </c>
      <c r="B297" s="26">
        <v>45025</v>
      </c>
      <c r="C297" s="23" t="s">
        <v>26</v>
      </c>
      <c r="D297" s="4">
        <v>2</v>
      </c>
      <c r="E297" s="24" t="s">
        <v>27</v>
      </c>
      <c r="F297" s="5" t="s">
        <v>11</v>
      </c>
      <c r="G297" s="5" t="s">
        <v>11</v>
      </c>
      <c r="H297" s="5" t="s">
        <v>14</v>
      </c>
      <c r="I297" s="5" t="s">
        <v>15</v>
      </c>
      <c r="J297" s="5" t="s">
        <v>54</v>
      </c>
      <c r="K297" s="6">
        <v>10</v>
      </c>
      <c r="L297" s="15">
        <v>110</v>
      </c>
      <c r="M297" s="15">
        <f t="shared" ca="1" si="30"/>
        <v>17</v>
      </c>
      <c r="N297" s="16">
        <f t="shared" ca="1" si="28"/>
        <v>93</v>
      </c>
      <c r="O297" s="18">
        <f t="shared" ca="1" si="27"/>
        <v>0.84545454545454546</v>
      </c>
      <c r="P297" s="19">
        <f t="shared" si="29"/>
        <v>11</v>
      </c>
      <c r="Q297" s="16" t="str">
        <f>IF(COUNTIF($B$2:B297,B297)=1,SUMIF($B$2:$B$1097,B297,$L$2:$L$1097),"")</f>
        <v/>
      </c>
    </row>
    <row r="298" spans="1:18" ht="12.75" x14ac:dyDescent="0.2">
      <c r="A298" s="3">
        <v>297</v>
      </c>
      <c r="B298" s="26">
        <v>45025</v>
      </c>
      <c r="C298" s="23" t="s">
        <v>26</v>
      </c>
      <c r="D298" s="4">
        <v>2</v>
      </c>
      <c r="E298" s="24" t="s">
        <v>27</v>
      </c>
      <c r="F298" s="5" t="s">
        <v>11</v>
      </c>
      <c r="G298" s="5" t="s">
        <v>11</v>
      </c>
      <c r="H298" s="5" t="s">
        <v>14</v>
      </c>
      <c r="I298" s="5" t="s">
        <v>16</v>
      </c>
      <c r="J298" s="5" t="s">
        <v>54</v>
      </c>
      <c r="K298" s="6">
        <v>8</v>
      </c>
      <c r="L298" s="15">
        <v>88</v>
      </c>
      <c r="M298" s="15">
        <f t="shared" ca="1" si="30"/>
        <v>26</v>
      </c>
      <c r="N298" s="16">
        <f t="shared" ca="1" si="28"/>
        <v>62</v>
      </c>
      <c r="O298" s="18">
        <f t="shared" ca="1" si="27"/>
        <v>0.70454545454545459</v>
      </c>
      <c r="P298" s="19">
        <f t="shared" si="29"/>
        <v>11</v>
      </c>
      <c r="Q298" s="16" t="str">
        <f>IF(COUNTIF($B$2:B298,B298)=1,SUMIF($B$2:$B$1097,B298,$L$2:$L$1097),"")</f>
        <v/>
      </c>
    </row>
    <row r="299" spans="1:18" ht="12.75" x14ac:dyDescent="0.2">
      <c r="A299" s="3">
        <v>298</v>
      </c>
      <c r="B299" s="26">
        <v>45025</v>
      </c>
      <c r="C299" s="23" t="s">
        <v>26</v>
      </c>
      <c r="D299" s="4">
        <v>2</v>
      </c>
      <c r="E299" s="24" t="s">
        <v>27</v>
      </c>
      <c r="F299" s="5" t="s">
        <v>11</v>
      </c>
      <c r="G299" s="5" t="s">
        <v>11</v>
      </c>
      <c r="H299" s="5" t="s">
        <v>14</v>
      </c>
      <c r="I299" s="5" t="s">
        <v>17</v>
      </c>
      <c r="J299" s="5" t="s">
        <v>54</v>
      </c>
      <c r="K299" s="6">
        <v>14</v>
      </c>
      <c r="L299" s="15">
        <v>154</v>
      </c>
      <c r="M299" s="15">
        <f t="shared" ca="1" si="30"/>
        <v>36</v>
      </c>
      <c r="N299" s="16">
        <f t="shared" ca="1" si="28"/>
        <v>118</v>
      </c>
      <c r="O299" s="18">
        <f t="shared" ca="1" si="27"/>
        <v>0.76623376623376627</v>
      </c>
      <c r="P299" s="19">
        <f t="shared" si="29"/>
        <v>11</v>
      </c>
      <c r="Q299" s="16" t="str">
        <f>IF(COUNTIF($B$2:B299,B299)=1,SUMIF($B$2:$B$1097,B299,$L$2:$L$1097),"")</f>
        <v/>
      </c>
    </row>
    <row r="300" spans="1:18" ht="12.75" x14ac:dyDescent="0.2">
      <c r="A300" s="3">
        <v>299</v>
      </c>
      <c r="B300" s="26">
        <v>45026</v>
      </c>
      <c r="C300" s="23" t="s">
        <v>26</v>
      </c>
      <c r="D300" s="4">
        <v>3</v>
      </c>
      <c r="E300" s="24" t="s">
        <v>27</v>
      </c>
      <c r="F300" s="5" t="s">
        <v>11</v>
      </c>
      <c r="G300" s="5" t="s">
        <v>11</v>
      </c>
      <c r="H300" s="5" t="s">
        <v>14</v>
      </c>
      <c r="I300" s="5" t="s">
        <v>13</v>
      </c>
      <c r="J300" s="5" t="s">
        <v>56</v>
      </c>
      <c r="K300" s="6">
        <v>18</v>
      </c>
      <c r="L300" s="15">
        <v>198</v>
      </c>
      <c r="M300" s="15">
        <f t="shared" ca="1" si="30"/>
        <v>12</v>
      </c>
      <c r="N300" s="16">
        <f t="shared" ca="1" si="28"/>
        <v>186</v>
      </c>
      <c r="O300" s="18">
        <f t="shared" ca="1" si="27"/>
        <v>0.93939393939393945</v>
      </c>
      <c r="P300" s="19">
        <f t="shared" si="29"/>
        <v>11</v>
      </c>
      <c r="Q300" s="16">
        <f>IF(COUNTIF($B$2:B300,B300)=1,SUMIF($B$2:$B$1097,B300,$L$2:$L$1097),"")</f>
        <v>506</v>
      </c>
      <c r="R300" s="16">
        <f>AVERAGE(Q280:Q300)</f>
        <v>471.16666666666669</v>
      </c>
    </row>
    <row r="301" spans="1:18" ht="12.75" x14ac:dyDescent="0.2">
      <c r="A301" s="3">
        <v>300</v>
      </c>
      <c r="B301" s="26">
        <v>45026</v>
      </c>
      <c r="C301" s="23" t="s">
        <v>26</v>
      </c>
      <c r="D301" s="4">
        <v>3</v>
      </c>
      <c r="E301" s="24" t="s">
        <v>27</v>
      </c>
      <c r="F301" s="5" t="s">
        <v>11</v>
      </c>
      <c r="G301" s="5" t="s">
        <v>11</v>
      </c>
      <c r="H301" s="5" t="s">
        <v>14</v>
      </c>
      <c r="I301" s="5" t="s">
        <v>15</v>
      </c>
      <c r="J301" s="5" t="s">
        <v>56</v>
      </c>
      <c r="K301" s="6">
        <v>11</v>
      </c>
      <c r="L301" s="15">
        <v>121</v>
      </c>
      <c r="M301" s="15">
        <f t="shared" ca="1" si="30"/>
        <v>4</v>
      </c>
      <c r="N301" s="16">
        <f t="shared" ca="1" si="28"/>
        <v>117</v>
      </c>
      <c r="O301" s="18">
        <f t="shared" ca="1" si="27"/>
        <v>0.96694214876033058</v>
      </c>
      <c r="P301" s="19">
        <f t="shared" si="29"/>
        <v>11</v>
      </c>
      <c r="Q301" s="16" t="str">
        <f>IF(COUNTIF($B$2:B301,B301)=1,SUMIF($B$2:$B$1097,B301,$L$2:$L$1097),"")</f>
        <v/>
      </c>
    </row>
    <row r="302" spans="1:18" ht="12.75" x14ac:dyDescent="0.2">
      <c r="A302" s="3">
        <v>301</v>
      </c>
      <c r="B302" s="26">
        <v>45026</v>
      </c>
      <c r="C302" s="23" t="s">
        <v>26</v>
      </c>
      <c r="D302" s="4">
        <v>3</v>
      </c>
      <c r="E302" s="24" t="s">
        <v>27</v>
      </c>
      <c r="F302" s="5" t="s">
        <v>11</v>
      </c>
      <c r="G302" s="5" t="s">
        <v>11</v>
      </c>
      <c r="H302" s="5" t="s">
        <v>14</v>
      </c>
      <c r="I302" s="5" t="s">
        <v>16</v>
      </c>
      <c r="J302" s="5" t="s">
        <v>55</v>
      </c>
      <c r="K302" s="6">
        <v>5</v>
      </c>
      <c r="L302" s="15">
        <v>55</v>
      </c>
      <c r="M302" s="15">
        <f t="shared" ca="1" si="30"/>
        <v>10</v>
      </c>
      <c r="N302" s="16">
        <f t="shared" ca="1" si="28"/>
        <v>45</v>
      </c>
      <c r="O302" s="18">
        <f t="shared" ca="1" si="27"/>
        <v>0.81818181818181823</v>
      </c>
      <c r="P302" s="19">
        <f t="shared" si="29"/>
        <v>11</v>
      </c>
      <c r="Q302" s="16" t="str">
        <f>IF(COUNTIF($B$2:B302,B302)=1,SUMIF($B$2:$B$1097,B302,$L$2:$L$1097),"")</f>
        <v/>
      </c>
    </row>
    <row r="303" spans="1:18" ht="12.75" x14ac:dyDescent="0.2">
      <c r="A303" s="3">
        <v>302</v>
      </c>
      <c r="B303" s="26">
        <v>45026</v>
      </c>
      <c r="C303" s="23" t="s">
        <v>26</v>
      </c>
      <c r="D303" s="4">
        <v>3</v>
      </c>
      <c r="E303" s="24" t="s">
        <v>27</v>
      </c>
      <c r="F303" s="5" t="s">
        <v>11</v>
      </c>
      <c r="G303" s="5" t="s">
        <v>11</v>
      </c>
      <c r="H303" s="5" t="s">
        <v>14</v>
      </c>
      <c r="I303" s="5" t="s">
        <v>17</v>
      </c>
      <c r="J303" s="5" t="s">
        <v>53</v>
      </c>
      <c r="K303" s="6">
        <v>12</v>
      </c>
      <c r="L303" s="15">
        <v>132</v>
      </c>
      <c r="M303" s="15">
        <f t="shared" ca="1" si="30"/>
        <v>36</v>
      </c>
      <c r="N303" s="16">
        <f t="shared" ca="1" si="28"/>
        <v>96</v>
      </c>
      <c r="O303" s="18">
        <f t="shared" ca="1" si="27"/>
        <v>0.72727272727272729</v>
      </c>
      <c r="P303" s="19">
        <f t="shared" si="29"/>
        <v>11</v>
      </c>
      <c r="Q303" s="16" t="str">
        <f>IF(COUNTIF($B$2:B303,B303)=1,SUMIF($B$2:$B$1097,B303,$L$2:$L$1097),"")</f>
        <v/>
      </c>
    </row>
    <row r="304" spans="1:18" ht="12.75" x14ac:dyDescent="0.2">
      <c r="A304" s="3">
        <v>303</v>
      </c>
      <c r="B304" s="26">
        <v>45027</v>
      </c>
      <c r="C304" s="23" t="s">
        <v>26</v>
      </c>
      <c r="D304" s="4">
        <v>4</v>
      </c>
      <c r="E304" s="24" t="s">
        <v>27</v>
      </c>
      <c r="F304" s="5" t="s">
        <v>11</v>
      </c>
      <c r="G304" s="5" t="s">
        <v>11</v>
      </c>
      <c r="H304" s="5" t="s">
        <v>14</v>
      </c>
      <c r="I304" s="5" t="s">
        <v>13</v>
      </c>
      <c r="J304" s="5" t="s">
        <v>52</v>
      </c>
      <c r="K304" s="6">
        <v>16</v>
      </c>
      <c r="L304" s="15">
        <v>176</v>
      </c>
      <c r="M304" s="15">
        <f t="shared" ca="1" si="30"/>
        <v>10</v>
      </c>
      <c r="N304" s="16">
        <f t="shared" ca="1" si="28"/>
        <v>166</v>
      </c>
      <c r="O304" s="18">
        <f t="shared" ca="1" si="27"/>
        <v>0.94318181818181823</v>
      </c>
      <c r="P304" s="19">
        <f t="shared" si="29"/>
        <v>11</v>
      </c>
      <c r="Q304" s="16">
        <f>IF(COUNTIF($B$2:B304,B304)=1,SUMIF($B$2:$B$1097,B304,$L$2:$L$1097),"")</f>
        <v>429</v>
      </c>
      <c r="R304" s="16">
        <f>AVERAGE(Q284:Q304)</f>
        <v>478.5</v>
      </c>
    </row>
    <row r="305" spans="1:18" ht="12.75" x14ac:dyDescent="0.2">
      <c r="A305" s="3">
        <v>304</v>
      </c>
      <c r="B305" s="26">
        <v>45027</v>
      </c>
      <c r="C305" s="23" t="s">
        <v>26</v>
      </c>
      <c r="D305" s="4">
        <v>4</v>
      </c>
      <c r="E305" s="24" t="s">
        <v>27</v>
      </c>
      <c r="F305" s="5" t="s">
        <v>11</v>
      </c>
      <c r="G305" s="5" t="s">
        <v>11</v>
      </c>
      <c r="H305" s="5" t="s">
        <v>14</v>
      </c>
      <c r="I305" s="5" t="s">
        <v>15</v>
      </c>
      <c r="J305" s="5" t="s">
        <v>54</v>
      </c>
      <c r="K305" s="6">
        <v>6</v>
      </c>
      <c r="L305" s="15">
        <v>66</v>
      </c>
      <c r="M305" s="15">
        <f t="shared" ca="1" si="30"/>
        <v>4</v>
      </c>
      <c r="N305" s="16">
        <f t="shared" ca="1" si="28"/>
        <v>62</v>
      </c>
      <c r="O305" s="18">
        <f t="shared" ca="1" si="27"/>
        <v>0.93939393939393945</v>
      </c>
      <c r="P305" s="19">
        <f t="shared" si="29"/>
        <v>11</v>
      </c>
      <c r="Q305" s="16" t="str">
        <f>IF(COUNTIF($B$2:B305,B305)=1,SUMIF($B$2:$B$1097,B305,$L$2:$L$1097),"")</f>
        <v/>
      </c>
    </row>
    <row r="306" spans="1:18" ht="12.75" x14ac:dyDescent="0.2">
      <c r="A306" s="3">
        <v>305</v>
      </c>
      <c r="B306" s="26">
        <v>45027</v>
      </c>
      <c r="C306" s="23" t="s">
        <v>26</v>
      </c>
      <c r="D306" s="4">
        <v>4</v>
      </c>
      <c r="E306" s="24" t="s">
        <v>27</v>
      </c>
      <c r="F306" s="5" t="s">
        <v>11</v>
      </c>
      <c r="G306" s="5" t="s">
        <v>11</v>
      </c>
      <c r="H306" s="5" t="s">
        <v>14</v>
      </c>
      <c r="I306" s="5" t="s">
        <v>16</v>
      </c>
      <c r="J306" s="5" t="s">
        <v>54</v>
      </c>
      <c r="K306" s="6">
        <v>5</v>
      </c>
      <c r="L306" s="15">
        <v>55</v>
      </c>
      <c r="M306" s="15">
        <f t="shared" ca="1" si="30"/>
        <v>19</v>
      </c>
      <c r="N306" s="16">
        <f t="shared" ca="1" si="28"/>
        <v>36</v>
      </c>
      <c r="O306" s="18">
        <f t="shared" ca="1" si="27"/>
        <v>0.65454545454545454</v>
      </c>
      <c r="P306" s="19">
        <f t="shared" si="29"/>
        <v>11</v>
      </c>
      <c r="Q306" s="16" t="str">
        <f>IF(COUNTIF($B$2:B306,B306)=1,SUMIF($B$2:$B$1097,B306,$L$2:$L$1097),"")</f>
        <v/>
      </c>
    </row>
    <row r="307" spans="1:18" ht="12.75" x14ac:dyDescent="0.2">
      <c r="A307" s="3">
        <v>306</v>
      </c>
      <c r="B307" s="26">
        <v>45027</v>
      </c>
      <c r="C307" s="23" t="s">
        <v>26</v>
      </c>
      <c r="D307" s="4">
        <v>4</v>
      </c>
      <c r="E307" s="24" t="s">
        <v>27</v>
      </c>
      <c r="F307" s="5" t="s">
        <v>11</v>
      </c>
      <c r="G307" s="5" t="s">
        <v>11</v>
      </c>
      <c r="H307" s="5" t="s">
        <v>14</v>
      </c>
      <c r="I307" s="5" t="s">
        <v>17</v>
      </c>
      <c r="J307" s="5" t="s">
        <v>54</v>
      </c>
      <c r="K307" s="6">
        <v>12</v>
      </c>
      <c r="L307" s="15">
        <v>132</v>
      </c>
      <c r="M307" s="15">
        <f t="shared" ca="1" si="30"/>
        <v>7</v>
      </c>
      <c r="N307" s="16">
        <f t="shared" ca="1" si="28"/>
        <v>125</v>
      </c>
      <c r="O307" s="18">
        <f t="shared" ca="1" si="27"/>
        <v>0.94696969696969702</v>
      </c>
      <c r="P307" s="19">
        <f t="shared" si="29"/>
        <v>11</v>
      </c>
      <c r="Q307" s="16" t="str">
        <f>IF(COUNTIF($B$2:B307,B307)=1,SUMIF($B$2:$B$1097,B307,$L$2:$L$1097),"")</f>
        <v/>
      </c>
    </row>
    <row r="308" spans="1:18" ht="12.75" x14ac:dyDescent="0.2">
      <c r="A308" s="3">
        <v>307</v>
      </c>
      <c r="B308" s="26">
        <v>45028</v>
      </c>
      <c r="C308" s="23" t="s">
        <v>26</v>
      </c>
      <c r="D308" s="4">
        <v>5</v>
      </c>
      <c r="E308" s="24" t="s">
        <v>27</v>
      </c>
      <c r="F308" s="5" t="s">
        <v>11</v>
      </c>
      <c r="G308" s="5" t="s">
        <v>11</v>
      </c>
      <c r="H308" s="5" t="s">
        <v>14</v>
      </c>
      <c r="I308" s="5" t="s">
        <v>13</v>
      </c>
      <c r="J308" s="5" t="s">
        <v>56</v>
      </c>
      <c r="K308" s="6">
        <v>19</v>
      </c>
      <c r="L308" s="15">
        <v>209</v>
      </c>
      <c r="M308" s="15">
        <f t="shared" ca="1" si="30"/>
        <v>19</v>
      </c>
      <c r="N308" s="16">
        <f t="shared" ca="1" si="28"/>
        <v>190</v>
      </c>
      <c r="O308" s="18">
        <f t="shared" ca="1" si="27"/>
        <v>0.90909090909090906</v>
      </c>
      <c r="P308" s="19">
        <f t="shared" si="29"/>
        <v>11</v>
      </c>
      <c r="Q308" s="16">
        <f>IF(COUNTIF($B$2:B308,B308)=1,SUMIF($B$2:$B$1097,B308,$L$2:$L$1097),"")</f>
        <v>484</v>
      </c>
      <c r="R308" s="16">
        <f>AVERAGE(Q288:Q308)</f>
        <v>478.5</v>
      </c>
    </row>
    <row r="309" spans="1:18" ht="12.75" x14ac:dyDescent="0.2">
      <c r="A309" s="3">
        <v>308</v>
      </c>
      <c r="B309" s="26">
        <v>45028</v>
      </c>
      <c r="C309" s="23" t="s">
        <v>26</v>
      </c>
      <c r="D309" s="4">
        <v>5</v>
      </c>
      <c r="E309" s="24" t="s">
        <v>27</v>
      </c>
      <c r="F309" s="5" t="s">
        <v>11</v>
      </c>
      <c r="G309" s="5" t="s">
        <v>11</v>
      </c>
      <c r="H309" s="5" t="s">
        <v>14</v>
      </c>
      <c r="I309" s="5" t="s">
        <v>15</v>
      </c>
      <c r="J309" s="5" t="s">
        <v>56</v>
      </c>
      <c r="K309" s="6">
        <v>8</v>
      </c>
      <c r="L309" s="15">
        <v>88</v>
      </c>
      <c r="M309" s="15">
        <f t="shared" ca="1" si="30"/>
        <v>32</v>
      </c>
      <c r="N309" s="16">
        <f t="shared" ca="1" si="28"/>
        <v>56</v>
      </c>
      <c r="O309" s="18">
        <f t="shared" ca="1" si="27"/>
        <v>0.63636363636363635</v>
      </c>
      <c r="P309" s="19">
        <f t="shared" si="29"/>
        <v>11</v>
      </c>
      <c r="Q309" s="16" t="str">
        <f>IF(COUNTIF($B$2:B309,B309)=1,SUMIF($B$2:$B$1097,B309,$L$2:$L$1097),"")</f>
        <v/>
      </c>
    </row>
    <row r="310" spans="1:18" ht="12.75" x14ac:dyDescent="0.2">
      <c r="A310" s="3">
        <v>309</v>
      </c>
      <c r="B310" s="26">
        <v>45028</v>
      </c>
      <c r="C310" s="23" t="s">
        <v>26</v>
      </c>
      <c r="D310" s="4">
        <v>5</v>
      </c>
      <c r="E310" s="24" t="s">
        <v>27</v>
      </c>
      <c r="F310" s="5" t="s">
        <v>11</v>
      </c>
      <c r="G310" s="5" t="s">
        <v>11</v>
      </c>
      <c r="H310" s="5" t="s">
        <v>14</v>
      </c>
      <c r="I310" s="5" t="s">
        <v>16</v>
      </c>
      <c r="J310" s="5" t="s">
        <v>55</v>
      </c>
      <c r="K310" s="6">
        <v>5</v>
      </c>
      <c r="L310" s="15">
        <v>55</v>
      </c>
      <c r="M310" s="15">
        <f t="shared" ca="1" si="30"/>
        <v>17</v>
      </c>
      <c r="N310" s="16">
        <f t="shared" ca="1" si="28"/>
        <v>38</v>
      </c>
      <c r="O310" s="18">
        <f t="shared" ca="1" si="27"/>
        <v>0.69090909090909092</v>
      </c>
      <c r="P310" s="19">
        <f t="shared" si="29"/>
        <v>11</v>
      </c>
      <c r="Q310" s="16" t="str">
        <f>IF(COUNTIF($B$2:B310,B310)=1,SUMIF($B$2:$B$1097,B310,$L$2:$L$1097),"")</f>
        <v/>
      </c>
    </row>
    <row r="311" spans="1:18" ht="12.75" x14ac:dyDescent="0.2">
      <c r="A311" s="3">
        <v>310</v>
      </c>
      <c r="B311" s="26">
        <v>45028</v>
      </c>
      <c r="C311" s="23" t="s">
        <v>26</v>
      </c>
      <c r="D311" s="4">
        <v>5</v>
      </c>
      <c r="E311" s="24" t="s">
        <v>27</v>
      </c>
      <c r="F311" s="5" t="s">
        <v>11</v>
      </c>
      <c r="G311" s="5" t="s">
        <v>11</v>
      </c>
      <c r="H311" s="5" t="s">
        <v>14</v>
      </c>
      <c r="I311" s="5" t="s">
        <v>17</v>
      </c>
      <c r="J311" s="5" t="s">
        <v>53</v>
      </c>
      <c r="K311" s="6">
        <v>12</v>
      </c>
      <c r="L311" s="15">
        <v>132</v>
      </c>
      <c r="M311" s="15">
        <f t="shared" ca="1" si="30"/>
        <v>33</v>
      </c>
      <c r="N311" s="16">
        <f t="shared" ca="1" si="28"/>
        <v>99</v>
      </c>
      <c r="O311" s="18">
        <f t="shared" ca="1" si="27"/>
        <v>0.75</v>
      </c>
      <c r="P311" s="19">
        <f t="shared" si="29"/>
        <v>11</v>
      </c>
      <c r="Q311" s="16" t="str">
        <f>IF(COUNTIF($B$2:B311,B311)=1,SUMIF($B$2:$B$1097,B311,$L$2:$L$1097),"")</f>
        <v/>
      </c>
    </row>
    <row r="312" spans="1:18" ht="12.75" x14ac:dyDescent="0.2">
      <c r="A312" s="3">
        <v>311</v>
      </c>
      <c r="B312" s="26">
        <v>45029</v>
      </c>
      <c r="C312" s="23" t="s">
        <v>26</v>
      </c>
      <c r="D312" s="4">
        <v>6</v>
      </c>
      <c r="E312" s="24" t="s">
        <v>27</v>
      </c>
      <c r="F312" s="5" t="s">
        <v>11</v>
      </c>
      <c r="G312" s="5" t="s">
        <v>11</v>
      </c>
      <c r="H312" s="5" t="s">
        <v>14</v>
      </c>
      <c r="I312" s="5" t="s">
        <v>13</v>
      </c>
      <c r="J312" s="5" t="s">
        <v>52</v>
      </c>
      <c r="K312" s="6">
        <v>18</v>
      </c>
      <c r="L312" s="15">
        <v>198</v>
      </c>
      <c r="M312" s="15">
        <f t="shared" ca="1" si="30"/>
        <v>11</v>
      </c>
      <c r="N312" s="16">
        <f t="shared" ca="1" si="28"/>
        <v>187</v>
      </c>
      <c r="O312" s="18">
        <f t="shared" ca="1" si="27"/>
        <v>0.94444444444444442</v>
      </c>
      <c r="P312" s="19">
        <f t="shared" si="29"/>
        <v>11</v>
      </c>
      <c r="Q312" s="16">
        <f>IF(COUNTIF($B$2:B312,B312)=1,SUMIF($B$2:$B$1097,B312,$L$2:$L$1097),"")</f>
        <v>594</v>
      </c>
      <c r="R312" s="16">
        <f>AVERAGE(Q292:Q312)</f>
        <v>476.66666666666669</v>
      </c>
    </row>
    <row r="313" spans="1:18" ht="12.75" x14ac:dyDescent="0.2">
      <c r="A313" s="3">
        <v>312</v>
      </c>
      <c r="B313" s="26">
        <v>45029</v>
      </c>
      <c r="C313" s="23" t="s">
        <v>26</v>
      </c>
      <c r="D313" s="4">
        <v>6</v>
      </c>
      <c r="E313" s="24" t="s">
        <v>27</v>
      </c>
      <c r="F313" s="5" t="s">
        <v>11</v>
      </c>
      <c r="G313" s="5" t="s">
        <v>11</v>
      </c>
      <c r="H313" s="5" t="s">
        <v>14</v>
      </c>
      <c r="I313" s="5" t="s">
        <v>15</v>
      </c>
      <c r="J313" s="5" t="s">
        <v>55</v>
      </c>
      <c r="K313" s="6">
        <v>12</v>
      </c>
      <c r="L313" s="15">
        <v>132</v>
      </c>
      <c r="M313" s="15">
        <f t="shared" ca="1" si="30"/>
        <v>48</v>
      </c>
      <c r="N313" s="16">
        <f t="shared" ca="1" si="28"/>
        <v>84</v>
      </c>
      <c r="O313" s="18">
        <f t="shared" ca="1" si="27"/>
        <v>0.63636363636363635</v>
      </c>
      <c r="P313" s="19">
        <f t="shared" si="29"/>
        <v>11</v>
      </c>
      <c r="Q313" s="16" t="str">
        <f>IF(COUNTIF($B$2:B313,B313)=1,SUMIF($B$2:$B$1097,B313,$L$2:$L$1097),"")</f>
        <v/>
      </c>
    </row>
    <row r="314" spans="1:18" ht="12.75" x14ac:dyDescent="0.2">
      <c r="A314" s="3">
        <v>313</v>
      </c>
      <c r="B314" s="26">
        <v>45029</v>
      </c>
      <c r="C314" s="23" t="s">
        <v>26</v>
      </c>
      <c r="D314" s="4">
        <v>6</v>
      </c>
      <c r="E314" s="24" t="s">
        <v>27</v>
      </c>
      <c r="F314" s="5" t="s">
        <v>11</v>
      </c>
      <c r="G314" s="5" t="s">
        <v>11</v>
      </c>
      <c r="H314" s="5" t="s">
        <v>14</v>
      </c>
      <c r="I314" s="5" t="s">
        <v>16</v>
      </c>
      <c r="J314" s="5" t="s">
        <v>55</v>
      </c>
      <c r="K314" s="6">
        <v>8</v>
      </c>
      <c r="L314" s="15">
        <v>88</v>
      </c>
      <c r="M314" s="15">
        <f t="shared" ca="1" si="30"/>
        <v>27</v>
      </c>
      <c r="N314" s="16">
        <f t="shared" ca="1" si="28"/>
        <v>61</v>
      </c>
      <c r="O314" s="18">
        <f t="shared" ca="1" si="27"/>
        <v>0.69318181818181823</v>
      </c>
      <c r="P314" s="19">
        <f t="shared" si="29"/>
        <v>11</v>
      </c>
      <c r="Q314" s="16" t="str">
        <f>IF(COUNTIF($B$2:B314,B314)=1,SUMIF($B$2:$B$1097,B314,$L$2:$L$1097),"")</f>
        <v/>
      </c>
    </row>
    <row r="315" spans="1:18" ht="12.75" x14ac:dyDescent="0.2">
      <c r="A315" s="3">
        <v>314</v>
      </c>
      <c r="B315" s="26">
        <v>45029</v>
      </c>
      <c r="C315" s="23" t="s">
        <v>26</v>
      </c>
      <c r="D315" s="4">
        <v>6</v>
      </c>
      <c r="E315" s="24" t="s">
        <v>27</v>
      </c>
      <c r="F315" s="5" t="s">
        <v>11</v>
      </c>
      <c r="G315" s="5" t="s">
        <v>11</v>
      </c>
      <c r="H315" s="5" t="s">
        <v>14</v>
      </c>
      <c r="I315" s="5" t="s">
        <v>17</v>
      </c>
      <c r="J315" s="5" t="s">
        <v>53</v>
      </c>
      <c r="K315" s="6">
        <v>16</v>
      </c>
      <c r="L315" s="15">
        <v>176</v>
      </c>
      <c r="M315" s="15">
        <f t="shared" ca="1" si="30"/>
        <v>7</v>
      </c>
      <c r="N315" s="16">
        <f t="shared" ca="1" si="28"/>
        <v>169</v>
      </c>
      <c r="O315" s="18">
        <f t="shared" ca="1" si="27"/>
        <v>0.96022727272727271</v>
      </c>
      <c r="P315" s="19">
        <f t="shared" si="29"/>
        <v>11</v>
      </c>
      <c r="Q315" s="16" t="str">
        <f>IF(COUNTIF($B$2:B315,B315)=1,SUMIF($B$2:$B$1097,B315,$L$2:$L$1097),"")</f>
        <v/>
      </c>
    </row>
    <row r="316" spans="1:18" ht="12.75" x14ac:dyDescent="0.2">
      <c r="A316" s="3">
        <v>315</v>
      </c>
      <c r="B316" s="26">
        <v>45030</v>
      </c>
      <c r="C316" s="23" t="s">
        <v>26</v>
      </c>
      <c r="D316" s="4">
        <v>7</v>
      </c>
      <c r="E316" s="24" t="s">
        <v>27</v>
      </c>
      <c r="F316" s="5" t="s">
        <v>11</v>
      </c>
      <c r="G316" s="5" t="s">
        <v>11</v>
      </c>
      <c r="H316" s="5" t="s">
        <v>14</v>
      </c>
      <c r="I316" s="5" t="s">
        <v>13</v>
      </c>
      <c r="J316" s="5" t="s">
        <v>56</v>
      </c>
      <c r="K316" s="6">
        <v>23</v>
      </c>
      <c r="L316" s="15">
        <v>253</v>
      </c>
      <c r="M316" s="15">
        <f t="shared" ca="1" si="30"/>
        <v>28</v>
      </c>
      <c r="N316" s="16">
        <f t="shared" ca="1" si="28"/>
        <v>225</v>
      </c>
      <c r="O316" s="18">
        <f t="shared" ca="1" si="27"/>
        <v>0.88932806324110669</v>
      </c>
      <c r="P316" s="19">
        <f t="shared" si="29"/>
        <v>11</v>
      </c>
      <c r="Q316" s="16">
        <f>IF(COUNTIF($B$2:B316,B316)=1,SUMIF($B$2:$B$1097,B316,$L$2:$L$1097),"")</f>
        <v>253</v>
      </c>
      <c r="R316" s="16">
        <f t="shared" ref="R316:R317" si="33">AVERAGE(Q296:Q316)</f>
        <v>480.33333333333331</v>
      </c>
    </row>
    <row r="317" spans="1:18" ht="12.75" x14ac:dyDescent="0.2">
      <c r="A317" s="3">
        <v>316</v>
      </c>
      <c r="B317" s="26">
        <v>45032</v>
      </c>
      <c r="C317" s="23" t="s">
        <v>26</v>
      </c>
      <c r="D317" s="4">
        <v>2</v>
      </c>
      <c r="E317" s="24" t="s">
        <v>27</v>
      </c>
      <c r="F317" s="5" t="s">
        <v>11</v>
      </c>
      <c r="G317" s="5" t="s">
        <v>11</v>
      </c>
      <c r="H317" s="5" t="s">
        <v>14</v>
      </c>
      <c r="I317" s="5" t="s">
        <v>13</v>
      </c>
      <c r="J317" s="5" t="s">
        <v>52</v>
      </c>
      <c r="K317" s="6">
        <v>18</v>
      </c>
      <c r="L317" s="15">
        <v>198</v>
      </c>
      <c r="M317" s="15">
        <f t="shared" ca="1" si="30"/>
        <v>40</v>
      </c>
      <c r="N317" s="16">
        <f t="shared" ca="1" si="28"/>
        <v>158</v>
      </c>
      <c r="O317" s="18">
        <f t="shared" ca="1" si="27"/>
        <v>0.79797979797979801</v>
      </c>
      <c r="P317" s="19">
        <f t="shared" si="29"/>
        <v>11</v>
      </c>
      <c r="Q317" s="16">
        <f>IF(COUNTIF($B$2:B317,B317)=1,SUMIF($B$2:$B$1097,B317,$L$2:$L$1097),"")</f>
        <v>550</v>
      </c>
      <c r="R317" s="16">
        <f t="shared" si="33"/>
        <v>469.33333333333331</v>
      </c>
    </row>
    <row r="318" spans="1:18" ht="12.75" x14ac:dyDescent="0.2">
      <c r="A318" s="3">
        <v>317</v>
      </c>
      <c r="B318" s="26">
        <v>45032</v>
      </c>
      <c r="C318" s="23" t="s">
        <v>26</v>
      </c>
      <c r="D318" s="4">
        <v>2</v>
      </c>
      <c r="E318" s="24" t="s">
        <v>27</v>
      </c>
      <c r="F318" s="5" t="s">
        <v>11</v>
      </c>
      <c r="G318" s="5" t="s">
        <v>11</v>
      </c>
      <c r="H318" s="5" t="s">
        <v>14</v>
      </c>
      <c r="I318" s="5" t="s">
        <v>15</v>
      </c>
      <c r="J318" s="5" t="s">
        <v>54</v>
      </c>
      <c r="K318" s="6">
        <v>10</v>
      </c>
      <c r="L318" s="15">
        <v>110</v>
      </c>
      <c r="M318" s="15">
        <f t="shared" ca="1" si="30"/>
        <v>45</v>
      </c>
      <c r="N318" s="16">
        <f t="shared" ca="1" si="28"/>
        <v>65</v>
      </c>
      <c r="O318" s="18">
        <f t="shared" ca="1" si="27"/>
        <v>0.59090909090909094</v>
      </c>
      <c r="P318" s="19">
        <f t="shared" si="29"/>
        <v>11</v>
      </c>
      <c r="Q318" s="16" t="str">
        <f>IF(COUNTIF($B$2:B318,B318)=1,SUMIF($B$2:$B$1097,B318,$L$2:$L$1097),"")</f>
        <v/>
      </c>
    </row>
    <row r="319" spans="1:18" ht="12.75" x14ac:dyDescent="0.2">
      <c r="A319" s="3">
        <v>318</v>
      </c>
      <c r="B319" s="26">
        <v>45032</v>
      </c>
      <c r="C319" s="23" t="s">
        <v>26</v>
      </c>
      <c r="D319" s="4">
        <v>2</v>
      </c>
      <c r="E319" s="24" t="s">
        <v>27</v>
      </c>
      <c r="F319" s="5" t="s">
        <v>11</v>
      </c>
      <c r="G319" s="5" t="s">
        <v>11</v>
      </c>
      <c r="H319" s="5" t="s">
        <v>14</v>
      </c>
      <c r="I319" s="5" t="s">
        <v>16</v>
      </c>
      <c r="J319" s="5" t="s">
        <v>54</v>
      </c>
      <c r="K319" s="6">
        <v>8</v>
      </c>
      <c r="L319" s="15">
        <v>88</v>
      </c>
      <c r="M319" s="15">
        <f t="shared" ca="1" si="30"/>
        <v>48</v>
      </c>
      <c r="N319" s="16">
        <f t="shared" ca="1" si="28"/>
        <v>40</v>
      </c>
      <c r="O319" s="18">
        <f t="shared" ca="1" si="27"/>
        <v>0.45454545454545453</v>
      </c>
      <c r="P319" s="19">
        <f t="shared" si="29"/>
        <v>11</v>
      </c>
      <c r="Q319" s="16" t="str">
        <f>IF(COUNTIF($B$2:B319,B319)=1,SUMIF($B$2:$B$1097,B319,$L$2:$L$1097),"")</f>
        <v/>
      </c>
    </row>
    <row r="320" spans="1:18" ht="12.75" x14ac:dyDescent="0.2">
      <c r="A320" s="3">
        <v>319</v>
      </c>
      <c r="B320" s="26">
        <v>45032</v>
      </c>
      <c r="C320" s="23" t="s">
        <v>26</v>
      </c>
      <c r="D320" s="4">
        <v>2</v>
      </c>
      <c r="E320" s="24" t="s">
        <v>27</v>
      </c>
      <c r="F320" s="5" t="s">
        <v>11</v>
      </c>
      <c r="G320" s="5" t="s">
        <v>11</v>
      </c>
      <c r="H320" s="5" t="s">
        <v>14</v>
      </c>
      <c r="I320" s="5" t="s">
        <v>17</v>
      </c>
      <c r="J320" s="5" t="s">
        <v>54</v>
      </c>
      <c r="K320" s="6">
        <v>14</v>
      </c>
      <c r="L320" s="15">
        <v>154</v>
      </c>
      <c r="M320" s="15">
        <f t="shared" ca="1" si="30"/>
        <v>19</v>
      </c>
      <c r="N320" s="16">
        <f t="shared" ca="1" si="28"/>
        <v>135</v>
      </c>
      <c r="O320" s="18">
        <f t="shared" ca="1" si="27"/>
        <v>0.87662337662337664</v>
      </c>
      <c r="P320" s="19">
        <f t="shared" si="29"/>
        <v>11</v>
      </c>
      <c r="Q320" s="16" t="str">
        <f>IF(COUNTIF($B$2:B320,B320)=1,SUMIF($B$2:$B$1097,B320,$L$2:$L$1097),"")</f>
        <v/>
      </c>
    </row>
    <row r="321" spans="1:18" ht="12.75" x14ac:dyDescent="0.2">
      <c r="A321" s="3">
        <v>320</v>
      </c>
      <c r="B321" s="26">
        <v>45033</v>
      </c>
      <c r="C321" s="23" t="s">
        <v>26</v>
      </c>
      <c r="D321" s="4">
        <v>3</v>
      </c>
      <c r="E321" s="24" t="s">
        <v>27</v>
      </c>
      <c r="F321" s="5" t="s">
        <v>11</v>
      </c>
      <c r="G321" s="5" t="s">
        <v>11</v>
      </c>
      <c r="H321" s="5" t="s">
        <v>14</v>
      </c>
      <c r="I321" s="5" t="s">
        <v>13</v>
      </c>
      <c r="J321" s="5" t="s">
        <v>56</v>
      </c>
      <c r="K321" s="6">
        <v>16</v>
      </c>
      <c r="L321" s="15">
        <v>176</v>
      </c>
      <c r="M321" s="15">
        <f t="shared" ca="1" si="30"/>
        <v>20</v>
      </c>
      <c r="N321" s="16">
        <f t="shared" ca="1" si="28"/>
        <v>156</v>
      </c>
      <c r="O321" s="18">
        <f t="shared" ca="1" si="27"/>
        <v>0.88636363636363635</v>
      </c>
      <c r="P321" s="19">
        <f t="shared" si="29"/>
        <v>11</v>
      </c>
      <c r="Q321" s="16">
        <f>IF(COUNTIF($B$2:B321,B321)=1,SUMIF($B$2:$B$1097,B321,$L$2:$L$1097),"")</f>
        <v>484</v>
      </c>
      <c r="R321" s="16">
        <f>AVERAGE(Q301:Q321)</f>
        <v>465.66666666666669</v>
      </c>
    </row>
    <row r="322" spans="1:18" ht="12.75" x14ac:dyDescent="0.2">
      <c r="A322" s="3">
        <v>321</v>
      </c>
      <c r="B322" s="26">
        <v>45033</v>
      </c>
      <c r="C322" s="23" t="s">
        <v>26</v>
      </c>
      <c r="D322" s="4">
        <v>3</v>
      </c>
      <c r="E322" s="24" t="s">
        <v>27</v>
      </c>
      <c r="F322" s="5" t="s">
        <v>11</v>
      </c>
      <c r="G322" s="5" t="s">
        <v>11</v>
      </c>
      <c r="H322" s="5" t="s">
        <v>14</v>
      </c>
      <c r="I322" s="5" t="s">
        <v>15</v>
      </c>
      <c r="J322" s="5" t="s">
        <v>56</v>
      </c>
      <c r="K322" s="6">
        <v>13</v>
      </c>
      <c r="L322" s="15">
        <v>143</v>
      </c>
      <c r="M322" s="15">
        <f t="shared" ca="1" si="30"/>
        <v>36</v>
      </c>
      <c r="N322" s="16">
        <f t="shared" ca="1" si="28"/>
        <v>107</v>
      </c>
      <c r="O322" s="18">
        <f t="shared" ref="O322:O385" ca="1" si="34">IF(L322=0, 0, N322/L322)</f>
        <v>0.74825174825174823</v>
      </c>
      <c r="P322" s="19">
        <f t="shared" si="29"/>
        <v>11</v>
      </c>
      <c r="Q322" s="16" t="str">
        <f>IF(COUNTIF($B$2:B322,B322)=1,SUMIF($B$2:$B$1097,B322,$L$2:$L$1097),"")</f>
        <v/>
      </c>
    </row>
    <row r="323" spans="1:18" ht="12.75" x14ac:dyDescent="0.2">
      <c r="A323" s="3">
        <v>322</v>
      </c>
      <c r="B323" s="26">
        <v>45033</v>
      </c>
      <c r="C323" s="23" t="s">
        <v>26</v>
      </c>
      <c r="D323" s="4">
        <v>3</v>
      </c>
      <c r="E323" s="24" t="s">
        <v>27</v>
      </c>
      <c r="F323" s="5" t="s">
        <v>11</v>
      </c>
      <c r="G323" s="5" t="s">
        <v>11</v>
      </c>
      <c r="H323" s="5" t="s">
        <v>14</v>
      </c>
      <c r="I323" s="5" t="s">
        <v>16</v>
      </c>
      <c r="J323" s="5" t="s">
        <v>55</v>
      </c>
      <c r="K323" s="6">
        <v>5</v>
      </c>
      <c r="L323" s="15">
        <v>55</v>
      </c>
      <c r="M323" s="15">
        <f t="shared" ca="1" si="30"/>
        <v>26</v>
      </c>
      <c r="N323" s="16">
        <f t="shared" ref="N323:N386" ca="1" si="35">L323-M323</f>
        <v>29</v>
      </c>
      <c r="O323" s="18">
        <f t="shared" ca="1" si="34"/>
        <v>0.52727272727272723</v>
      </c>
      <c r="P323" s="19">
        <f t="shared" ref="P323:P386" si="36">IF(K323=0, 0, L323/K323)</f>
        <v>11</v>
      </c>
      <c r="Q323" s="16" t="str">
        <f>IF(COUNTIF($B$2:B323,B323)=1,SUMIF($B$2:$B$1097,B323,$L$2:$L$1097),"")</f>
        <v/>
      </c>
    </row>
    <row r="324" spans="1:18" ht="12.75" x14ac:dyDescent="0.2">
      <c r="A324" s="3">
        <v>323</v>
      </c>
      <c r="B324" s="26">
        <v>45033</v>
      </c>
      <c r="C324" s="23" t="s">
        <v>26</v>
      </c>
      <c r="D324" s="4">
        <v>3</v>
      </c>
      <c r="E324" s="24" t="s">
        <v>27</v>
      </c>
      <c r="F324" s="5" t="s">
        <v>11</v>
      </c>
      <c r="G324" s="5" t="s">
        <v>11</v>
      </c>
      <c r="H324" s="5" t="s">
        <v>14</v>
      </c>
      <c r="I324" s="5" t="s">
        <v>17</v>
      </c>
      <c r="J324" s="5" t="s">
        <v>53</v>
      </c>
      <c r="K324" s="6">
        <v>10</v>
      </c>
      <c r="L324" s="15">
        <v>110</v>
      </c>
      <c r="M324" s="15">
        <f t="shared" ca="1" si="30"/>
        <v>48</v>
      </c>
      <c r="N324" s="16">
        <f t="shared" ca="1" si="35"/>
        <v>62</v>
      </c>
      <c r="O324" s="18">
        <f t="shared" ca="1" si="34"/>
        <v>0.5636363636363636</v>
      </c>
      <c r="P324" s="19">
        <f t="shared" si="36"/>
        <v>11</v>
      </c>
      <c r="Q324" s="16" t="str">
        <f>IF(COUNTIF($B$2:B324,B324)=1,SUMIF($B$2:$B$1097,B324,$L$2:$L$1097),"")</f>
        <v/>
      </c>
    </row>
    <row r="325" spans="1:18" ht="12.75" x14ac:dyDescent="0.2">
      <c r="A325" s="3">
        <v>324</v>
      </c>
      <c r="B325" s="26">
        <v>45034</v>
      </c>
      <c r="C325" s="23" t="s">
        <v>26</v>
      </c>
      <c r="D325" s="4">
        <v>4</v>
      </c>
      <c r="E325" s="24" t="s">
        <v>27</v>
      </c>
      <c r="F325" s="5" t="s">
        <v>11</v>
      </c>
      <c r="G325" s="5" t="s">
        <v>11</v>
      </c>
      <c r="H325" s="5" t="s">
        <v>14</v>
      </c>
      <c r="I325" s="5" t="s">
        <v>13</v>
      </c>
      <c r="J325" s="5" t="s">
        <v>52</v>
      </c>
      <c r="K325" s="6">
        <v>15</v>
      </c>
      <c r="L325" s="15">
        <v>165</v>
      </c>
      <c r="M325" s="15">
        <f t="shared" ca="1" si="30"/>
        <v>16</v>
      </c>
      <c r="N325" s="16">
        <f t="shared" ca="1" si="35"/>
        <v>149</v>
      </c>
      <c r="O325" s="18">
        <f t="shared" ca="1" si="34"/>
        <v>0.90303030303030307</v>
      </c>
      <c r="P325" s="19">
        <f t="shared" si="36"/>
        <v>11</v>
      </c>
      <c r="Q325" s="16">
        <f>IF(COUNTIF($B$2:B325,B325)=1,SUMIF($B$2:$B$1097,B325,$L$2:$L$1097),"")</f>
        <v>396</v>
      </c>
      <c r="R325" s="16">
        <f>AVERAGE(Q305:Q325)</f>
        <v>460.16666666666669</v>
      </c>
    </row>
    <row r="326" spans="1:18" ht="12.75" x14ac:dyDescent="0.2">
      <c r="A326" s="3">
        <v>325</v>
      </c>
      <c r="B326" s="26">
        <v>45034</v>
      </c>
      <c r="C326" s="23" t="s">
        <v>26</v>
      </c>
      <c r="D326" s="4">
        <v>4</v>
      </c>
      <c r="E326" s="24" t="s">
        <v>27</v>
      </c>
      <c r="F326" s="5" t="s">
        <v>11</v>
      </c>
      <c r="G326" s="5" t="s">
        <v>11</v>
      </c>
      <c r="H326" s="5" t="s">
        <v>14</v>
      </c>
      <c r="I326" s="5" t="s">
        <v>15</v>
      </c>
      <c r="J326" s="5" t="s">
        <v>54</v>
      </c>
      <c r="K326" s="6">
        <v>6</v>
      </c>
      <c r="L326" s="15">
        <v>66</v>
      </c>
      <c r="M326" s="15">
        <f t="shared" ca="1" si="30"/>
        <v>9</v>
      </c>
      <c r="N326" s="16">
        <f t="shared" ca="1" si="35"/>
        <v>57</v>
      </c>
      <c r="O326" s="18">
        <f t="shared" ca="1" si="34"/>
        <v>0.86363636363636365</v>
      </c>
      <c r="P326" s="19">
        <f t="shared" si="36"/>
        <v>11</v>
      </c>
      <c r="Q326" s="16" t="str">
        <f>IF(COUNTIF($B$2:B326,B326)=1,SUMIF($B$2:$B$1097,B326,$L$2:$L$1097),"")</f>
        <v/>
      </c>
    </row>
    <row r="327" spans="1:18" ht="12.75" x14ac:dyDescent="0.2">
      <c r="A327" s="3">
        <v>326</v>
      </c>
      <c r="B327" s="26">
        <v>45034</v>
      </c>
      <c r="C327" s="23" t="s">
        <v>26</v>
      </c>
      <c r="D327" s="4">
        <v>4</v>
      </c>
      <c r="E327" s="24" t="s">
        <v>27</v>
      </c>
      <c r="F327" s="5" t="s">
        <v>11</v>
      </c>
      <c r="G327" s="5" t="s">
        <v>11</v>
      </c>
      <c r="H327" s="5" t="s">
        <v>14</v>
      </c>
      <c r="I327" s="5" t="s">
        <v>16</v>
      </c>
      <c r="J327" s="5" t="s">
        <v>54</v>
      </c>
      <c r="K327" s="6">
        <v>5</v>
      </c>
      <c r="L327" s="15">
        <v>55</v>
      </c>
      <c r="M327" s="15">
        <f t="shared" ca="1" si="30"/>
        <v>28</v>
      </c>
      <c r="N327" s="16">
        <f t="shared" ca="1" si="35"/>
        <v>27</v>
      </c>
      <c r="O327" s="18">
        <f t="shared" ca="1" si="34"/>
        <v>0.49090909090909091</v>
      </c>
      <c r="P327" s="19">
        <f t="shared" si="36"/>
        <v>11</v>
      </c>
      <c r="Q327" s="16" t="str">
        <f>IF(COUNTIF($B$2:B327,B327)=1,SUMIF($B$2:$B$1097,B327,$L$2:$L$1097),"")</f>
        <v/>
      </c>
    </row>
    <row r="328" spans="1:18" ht="12.75" x14ac:dyDescent="0.2">
      <c r="A328" s="3">
        <v>327</v>
      </c>
      <c r="B328" s="26">
        <v>45034</v>
      </c>
      <c r="C328" s="23" t="s">
        <v>26</v>
      </c>
      <c r="D328" s="4">
        <v>4</v>
      </c>
      <c r="E328" s="24" t="s">
        <v>27</v>
      </c>
      <c r="F328" s="5" t="s">
        <v>11</v>
      </c>
      <c r="G328" s="5" t="s">
        <v>11</v>
      </c>
      <c r="H328" s="5" t="s">
        <v>14</v>
      </c>
      <c r="I328" s="5" t="s">
        <v>17</v>
      </c>
      <c r="J328" s="5" t="s">
        <v>54</v>
      </c>
      <c r="K328" s="6">
        <v>10</v>
      </c>
      <c r="L328" s="15">
        <v>110</v>
      </c>
      <c r="M328" s="15">
        <f t="shared" ca="1" si="30"/>
        <v>7</v>
      </c>
      <c r="N328" s="16">
        <f t="shared" ca="1" si="35"/>
        <v>103</v>
      </c>
      <c r="O328" s="18">
        <f t="shared" ca="1" si="34"/>
        <v>0.9363636363636364</v>
      </c>
      <c r="P328" s="19">
        <f t="shared" si="36"/>
        <v>11</v>
      </c>
      <c r="Q328" s="16" t="str">
        <f>IF(COUNTIF($B$2:B328,B328)=1,SUMIF($B$2:$B$1097,B328,$L$2:$L$1097),"")</f>
        <v/>
      </c>
    </row>
    <row r="329" spans="1:18" ht="12.75" x14ac:dyDescent="0.2">
      <c r="A329" s="3">
        <v>328</v>
      </c>
      <c r="B329" s="26">
        <v>45035</v>
      </c>
      <c r="C329" s="23" t="s">
        <v>26</v>
      </c>
      <c r="D329" s="4">
        <v>5</v>
      </c>
      <c r="E329" s="24" t="s">
        <v>27</v>
      </c>
      <c r="F329" s="5" t="s">
        <v>11</v>
      </c>
      <c r="G329" s="5" t="s">
        <v>11</v>
      </c>
      <c r="H329" s="5" t="s">
        <v>14</v>
      </c>
      <c r="I329" s="5" t="s">
        <v>13</v>
      </c>
      <c r="J329" s="5" t="s">
        <v>56</v>
      </c>
      <c r="K329" s="6">
        <v>16</v>
      </c>
      <c r="L329" s="15">
        <v>176</v>
      </c>
      <c r="M329" s="15">
        <f t="shared" ref="M329:M392" ca="1" si="37">RANDBETWEEN(1,50)</f>
        <v>6</v>
      </c>
      <c r="N329" s="16">
        <f t="shared" ca="1" si="35"/>
        <v>170</v>
      </c>
      <c r="O329" s="18">
        <f t="shared" ca="1" si="34"/>
        <v>0.96590909090909094</v>
      </c>
      <c r="P329" s="19">
        <f t="shared" si="36"/>
        <v>11</v>
      </c>
      <c r="Q329" s="16">
        <f>IF(COUNTIF($B$2:B329,B329)=1,SUMIF($B$2:$B$1097,B329,$L$2:$L$1097),"")</f>
        <v>473</v>
      </c>
      <c r="R329" s="16">
        <f>AVERAGE(Q309:Q329)</f>
        <v>458.33333333333331</v>
      </c>
    </row>
    <row r="330" spans="1:18" ht="12.75" x14ac:dyDescent="0.2">
      <c r="A330" s="3">
        <v>329</v>
      </c>
      <c r="B330" s="26">
        <v>45035</v>
      </c>
      <c r="C330" s="23" t="s">
        <v>26</v>
      </c>
      <c r="D330" s="4">
        <v>5</v>
      </c>
      <c r="E330" s="24" t="s">
        <v>27</v>
      </c>
      <c r="F330" s="5" t="s">
        <v>11</v>
      </c>
      <c r="G330" s="5" t="s">
        <v>11</v>
      </c>
      <c r="H330" s="5" t="s">
        <v>14</v>
      </c>
      <c r="I330" s="5" t="s">
        <v>15</v>
      </c>
      <c r="J330" s="5" t="s">
        <v>56</v>
      </c>
      <c r="K330" s="6">
        <v>10</v>
      </c>
      <c r="L330" s="15">
        <v>110</v>
      </c>
      <c r="M330" s="15">
        <f t="shared" ca="1" si="37"/>
        <v>9</v>
      </c>
      <c r="N330" s="16">
        <f t="shared" ca="1" si="35"/>
        <v>101</v>
      </c>
      <c r="O330" s="18">
        <f t="shared" ca="1" si="34"/>
        <v>0.91818181818181821</v>
      </c>
      <c r="P330" s="19">
        <f t="shared" si="36"/>
        <v>11</v>
      </c>
      <c r="Q330" s="16" t="str">
        <f>IF(COUNTIF($B$2:B330,B330)=1,SUMIF($B$2:$B$1097,B330,$L$2:$L$1097),"")</f>
        <v/>
      </c>
    </row>
    <row r="331" spans="1:18" ht="12.75" x14ac:dyDescent="0.2">
      <c r="A331" s="3">
        <v>330</v>
      </c>
      <c r="B331" s="26">
        <v>45035</v>
      </c>
      <c r="C331" s="23" t="s">
        <v>26</v>
      </c>
      <c r="D331" s="4">
        <v>5</v>
      </c>
      <c r="E331" s="24" t="s">
        <v>27</v>
      </c>
      <c r="F331" s="5" t="s">
        <v>11</v>
      </c>
      <c r="G331" s="5" t="s">
        <v>11</v>
      </c>
      <c r="H331" s="5" t="s">
        <v>14</v>
      </c>
      <c r="I331" s="5" t="s">
        <v>16</v>
      </c>
      <c r="J331" s="5" t="s">
        <v>55</v>
      </c>
      <c r="K331" s="6">
        <v>5</v>
      </c>
      <c r="L331" s="15">
        <v>55</v>
      </c>
      <c r="M331" s="15">
        <f t="shared" ca="1" si="37"/>
        <v>32</v>
      </c>
      <c r="N331" s="16">
        <f t="shared" ca="1" si="35"/>
        <v>23</v>
      </c>
      <c r="O331" s="18">
        <f t="shared" ca="1" si="34"/>
        <v>0.41818181818181815</v>
      </c>
      <c r="P331" s="19">
        <f t="shared" si="36"/>
        <v>11</v>
      </c>
      <c r="Q331" s="16" t="str">
        <f>IF(COUNTIF($B$2:B331,B331)=1,SUMIF($B$2:$B$1097,B331,$L$2:$L$1097),"")</f>
        <v/>
      </c>
    </row>
    <row r="332" spans="1:18" ht="12.75" x14ac:dyDescent="0.2">
      <c r="A332" s="3">
        <v>331</v>
      </c>
      <c r="B332" s="26">
        <v>45035</v>
      </c>
      <c r="C332" s="23" t="s">
        <v>26</v>
      </c>
      <c r="D332" s="4">
        <v>5</v>
      </c>
      <c r="E332" s="24" t="s">
        <v>27</v>
      </c>
      <c r="F332" s="5" t="s">
        <v>11</v>
      </c>
      <c r="G332" s="5" t="s">
        <v>11</v>
      </c>
      <c r="H332" s="5" t="s">
        <v>14</v>
      </c>
      <c r="I332" s="5" t="s">
        <v>17</v>
      </c>
      <c r="J332" s="5" t="s">
        <v>53</v>
      </c>
      <c r="K332" s="6">
        <v>12</v>
      </c>
      <c r="L332" s="15">
        <v>132</v>
      </c>
      <c r="M332" s="15">
        <f t="shared" ca="1" si="37"/>
        <v>24</v>
      </c>
      <c r="N332" s="16">
        <f t="shared" ca="1" si="35"/>
        <v>108</v>
      </c>
      <c r="O332" s="18">
        <f t="shared" ca="1" si="34"/>
        <v>0.81818181818181823</v>
      </c>
      <c r="P332" s="19">
        <f t="shared" si="36"/>
        <v>11</v>
      </c>
      <c r="Q332" s="16" t="str">
        <f>IF(COUNTIF($B$2:B332,B332)=1,SUMIF($B$2:$B$1097,B332,$L$2:$L$1097),"")</f>
        <v/>
      </c>
    </row>
    <row r="333" spans="1:18" ht="12.75" x14ac:dyDescent="0.2">
      <c r="A333" s="3">
        <v>332</v>
      </c>
      <c r="B333" s="26">
        <v>45036</v>
      </c>
      <c r="C333" s="23" t="s">
        <v>26</v>
      </c>
      <c r="D333" s="4">
        <v>6</v>
      </c>
      <c r="E333" s="24" t="s">
        <v>27</v>
      </c>
      <c r="F333" s="5" t="s">
        <v>11</v>
      </c>
      <c r="G333" s="5" t="s">
        <v>11</v>
      </c>
      <c r="H333" s="5" t="s">
        <v>14</v>
      </c>
      <c r="I333" s="5" t="s">
        <v>13</v>
      </c>
      <c r="J333" s="5" t="s">
        <v>52</v>
      </c>
      <c r="K333" s="6">
        <v>19</v>
      </c>
      <c r="L333" s="15">
        <v>209</v>
      </c>
      <c r="M333" s="15">
        <f t="shared" ca="1" si="37"/>
        <v>38</v>
      </c>
      <c r="N333" s="16">
        <f t="shared" ca="1" si="35"/>
        <v>171</v>
      </c>
      <c r="O333" s="18">
        <f t="shared" ca="1" si="34"/>
        <v>0.81818181818181823</v>
      </c>
      <c r="P333" s="19">
        <f t="shared" si="36"/>
        <v>11</v>
      </c>
      <c r="Q333" s="16">
        <f>IF(COUNTIF($B$2:B333,B333)=1,SUMIF($B$2:$B$1097,B333,$L$2:$L$1097),"")</f>
        <v>605</v>
      </c>
      <c r="R333" s="16">
        <f>AVERAGE(Q313:Q333)</f>
        <v>460.16666666666669</v>
      </c>
    </row>
    <row r="334" spans="1:18" ht="12.75" x14ac:dyDescent="0.2">
      <c r="A334" s="3">
        <v>333</v>
      </c>
      <c r="B334" s="26">
        <v>45036</v>
      </c>
      <c r="C334" s="23" t="s">
        <v>26</v>
      </c>
      <c r="D334" s="4">
        <v>6</v>
      </c>
      <c r="E334" s="24" t="s">
        <v>27</v>
      </c>
      <c r="F334" s="5" t="s">
        <v>11</v>
      </c>
      <c r="G334" s="5" t="s">
        <v>11</v>
      </c>
      <c r="H334" s="5" t="s">
        <v>14</v>
      </c>
      <c r="I334" s="5" t="s">
        <v>15</v>
      </c>
      <c r="J334" s="5" t="s">
        <v>55</v>
      </c>
      <c r="K334" s="6">
        <v>12</v>
      </c>
      <c r="L334" s="15">
        <v>132</v>
      </c>
      <c r="M334" s="15">
        <f t="shared" ca="1" si="37"/>
        <v>24</v>
      </c>
      <c r="N334" s="16">
        <f t="shared" ca="1" si="35"/>
        <v>108</v>
      </c>
      <c r="O334" s="18">
        <f t="shared" ca="1" si="34"/>
        <v>0.81818181818181823</v>
      </c>
      <c r="P334" s="19">
        <f t="shared" si="36"/>
        <v>11</v>
      </c>
      <c r="Q334" s="16" t="str">
        <f>IF(COUNTIF($B$2:B334,B334)=1,SUMIF($B$2:$B$1097,B334,$L$2:$L$1097),"")</f>
        <v/>
      </c>
    </row>
    <row r="335" spans="1:18" ht="12.75" x14ac:dyDescent="0.2">
      <c r="A335" s="3">
        <v>334</v>
      </c>
      <c r="B335" s="26">
        <v>45036</v>
      </c>
      <c r="C335" s="23" t="s">
        <v>26</v>
      </c>
      <c r="D335" s="4">
        <v>6</v>
      </c>
      <c r="E335" s="24" t="s">
        <v>27</v>
      </c>
      <c r="F335" s="5" t="s">
        <v>11</v>
      </c>
      <c r="G335" s="5" t="s">
        <v>11</v>
      </c>
      <c r="H335" s="5" t="s">
        <v>14</v>
      </c>
      <c r="I335" s="5" t="s">
        <v>16</v>
      </c>
      <c r="J335" s="5" t="s">
        <v>55</v>
      </c>
      <c r="K335" s="6">
        <v>9</v>
      </c>
      <c r="L335" s="15">
        <v>99</v>
      </c>
      <c r="M335" s="15">
        <f t="shared" ca="1" si="37"/>
        <v>47</v>
      </c>
      <c r="N335" s="16">
        <f t="shared" ca="1" si="35"/>
        <v>52</v>
      </c>
      <c r="O335" s="18">
        <f t="shared" ca="1" si="34"/>
        <v>0.5252525252525253</v>
      </c>
      <c r="P335" s="19">
        <f t="shared" si="36"/>
        <v>11</v>
      </c>
      <c r="Q335" s="16" t="str">
        <f>IF(COUNTIF($B$2:B335,B335)=1,SUMIF($B$2:$B$1097,B335,$L$2:$L$1097),"")</f>
        <v/>
      </c>
    </row>
    <row r="336" spans="1:18" ht="12.75" x14ac:dyDescent="0.2">
      <c r="A336" s="3">
        <v>335</v>
      </c>
      <c r="B336" s="26">
        <v>45036</v>
      </c>
      <c r="C336" s="23" t="s">
        <v>26</v>
      </c>
      <c r="D336" s="4">
        <v>6</v>
      </c>
      <c r="E336" s="24" t="s">
        <v>27</v>
      </c>
      <c r="F336" s="5" t="s">
        <v>11</v>
      </c>
      <c r="G336" s="5" t="s">
        <v>11</v>
      </c>
      <c r="H336" s="5" t="s">
        <v>14</v>
      </c>
      <c r="I336" s="5" t="s">
        <v>17</v>
      </c>
      <c r="J336" s="5" t="s">
        <v>53</v>
      </c>
      <c r="K336" s="6">
        <v>15</v>
      </c>
      <c r="L336" s="15">
        <v>165</v>
      </c>
      <c r="M336" s="15">
        <f t="shared" ca="1" si="37"/>
        <v>47</v>
      </c>
      <c r="N336" s="16">
        <f t="shared" ca="1" si="35"/>
        <v>118</v>
      </c>
      <c r="O336" s="18">
        <f t="shared" ca="1" si="34"/>
        <v>0.7151515151515152</v>
      </c>
      <c r="P336" s="19">
        <f t="shared" si="36"/>
        <v>11</v>
      </c>
      <c r="Q336" s="16" t="str">
        <f>IF(COUNTIF($B$2:B336,B336)=1,SUMIF($B$2:$B$1097,B336,$L$2:$L$1097),"")</f>
        <v/>
      </c>
    </row>
    <row r="337" spans="1:18" ht="12.75" x14ac:dyDescent="0.2">
      <c r="A337" s="3">
        <v>336</v>
      </c>
      <c r="B337" s="26">
        <v>45037</v>
      </c>
      <c r="C337" s="23" t="s">
        <v>26</v>
      </c>
      <c r="D337" s="4">
        <v>7</v>
      </c>
      <c r="E337" s="24" t="s">
        <v>27</v>
      </c>
      <c r="F337" s="5" t="s">
        <v>11</v>
      </c>
      <c r="G337" s="5" t="s">
        <v>11</v>
      </c>
      <c r="H337" s="5" t="s">
        <v>14</v>
      </c>
      <c r="I337" s="5" t="s">
        <v>13</v>
      </c>
      <c r="J337" s="5" t="s">
        <v>56</v>
      </c>
      <c r="K337" s="6">
        <v>21</v>
      </c>
      <c r="L337" s="15">
        <v>231</v>
      </c>
      <c r="M337" s="15">
        <f t="shared" ca="1" si="37"/>
        <v>28</v>
      </c>
      <c r="N337" s="16">
        <f t="shared" ca="1" si="35"/>
        <v>203</v>
      </c>
      <c r="O337" s="18">
        <f t="shared" ca="1" si="34"/>
        <v>0.87878787878787878</v>
      </c>
      <c r="P337" s="19">
        <f t="shared" si="36"/>
        <v>11</v>
      </c>
      <c r="Q337" s="16">
        <f>IF(COUNTIF($B$2:B337,B337)=1,SUMIF($B$2:$B$1097,B337,$L$2:$L$1097),"")</f>
        <v>231</v>
      </c>
      <c r="R337" s="16">
        <f t="shared" ref="R337:R338" si="38">AVERAGE(Q317:Q337)</f>
        <v>456.5</v>
      </c>
    </row>
    <row r="338" spans="1:18" ht="12.75" x14ac:dyDescent="0.2">
      <c r="A338" s="3">
        <v>337</v>
      </c>
      <c r="B338" s="26">
        <v>45039</v>
      </c>
      <c r="C338" s="23" t="s">
        <v>26</v>
      </c>
      <c r="D338" s="4">
        <v>2</v>
      </c>
      <c r="E338" s="24" t="s">
        <v>27</v>
      </c>
      <c r="F338" s="5" t="s">
        <v>11</v>
      </c>
      <c r="G338" s="5" t="s">
        <v>11</v>
      </c>
      <c r="H338" s="5" t="s">
        <v>14</v>
      </c>
      <c r="I338" s="5" t="s">
        <v>13</v>
      </c>
      <c r="J338" s="5" t="s">
        <v>52</v>
      </c>
      <c r="K338" s="6">
        <v>20</v>
      </c>
      <c r="L338" s="15">
        <v>220</v>
      </c>
      <c r="M338" s="15">
        <f t="shared" ca="1" si="37"/>
        <v>36</v>
      </c>
      <c r="N338" s="16">
        <f t="shared" ca="1" si="35"/>
        <v>184</v>
      </c>
      <c r="O338" s="18">
        <f t="shared" ca="1" si="34"/>
        <v>0.83636363636363631</v>
      </c>
      <c r="P338" s="19">
        <f t="shared" si="36"/>
        <v>11</v>
      </c>
      <c r="Q338" s="16">
        <f>IF(COUNTIF($B$2:B338,B338)=1,SUMIF($B$2:$B$1097,B338,$L$2:$L$1097),"")</f>
        <v>638</v>
      </c>
      <c r="R338" s="16">
        <f t="shared" si="38"/>
        <v>471.16666666666669</v>
      </c>
    </row>
    <row r="339" spans="1:18" ht="12.75" x14ac:dyDescent="0.2">
      <c r="A339" s="3">
        <v>338</v>
      </c>
      <c r="B339" s="26">
        <v>45039</v>
      </c>
      <c r="C339" s="23" t="s">
        <v>26</v>
      </c>
      <c r="D339" s="4">
        <v>2</v>
      </c>
      <c r="E339" s="24" t="s">
        <v>27</v>
      </c>
      <c r="F339" s="5" t="s">
        <v>11</v>
      </c>
      <c r="G339" s="5" t="s">
        <v>11</v>
      </c>
      <c r="H339" s="5" t="s">
        <v>14</v>
      </c>
      <c r="I339" s="5" t="s">
        <v>15</v>
      </c>
      <c r="J339" s="5" t="s">
        <v>54</v>
      </c>
      <c r="K339" s="6">
        <v>13</v>
      </c>
      <c r="L339" s="15">
        <v>143</v>
      </c>
      <c r="M339" s="15">
        <f t="shared" ca="1" si="37"/>
        <v>49</v>
      </c>
      <c r="N339" s="16">
        <f t="shared" ca="1" si="35"/>
        <v>94</v>
      </c>
      <c r="O339" s="18">
        <f t="shared" ca="1" si="34"/>
        <v>0.65734265734265729</v>
      </c>
      <c r="P339" s="19">
        <f t="shared" si="36"/>
        <v>11</v>
      </c>
      <c r="Q339" s="16" t="str">
        <f>IF(COUNTIF($B$2:B339,B339)=1,SUMIF($B$2:$B$1097,B339,$L$2:$L$1097),"")</f>
        <v/>
      </c>
    </row>
    <row r="340" spans="1:18" ht="12.75" x14ac:dyDescent="0.2">
      <c r="A340" s="3">
        <v>339</v>
      </c>
      <c r="B340" s="26">
        <v>45039</v>
      </c>
      <c r="C340" s="23" t="s">
        <v>26</v>
      </c>
      <c r="D340" s="4">
        <v>2</v>
      </c>
      <c r="E340" s="24" t="s">
        <v>27</v>
      </c>
      <c r="F340" s="5" t="s">
        <v>11</v>
      </c>
      <c r="G340" s="5" t="s">
        <v>11</v>
      </c>
      <c r="H340" s="5" t="s">
        <v>14</v>
      </c>
      <c r="I340" s="5" t="s">
        <v>16</v>
      </c>
      <c r="J340" s="5" t="s">
        <v>54</v>
      </c>
      <c r="K340" s="6">
        <v>9</v>
      </c>
      <c r="L340" s="15">
        <v>99</v>
      </c>
      <c r="M340" s="15">
        <f t="shared" ca="1" si="37"/>
        <v>47</v>
      </c>
      <c r="N340" s="16">
        <f t="shared" ca="1" si="35"/>
        <v>52</v>
      </c>
      <c r="O340" s="18">
        <f t="shared" ca="1" si="34"/>
        <v>0.5252525252525253</v>
      </c>
      <c r="P340" s="19">
        <f t="shared" si="36"/>
        <v>11</v>
      </c>
      <c r="Q340" s="16" t="str">
        <f>IF(COUNTIF($B$2:B340,B340)=1,SUMIF($B$2:$B$1097,B340,$L$2:$L$1097),"")</f>
        <v/>
      </c>
    </row>
    <row r="341" spans="1:18" ht="12.75" x14ac:dyDescent="0.2">
      <c r="A341" s="3">
        <v>340</v>
      </c>
      <c r="B341" s="26">
        <v>45039</v>
      </c>
      <c r="C341" s="23" t="s">
        <v>26</v>
      </c>
      <c r="D341" s="4">
        <v>2</v>
      </c>
      <c r="E341" s="24" t="s">
        <v>27</v>
      </c>
      <c r="F341" s="5" t="s">
        <v>11</v>
      </c>
      <c r="G341" s="5" t="s">
        <v>11</v>
      </c>
      <c r="H341" s="5" t="s">
        <v>14</v>
      </c>
      <c r="I341" s="5" t="s">
        <v>17</v>
      </c>
      <c r="J341" s="5" t="s">
        <v>54</v>
      </c>
      <c r="K341" s="6">
        <v>16</v>
      </c>
      <c r="L341" s="15">
        <v>176</v>
      </c>
      <c r="M341" s="15">
        <f t="shared" ca="1" si="37"/>
        <v>15</v>
      </c>
      <c r="N341" s="16">
        <f t="shared" ca="1" si="35"/>
        <v>161</v>
      </c>
      <c r="O341" s="18">
        <f t="shared" ca="1" si="34"/>
        <v>0.91477272727272729</v>
      </c>
      <c r="P341" s="19">
        <f t="shared" si="36"/>
        <v>11</v>
      </c>
      <c r="Q341" s="16" t="str">
        <f>IF(COUNTIF($B$2:B341,B341)=1,SUMIF($B$2:$B$1097,B341,$L$2:$L$1097),"")</f>
        <v/>
      </c>
    </row>
    <row r="342" spans="1:18" ht="12.75" x14ac:dyDescent="0.2">
      <c r="A342" s="3">
        <v>341</v>
      </c>
      <c r="B342" s="26">
        <v>45040</v>
      </c>
      <c r="C342" s="23" t="s">
        <v>26</v>
      </c>
      <c r="D342" s="4">
        <v>3</v>
      </c>
      <c r="E342" s="24" t="s">
        <v>27</v>
      </c>
      <c r="F342" s="5" t="s">
        <v>11</v>
      </c>
      <c r="G342" s="5" t="s">
        <v>11</v>
      </c>
      <c r="H342" s="5" t="s">
        <v>14</v>
      </c>
      <c r="I342" s="5" t="s">
        <v>13</v>
      </c>
      <c r="J342" s="5" t="s">
        <v>56</v>
      </c>
      <c r="K342" s="6">
        <v>19</v>
      </c>
      <c r="L342" s="15">
        <v>209</v>
      </c>
      <c r="M342" s="15">
        <f t="shared" ca="1" si="37"/>
        <v>28</v>
      </c>
      <c r="N342" s="16">
        <f t="shared" ca="1" si="35"/>
        <v>181</v>
      </c>
      <c r="O342" s="18">
        <f t="shared" ca="1" si="34"/>
        <v>0.86602870813397126</v>
      </c>
      <c r="P342" s="19">
        <f t="shared" si="36"/>
        <v>11</v>
      </c>
      <c r="Q342" s="16">
        <f>IF(COUNTIF($B$2:B342,B342)=1,SUMIF($B$2:$B$1097,B342,$L$2:$L$1097),"")</f>
        <v>539</v>
      </c>
      <c r="R342" s="16">
        <f>AVERAGE(Q322:Q342)</f>
        <v>480.33333333333331</v>
      </c>
    </row>
    <row r="343" spans="1:18" ht="12.75" x14ac:dyDescent="0.2">
      <c r="A343" s="3">
        <v>342</v>
      </c>
      <c r="B343" s="26">
        <v>45040</v>
      </c>
      <c r="C343" s="23" t="s">
        <v>26</v>
      </c>
      <c r="D343" s="4">
        <v>3</v>
      </c>
      <c r="E343" s="24" t="s">
        <v>27</v>
      </c>
      <c r="F343" s="5" t="s">
        <v>11</v>
      </c>
      <c r="G343" s="5" t="s">
        <v>11</v>
      </c>
      <c r="H343" s="5" t="s">
        <v>14</v>
      </c>
      <c r="I343" s="5" t="s">
        <v>15</v>
      </c>
      <c r="J343" s="5" t="s">
        <v>56</v>
      </c>
      <c r="K343" s="6">
        <v>11</v>
      </c>
      <c r="L343" s="15">
        <v>121</v>
      </c>
      <c r="M343" s="15">
        <f t="shared" ca="1" si="37"/>
        <v>11</v>
      </c>
      <c r="N343" s="16">
        <f t="shared" ca="1" si="35"/>
        <v>110</v>
      </c>
      <c r="O343" s="18">
        <f t="shared" ca="1" si="34"/>
        <v>0.90909090909090906</v>
      </c>
      <c r="P343" s="19">
        <f t="shared" si="36"/>
        <v>11</v>
      </c>
      <c r="Q343" s="16" t="str">
        <f>IF(COUNTIF($B$2:B343,B343)=1,SUMIF($B$2:$B$1097,B343,$L$2:$L$1097),"")</f>
        <v/>
      </c>
    </row>
    <row r="344" spans="1:18" ht="12.75" x14ac:dyDescent="0.2">
      <c r="A344" s="3">
        <v>343</v>
      </c>
      <c r="B344" s="26">
        <v>45040</v>
      </c>
      <c r="C344" s="23" t="s">
        <v>26</v>
      </c>
      <c r="D344" s="4">
        <v>3</v>
      </c>
      <c r="E344" s="24" t="s">
        <v>27</v>
      </c>
      <c r="F344" s="5" t="s">
        <v>11</v>
      </c>
      <c r="G344" s="5" t="s">
        <v>11</v>
      </c>
      <c r="H344" s="5" t="s">
        <v>14</v>
      </c>
      <c r="I344" s="5" t="s">
        <v>16</v>
      </c>
      <c r="J344" s="5" t="s">
        <v>55</v>
      </c>
      <c r="K344" s="6">
        <v>5</v>
      </c>
      <c r="L344" s="15">
        <v>55</v>
      </c>
      <c r="M344" s="15">
        <f t="shared" ca="1" si="37"/>
        <v>49</v>
      </c>
      <c r="N344" s="16">
        <f t="shared" ca="1" si="35"/>
        <v>6</v>
      </c>
      <c r="O344" s="18">
        <f t="shared" ca="1" si="34"/>
        <v>0.10909090909090909</v>
      </c>
      <c r="P344" s="19">
        <f t="shared" si="36"/>
        <v>11</v>
      </c>
      <c r="Q344" s="16" t="str">
        <f>IF(COUNTIF($B$2:B344,B344)=1,SUMIF($B$2:$B$1097,B344,$L$2:$L$1097),"")</f>
        <v/>
      </c>
    </row>
    <row r="345" spans="1:18" ht="12.75" x14ac:dyDescent="0.2">
      <c r="A345" s="3">
        <v>344</v>
      </c>
      <c r="B345" s="26">
        <v>45040</v>
      </c>
      <c r="C345" s="23" t="s">
        <v>26</v>
      </c>
      <c r="D345" s="4">
        <v>3</v>
      </c>
      <c r="E345" s="24" t="s">
        <v>27</v>
      </c>
      <c r="F345" s="5" t="s">
        <v>11</v>
      </c>
      <c r="G345" s="5" t="s">
        <v>11</v>
      </c>
      <c r="H345" s="5" t="s">
        <v>14</v>
      </c>
      <c r="I345" s="5" t="s">
        <v>17</v>
      </c>
      <c r="J345" s="5" t="s">
        <v>53</v>
      </c>
      <c r="K345" s="6">
        <v>14</v>
      </c>
      <c r="L345" s="15">
        <v>154</v>
      </c>
      <c r="M345" s="15">
        <f t="shared" ca="1" si="37"/>
        <v>39</v>
      </c>
      <c r="N345" s="16">
        <f t="shared" ca="1" si="35"/>
        <v>115</v>
      </c>
      <c r="O345" s="18">
        <f t="shared" ca="1" si="34"/>
        <v>0.74675324675324672</v>
      </c>
      <c r="P345" s="19">
        <f t="shared" si="36"/>
        <v>11</v>
      </c>
      <c r="Q345" s="16" t="str">
        <f>IF(COUNTIF($B$2:B345,B345)=1,SUMIF($B$2:$B$1097,B345,$L$2:$L$1097),"")</f>
        <v/>
      </c>
    </row>
    <row r="346" spans="1:18" ht="12.75" x14ac:dyDescent="0.2">
      <c r="A346" s="3">
        <v>345</v>
      </c>
      <c r="B346" s="26">
        <v>45041</v>
      </c>
      <c r="C346" s="23" t="s">
        <v>26</v>
      </c>
      <c r="D346" s="4">
        <v>4</v>
      </c>
      <c r="E346" s="24" t="s">
        <v>27</v>
      </c>
      <c r="F346" s="5" t="s">
        <v>11</v>
      </c>
      <c r="G346" s="5" t="s">
        <v>11</v>
      </c>
      <c r="H346" s="5" t="s">
        <v>14</v>
      </c>
      <c r="I346" s="5" t="s">
        <v>13</v>
      </c>
      <c r="J346" s="5" t="s">
        <v>52</v>
      </c>
      <c r="K346" s="6">
        <v>17</v>
      </c>
      <c r="L346" s="15">
        <v>187</v>
      </c>
      <c r="M346" s="15">
        <f t="shared" ca="1" si="37"/>
        <v>34</v>
      </c>
      <c r="N346" s="16">
        <f t="shared" ca="1" si="35"/>
        <v>153</v>
      </c>
      <c r="O346" s="18">
        <f t="shared" ca="1" si="34"/>
        <v>0.81818181818181823</v>
      </c>
      <c r="P346" s="19">
        <f t="shared" si="36"/>
        <v>11</v>
      </c>
      <c r="Q346" s="16">
        <f>IF(COUNTIF($B$2:B346,B346)=1,SUMIF($B$2:$B$1097,B346,$L$2:$L$1097),"")</f>
        <v>418</v>
      </c>
      <c r="R346" s="16">
        <f>AVERAGE(Q326:Q346)</f>
        <v>484</v>
      </c>
    </row>
    <row r="347" spans="1:18" ht="12.75" x14ac:dyDescent="0.2">
      <c r="A347" s="3">
        <v>346</v>
      </c>
      <c r="B347" s="26">
        <v>45041</v>
      </c>
      <c r="C347" s="23" t="s">
        <v>26</v>
      </c>
      <c r="D347" s="4">
        <v>4</v>
      </c>
      <c r="E347" s="24" t="s">
        <v>27</v>
      </c>
      <c r="F347" s="5" t="s">
        <v>11</v>
      </c>
      <c r="G347" s="5" t="s">
        <v>11</v>
      </c>
      <c r="H347" s="5" t="s">
        <v>14</v>
      </c>
      <c r="I347" s="5" t="s">
        <v>15</v>
      </c>
      <c r="J347" s="5" t="s">
        <v>54</v>
      </c>
      <c r="K347" s="6">
        <v>5</v>
      </c>
      <c r="L347" s="15">
        <v>55</v>
      </c>
      <c r="M347" s="15">
        <f t="shared" ca="1" si="37"/>
        <v>33</v>
      </c>
      <c r="N347" s="16">
        <f t="shared" ca="1" si="35"/>
        <v>22</v>
      </c>
      <c r="O347" s="18">
        <f t="shared" ca="1" si="34"/>
        <v>0.4</v>
      </c>
      <c r="P347" s="19">
        <f t="shared" si="36"/>
        <v>11</v>
      </c>
      <c r="Q347" s="16" t="str">
        <f>IF(COUNTIF($B$2:B347,B347)=1,SUMIF($B$2:$B$1097,B347,$L$2:$L$1097),"")</f>
        <v/>
      </c>
    </row>
    <row r="348" spans="1:18" ht="12.75" x14ac:dyDescent="0.2">
      <c r="A348" s="3">
        <v>347</v>
      </c>
      <c r="B348" s="26">
        <v>45041</v>
      </c>
      <c r="C348" s="23" t="s">
        <v>26</v>
      </c>
      <c r="D348" s="4">
        <v>4</v>
      </c>
      <c r="E348" s="24" t="s">
        <v>27</v>
      </c>
      <c r="F348" s="5" t="s">
        <v>11</v>
      </c>
      <c r="G348" s="5" t="s">
        <v>11</v>
      </c>
      <c r="H348" s="5" t="s">
        <v>14</v>
      </c>
      <c r="I348" s="5" t="s">
        <v>16</v>
      </c>
      <c r="J348" s="5" t="s">
        <v>54</v>
      </c>
      <c r="K348" s="6">
        <v>5</v>
      </c>
      <c r="L348" s="15">
        <v>55</v>
      </c>
      <c r="M348" s="15">
        <f t="shared" ca="1" si="37"/>
        <v>14</v>
      </c>
      <c r="N348" s="16">
        <f t="shared" ca="1" si="35"/>
        <v>41</v>
      </c>
      <c r="O348" s="18">
        <f t="shared" ca="1" si="34"/>
        <v>0.74545454545454548</v>
      </c>
      <c r="P348" s="19">
        <f t="shared" si="36"/>
        <v>11</v>
      </c>
      <c r="Q348" s="16" t="str">
        <f>IF(COUNTIF($B$2:B348,B348)=1,SUMIF($B$2:$B$1097,B348,$L$2:$L$1097),"")</f>
        <v/>
      </c>
    </row>
    <row r="349" spans="1:18" ht="12.75" x14ac:dyDescent="0.2">
      <c r="A349" s="3">
        <v>348</v>
      </c>
      <c r="B349" s="26">
        <v>45041</v>
      </c>
      <c r="C349" s="23" t="s">
        <v>26</v>
      </c>
      <c r="D349" s="4">
        <v>4</v>
      </c>
      <c r="E349" s="24" t="s">
        <v>27</v>
      </c>
      <c r="F349" s="5" t="s">
        <v>11</v>
      </c>
      <c r="G349" s="5" t="s">
        <v>11</v>
      </c>
      <c r="H349" s="5" t="s">
        <v>14</v>
      </c>
      <c r="I349" s="5" t="s">
        <v>17</v>
      </c>
      <c r="J349" s="5" t="s">
        <v>54</v>
      </c>
      <c r="K349" s="6">
        <v>11</v>
      </c>
      <c r="L349" s="15">
        <v>121</v>
      </c>
      <c r="M349" s="15">
        <f t="shared" ca="1" si="37"/>
        <v>38</v>
      </c>
      <c r="N349" s="16">
        <f t="shared" ca="1" si="35"/>
        <v>83</v>
      </c>
      <c r="O349" s="18">
        <f t="shared" ca="1" si="34"/>
        <v>0.68595041322314054</v>
      </c>
      <c r="P349" s="19">
        <f t="shared" si="36"/>
        <v>11</v>
      </c>
      <c r="Q349" s="16" t="str">
        <f>IF(COUNTIF($B$2:B349,B349)=1,SUMIF($B$2:$B$1097,B349,$L$2:$L$1097),"")</f>
        <v/>
      </c>
    </row>
    <row r="350" spans="1:18" ht="12.75" x14ac:dyDescent="0.2">
      <c r="A350" s="3">
        <v>349</v>
      </c>
      <c r="B350" s="26">
        <v>45042</v>
      </c>
      <c r="C350" s="23" t="s">
        <v>26</v>
      </c>
      <c r="D350" s="4">
        <v>5</v>
      </c>
      <c r="E350" s="24" t="s">
        <v>27</v>
      </c>
      <c r="F350" s="5" t="s">
        <v>11</v>
      </c>
      <c r="G350" s="5" t="s">
        <v>11</v>
      </c>
      <c r="H350" s="5" t="s">
        <v>14</v>
      </c>
      <c r="I350" s="5" t="s">
        <v>13</v>
      </c>
      <c r="J350" s="5" t="s">
        <v>56</v>
      </c>
      <c r="K350" s="6">
        <v>17</v>
      </c>
      <c r="L350" s="15">
        <v>187</v>
      </c>
      <c r="M350" s="15">
        <f t="shared" ca="1" si="37"/>
        <v>18</v>
      </c>
      <c r="N350" s="16">
        <f t="shared" ca="1" si="35"/>
        <v>169</v>
      </c>
      <c r="O350" s="18">
        <f t="shared" ca="1" si="34"/>
        <v>0.90374331550802134</v>
      </c>
      <c r="P350" s="19">
        <f t="shared" si="36"/>
        <v>11</v>
      </c>
      <c r="Q350" s="16">
        <f>IF(COUNTIF($B$2:B350,B350)=1,SUMIF($B$2:$B$1097,B350,$L$2:$L$1097),"")</f>
        <v>506</v>
      </c>
      <c r="R350" s="16">
        <f>AVERAGE(Q330:Q350)</f>
        <v>489.5</v>
      </c>
    </row>
    <row r="351" spans="1:18" ht="12.75" x14ac:dyDescent="0.2">
      <c r="A351" s="3">
        <v>350</v>
      </c>
      <c r="B351" s="26">
        <v>45042</v>
      </c>
      <c r="C351" s="23" t="s">
        <v>26</v>
      </c>
      <c r="D351" s="4">
        <v>5</v>
      </c>
      <c r="E351" s="24" t="s">
        <v>27</v>
      </c>
      <c r="F351" s="5" t="s">
        <v>11</v>
      </c>
      <c r="G351" s="5" t="s">
        <v>11</v>
      </c>
      <c r="H351" s="5" t="s">
        <v>14</v>
      </c>
      <c r="I351" s="5" t="s">
        <v>15</v>
      </c>
      <c r="J351" s="5" t="s">
        <v>56</v>
      </c>
      <c r="K351" s="6">
        <v>10</v>
      </c>
      <c r="L351" s="15">
        <v>110</v>
      </c>
      <c r="M351" s="15">
        <f t="shared" ca="1" si="37"/>
        <v>28</v>
      </c>
      <c r="N351" s="16">
        <f t="shared" ca="1" si="35"/>
        <v>82</v>
      </c>
      <c r="O351" s="18">
        <f t="shared" ca="1" si="34"/>
        <v>0.74545454545454548</v>
      </c>
      <c r="P351" s="19">
        <f t="shared" si="36"/>
        <v>11</v>
      </c>
      <c r="Q351" s="16" t="str">
        <f>IF(COUNTIF($B$2:B351,B351)=1,SUMIF($B$2:$B$1097,B351,$L$2:$L$1097),"")</f>
        <v/>
      </c>
    </row>
    <row r="352" spans="1:18" ht="12.75" x14ac:dyDescent="0.2">
      <c r="A352" s="3">
        <v>351</v>
      </c>
      <c r="B352" s="26">
        <v>45042</v>
      </c>
      <c r="C352" s="23" t="s">
        <v>26</v>
      </c>
      <c r="D352" s="4">
        <v>5</v>
      </c>
      <c r="E352" s="24" t="s">
        <v>27</v>
      </c>
      <c r="F352" s="5" t="s">
        <v>11</v>
      </c>
      <c r="G352" s="5" t="s">
        <v>11</v>
      </c>
      <c r="H352" s="5" t="s">
        <v>14</v>
      </c>
      <c r="I352" s="5" t="s">
        <v>16</v>
      </c>
      <c r="J352" s="5" t="s">
        <v>55</v>
      </c>
      <c r="K352" s="6">
        <v>5</v>
      </c>
      <c r="L352" s="15">
        <v>55</v>
      </c>
      <c r="M352" s="15">
        <f t="shared" ca="1" si="37"/>
        <v>5</v>
      </c>
      <c r="N352" s="16">
        <f t="shared" ca="1" si="35"/>
        <v>50</v>
      </c>
      <c r="O352" s="18">
        <f t="shared" ca="1" si="34"/>
        <v>0.90909090909090906</v>
      </c>
      <c r="P352" s="19">
        <f t="shared" si="36"/>
        <v>11</v>
      </c>
      <c r="Q352" s="16" t="str">
        <f>IF(COUNTIF($B$2:B352,B352)=1,SUMIF($B$2:$B$1097,B352,$L$2:$L$1097),"")</f>
        <v/>
      </c>
    </row>
    <row r="353" spans="1:18" ht="12.75" x14ac:dyDescent="0.2">
      <c r="A353" s="3">
        <v>352</v>
      </c>
      <c r="B353" s="26">
        <v>45042</v>
      </c>
      <c r="C353" s="23" t="s">
        <v>26</v>
      </c>
      <c r="D353" s="4">
        <v>5</v>
      </c>
      <c r="E353" s="24" t="s">
        <v>27</v>
      </c>
      <c r="F353" s="5" t="s">
        <v>11</v>
      </c>
      <c r="G353" s="5" t="s">
        <v>11</v>
      </c>
      <c r="H353" s="5" t="s">
        <v>14</v>
      </c>
      <c r="I353" s="5" t="s">
        <v>17</v>
      </c>
      <c r="J353" s="5" t="s">
        <v>53</v>
      </c>
      <c r="K353" s="6">
        <v>14</v>
      </c>
      <c r="L353" s="15">
        <v>154</v>
      </c>
      <c r="M353" s="15">
        <f t="shared" ca="1" si="37"/>
        <v>43</v>
      </c>
      <c r="N353" s="16">
        <f t="shared" ca="1" si="35"/>
        <v>111</v>
      </c>
      <c r="O353" s="18">
        <f t="shared" ca="1" si="34"/>
        <v>0.72077922077922074</v>
      </c>
      <c r="P353" s="19">
        <f t="shared" si="36"/>
        <v>11</v>
      </c>
      <c r="Q353" s="16" t="str">
        <f>IF(COUNTIF($B$2:B353,B353)=1,SUMIF($B$2:$B$1097,B353,$L$2:$L$1097),"")</f>
        <v/>
      </c>
    </row>
    <row r="354" spans="1:18" ht="12.75" x14ac:dyDescent="0.2">
      <c r="A354" s="3">
        <v>353</v>
      </c>
      <c r="B354" s="26">
        <v>45043</v>
      </c>
      <c r="C354" s="23" t="s">
        <v>26</v>
      </c>
      <c r="D354" s="4">
        <v>6</v>
      </c>
      <c r="E354" s="24" t="s">
        <v>27</v>
      </c>
      <c r="F354" s="5" t="s">
        <v>11</v>
      </c>
      <c r="G354" s="5" t="s">
        <v>11</v>
      </c>
      <c r="H354" s="5" t="s">
        <v>14</v>
      </c>
      <c r="I354" s="5" t="s">
        <v>13</v>
      </c>
      <c r="J354" s="5" t="s">
        <v>52</v>
      </c>
      <c r="K354" s="6">
        <v>20</v>
      </c>
      <c r="L354" s="15">
        <v>220</v>
      </c>
      <c r="M354" s="15">
        <f t="shared" ca="1" si="37"/>
        <v>20</v>
      </c>
      <c r="N354" s="16">
        <f t="shared" ca="1" si="35"/>
        <v>200</v>
      </c>
      <c r="O354" s="18">
        <f t="shared" ca="1" si="34"/>
        <v>0.90909090909090906</v>
      </c>
      <c r="P354" s="19">
        <f t="shared" si="36"/>
        <v>11</v>
      </c>
      <c r="Q354" s="16">
        <f>IF(COUNTIF($B$2:B354,B354)=1,SUMIF($B$2:$B$1097,B354,$L$2:$L$1097),"")</f>
        <v>627</v>
      </c>
      <c r="R354" s="16">
        <f>AVERAGE(Q334:Q354)</f>
        <v>493.16666666666669</v>
      </c>
    </row>
    <row r="355" spans="1:18" ht="12.75" x14ac:dyDescent="0.2">
      <c r="A355" s="3">
        <v>354</v>
      </c>
      <c r="B355" s="26">
        <v>45043</v>
      </c>
      <c r="C355" s="23" t="s">
        <v>26</v>
      </c>
      <c r="D355" s="4">
        <v>6</v>
      </c>
      <c r="E355" s="24" t="s">
        <v>27</v>
      </c>
      <c r="F355" s="5" t="s">
        <v>11</v>
      </c>
      <c r="G355" s="5" t="s">
        <v>11</v>
      </c>
      <c r="H355" s="5" t="s">
        <v>14</v>
      </c>
      <c r="I355" s="5" t="s">
        <v>15</v>
      </c>
      <c r="J355" s="5" t="s">
        <v>55</v>
      </c>
      <c r="K355" s="6">
        <v>12</v>
      </c>
      <c r="L355" s="15">
        <v>132</v>
      </c>
      <c r="M355" s="15">
        <f t="shared" ca="1" si="37"/>
        <v>23</v>
      </c>
      <c r="N355" s="16">
        <f t="shared" ca="1" si="35"/>
        <v>109</v>
      </c>
      <c r="O355" s="18">
        <f t="shared" ca="1" si="34"/>
        <v>0.8257575757575758</v>
      </c>
      <c r="P355" s="19">
        <f t="shared" si="36"/>
        <v>11</v>
      </c>
      <c r="Q355" s="16" t="str">
        <f>IF(COUNTIF($B$2:B355,B355)=1,SUMIF($B$2:$B$1097,B355,$L$2:$L$1097),"")</f>
        <v/>
      </c>
    </row>
    <row r="356" spans="1:18" ht="12.75" x14ac:dyDescent="0.2">
      <c r="A356" s="3">
        <v>355</v>
      </c>
      <c r="B356" s="26">
        <v>45043</v>
      </c>
      <c r="C356" s="23" t="s">
        <v>26</v>
      </c>
      <c r="D356" s="4">
        <v>6</v>
      </c>
      <c r="E356" s="24" t="s">
        <v>27</v>
      </c>
      <c r="F356" s="5" t="s">
        <v>11</v>
      </c>
      <c r="G356" s="5" t="s">
        <v>11</v>
      </c>
      <c r="H356" s="5" t="s">
        <v>14</v>
      </c>
      <c r="I356" s="5" t="s">
        <v>16</v>
      </c>
      <c r="J356" s="5" t="s">
        <v>55</v>
      </c>
      <c r="K356" s="6">
        <v>8</v>
      </c>
      <c r="L356" s="15">
        <v>88</v>
      </c>
      <c r="M356" s="15">
        <f t="shared" ca="1" si="37"/>
        <v>29</v>
      </c>
      <c r="N356" s="16">
        <f t="shared" ca="1" si="35"/>
        <v>59</v>
      </c>
      <c r="O356" s="18">
        <f t="shared" ca="1" si="34"/>
        <v>0.67045454545454541</v>
      </c>
      <c r="P356" s="19">
        <f t="shared" si="36"/>
        <v>11</v>
      </c>
      <c r="Q356" s="16" t="str">
        <f>IF(COUNTIF($B$2:B356,B356)=1,SUMIF($B$2:$B$1097,B356,$L$2:$L$1097),"")</f>
        <v/>
      </c>
    </row>
    <row r="357" spans="1:18" ht="12.75" x14ac:dyDescent="0.2">
      <c r="A357" s="3">
        <v>356</v>
      </c>
      <c r="B357" s="26">
        <v>45043</v>
      </c>
      <c r="C357" s="23" t="s">
        <v>26</v>
      </c>
      <c r="D357" s="4">
        <v>6</v>
      </c>
      <c r="E357" s="24" t="s">
        <v>27</v>
      </c>
      <c r="F357" s="5" t="s">
        <v>11</v>
      </c>
      <c r="G357" s="5" t="s">
        <v>11</v>
      </c>
      <c r="H357" s="5" t="s">
        <v>14</v>
      </c>
      <c r="I357" s="5" t="s">
        <v>17</v>
      </c>
      <c r="J357" s="5" t="s">
        <v>53</v>
      </c>
      <c r="K357" s="6">
        <v>17</v>
      </c>
      <c r="L357" s="15">
        <v>187</v>
      </c>
      <c r="M357" s="15">
        <f t="shared" ca="1" si="37"/>
        <v>13</v>
      </c>
      <c r="N357" s="16">
        <f t="shared" ca="1" si="35"/>
        <v>174</v>
      </c>
      <c r="O357" s="18">
        <f t="shared" ca="1" si="34"/>
        <v>0.93048128342245995</v>
      </c>
      <c r="P357" s="19">
        <f t="shared" si="36"/>
        <v>11</v>
      </c>
      <c r="Q357" s="16" t="str">
        <f>IF(COUNTIF($B$2:B357,B357)=1,SUMIF($B$2:$B$1097,B357,$L$2:$L$1097),"")</f>
        <v/>
      </c>
    </row>
    <row r="358" spans="1:18" ht="12.75" x14ac:dyDescent="0.2">
      <c r="A358" s="3">
        <v>357</v>
      </c>
      <c r="B358" s="26">
        <v>45044</v>
      </c>
      <c r="C358" s="23" t="s">
        <v>26</v>
      </c>
      <c r="D358" s="4">
        <v>7</v>
      </c>
      <c r="E358" s="24" t="s">
        <v>27</v>
      </c>
      <c r="F358" s="5" t="s">
        <v>11</v>
      </c>
      <c r="G358" s="5" t="s">
        <v>11</v>
      </c>
      <c r="H358" s="5" t="s">
        <v>14</v>
      </c>
      <c r="I358" s="5" t="s">
        <v>13</v>
      </c>
      <c r="J358" s="5" t="s">
        <v>56</v>
      </c>
      <c r="K358" s="6">
        <v>22</v>
      </c>
      <c r="L358" s="15">
        <v>242</v>
      </c>
      <c r="M358" s="15">
        <f t="shared" ca="1" si="37"/>
        <v>19</v>
      </c>
      <c r="N358" s="16">
        <f t="shared" ca="1" si="35"/>
        <v>223</v>
      </c>
      <c r="O358" s="18">
        <f t="shared" ca="1" si="34"/>
        <v>0.92148760330578516</v>
      </c>
      <c r="P358" s="19">
        <f t="shared" si="36"/>
        <v>11</v>
      </c>
      <c r="Q358" s="16">
        <f>IF(COUNTIF($B$2:B358,B358)=1,SUMIF($B$2:$B$1097,B358,$L$2:$L$1097),"")</f>
        <v>242</v>
      </c>
      <c r="R358" s="16">
        <f t="shared" ref="R358:R359" si="39">AVERAGE(Q338:Q358)</f>
        <v>495</v>
      </c>
    </row>
    <row r="359" spans="1:18" ht="12.75" x14ac:dyDescent="0.2">
      <c r="A359" s="3">
        <v>358</v>
      </c>
      <c r="B359" s="26">
        <v>45046</v>
      </c>
      <c r="C359" s="23" t="s">
        <v>26</v>
      </c>
      <c r="D359" s="4">
        <v>2</v>
      </c>
      <c r="E359" s="24" t="s">
        <v>27</v>
      </c>
      <c r="F359" s="5" t="s">
        <v>11</v>
      </c>
      <c r="G359" s="5" t="s">
        <v>11</v>
      </c>
      <c r="H359" s="5" t="s">
        <v>14</v>
      </c>
      <c r="I359" s="5" t="s">
        <v>13</v>
      </c>
      <c r="J359" s="5" t="s">
        <v>52</v>
      </c>
      <c r="K359" s="6">
        <v>19</v>
      </c>
      <c r="L359" s="15">
        <v>209</v>
      </c>
      <c r="M359" s="15">
        <f t="shared" ca="1" si="37"/>
        <v>26</v>
      </c>
      <c r="N359" s="16">
        <f t="shared" ca="1" si="35"/>
        <v>183</v>
      </c>
      <c r="O359" s="18">
        <f t="shared" ca="1" si="34"/>
        <v>0.87559808612440193</v>
      </c>
      <c r="P359" s="19">
        <f t="shared" si="36"/>
        <v>11</v>
      </c>
      <c r="Q359" s="16">
        <f>IF(COUNTIF($B$2:B359,B359)=1,SUMIF($B$2:$B$1097,B359,$L$2:$L$1097),"")</f>
        <v>583</v>
      </c>
      <c r="R359" s="16">
        <f t="shared" si="39"/>
        <v>485.83333333333331</v>
      </c>
    </row>
    <row r="360" spans="1:18" ht="12.75" x14ac:dyDescent="0.2">
      <c r="A360" s="3">
        <v>359</v>
      </c>
      <c r="B360" s="26">
        <v>45046</v>
      </c>
      <c r="C360" s="23" t="s">
        <v>26</v>
      </c>
      <c r="D360" s="4">
        <v>2</v>
      </c>
      <c r="E360" s="24" t="s">
        <v>27</v>
      </c>
      <c r="F360" s="5" t="s">
        <v>11</v>
      </c>
      <c r="G360" s="5" t="s">
        <v>11</v>
      </c>
      <c r="H360" s="5" t="s">
        <v>14</v>
      </c>
      <c r="I360" s="5" t="s">
        <v>15</v>
      </c>
      <c r="J360" s="5" t="s">
        <v>54</v>
      </c>
      <c r="K360" s="6">
        <v>11</v>
      </c>
      <c r="L360" s="15">
        <v>121</v>
      </c>
      <c r="M360" s="15">
        <f t="shared" ca="1" si="37"/>
        <v>13</v>
      </c>
      <c r="N360" s="16">
        <f t="shared" ca="1" si="35"/>
        <v>108</v>
      </c>
      <c r="O360" s="18">
        <f t="shared" ca="1" si="34"/>
        <v>0.8925619834710744</v>
      </c>
      <c r="P360" s="19">
        <f t="shared" si="36"/>
        <v>11</v>
      </c>
      <c r="Q360" s="16" t="str">
        <f>IF(COUNTIF($B$2:B360,B360)=1,SUMIF($B$2:$B$1097,B360,$L$2:$L$1097),"")</f>
        <v/>
      </c>
    </row>
    <row r="361" spans="1:18" ht="12.75" x14ac:dyDescent="0.2">
      <c r="A361" s="3">
        <v>360</v>
      </c>
      <c r="B361" s="26">
        <v>45046</v>
      </c>
      <c r="C361" s="23" t="s">
        <v>26</v>
      </c>
      <c r="D361" s="4">
        <v>2</v>
      </c>
      <c r="E361" s="24" t="s">
        <v>27</v>
      </c>
      <c r="F361" s="5" t="s">
        <v>11</v>
      </c>
      <c r="G361" s="5" t="s">
        <v>11</v>
      </c>
      <c r="H361" s="5" t="s">
        <v>14</v>
      </c>
      <c r="I361" s="5" t="s">
        <v>16</v>
      </c>
      <c r="J361" s="5" t="s">
        <v>54</v>
      </c>
      <c r="K361" s="6">
        <v>8</v>
      </c>
      <c r="L361" s="15">
        <v>88</v>
      </c>
      <c r="M361" s="15">
        <f t="shared" ca="1" si="37"/>
        <v>27</v>
      </c>
      <c r="N361" s="16">
        <f t="shared" ca="1" si="35"/>
        <v>61</v>
      </c>
      <c r="O361" s="18">
        <f t="shared" ca="1" si="34"/>
        <v>0.69318181818181823</v>
      </c>
      <c r="P361" s="19">
        <f t="shared" si="36"/>
        <v>11</v>
      </c>
      <c r="Q361" s="16" t="str">
        <f>IF(COUNTIF($B$2:B361,B361)=1,SUMIF($B$2:$B$1097,B361,$L$2:$L$1097),"")</f>
        <v/>
      </c>
    </row>
    <row r="362" spans="1:18" ht="12.75" x14ac:dyDescent="0.2">
      <c r="A362" s="3">
        <v>361</v>
      </c>
      <c r="B362" s="26">
        <v>45046</v>
      </c>
      <c r="C362" s="23" t="s">
        <v>26</v>
      </c>
      <c r="D362" s="4">
        <v>2</v>
      </c>
      <c r="E362" s="24" t="s">
        <v>27</v>
      </c>
      <c r="F362" s="5" t="s">
        <v>11</v>
      </c>
      <c r="G362" s="5" t="s">
        <v>11</v>
      </c>
      <c r="H362" s="5" t="s">
        <v>14</v>
      </c>
      <c r="I362" s="5" t="s">
        <v>17</v>
      </c>
      <c r="J362" s="5" t="s">
        <v>54</v>
      </c>
      <c r="K362" s="6">
        <v>15</v>
      </c>
      <c r="L362" s="15">
        <v>165</v>
      </c>
      <c r="M362" s="15">
        <f t="shared" ca="1" si="37"/>
        <v>20</v>
      </c>
      <c r="N362" s="16">
        <f t="shared" ca="1" si="35"/>
        <v>145</v>
      </c>
      <c r="O362" s="18">
        <f t="shared" ca="1" si="34"/>
        <v>0.87878787878787878</v>
      </c>
      <c r="P362" s="19">
        <f t="shared" si="36"/>
        <v>11</v>
      </c>
      <c r="Q362" s="16" t="str">
        <f>IF(COUNTIF($B$2:B362,B362)=1,SUMIF($B$2:$B$1097,B362,$L$2:$L$1097),"")</f>
        <v/>
      </c>
    </row>
    <row r="363" spans="1:18" ht="12.75" x14ac:dyDescent="0.2">
      <c r="A363" s="3">
        <v>362</v>
      </c>
      <c r="B363" s="26">
        <v>45047</v>
      </c>
      <c r="C363" s="23" t="s">
        <v>28</v>
      </c>
      <c r="D363" s="4">
        <v>3</v>
      </c>
      <c r="E363" s="24" t="s">
        <v>27</v>
      </c>
      <c r="F363" s="5" t="s">
        <v>11</v>
      </c>
      <c r="G363" s="5" t="s">
        <v>11</v>
      </c>
      <c r="H363" s="5" t="s">
        <v>14</v>
      </c>
      <c r="I363" s="5" t="s">
        <v>13</v>
      </c>
      <c r="J363" s="5" t="s">
        <v>56</v>
      </c>
      <c r="K363" s="6">
        <v>18</v>
      </c>
      <c r="L363" s="15">
        <v>198</v>
      </c>
      <c r="M363" s="15">
        <f t="shared" ca="1" si="37"/>
        <v>4</v>
      </c>
      <c r="N363" s="16">
        <f t="shared" ca="1" si="35"/>
        <v>194</v>
      </c>
      <c r="O363" s="18">
        <f t="shared" ca="1" si="34"/>
        <v>0.97979797979797978</v>
      </c>
      <c r="P363" s="19">
        <f t="shared" si="36"/>
        <v>11</v>
      </c>
      <c r="Q363" s="16">
        <f>IF(COUNTIF($B$2:B363,B363)=1,SUMIF($B$2:$B$1097,B363,$L$2:$L$1097),"")</f>
        <v>506</v>
      </c>
      <c r="R363" s="16">
        <f>AVERAGE(Q343:Q363)</f>
        <v>480.33333333333331</v>
      </c>
    </row>
    <row r="364" spans="1:18" ht="12.75" x14ac:dyDescent="0.2">
      <c r="A364" s="3">
        <v>363</v>
      </c>
      <c r="B364" s="26">
        <v>45047</v>
      </c>
      <c r="C364" s="23" t="s">
        <v>28</v>
      </c>
      <c r="D364" s="4">
        <v>3</v>
      </c>
      <c r="E364" s="24" t="s">
        <v>27</v>
      </c>
      <c r="F364" s="5" t="s">
        <v>11</v>
      </c>
      <c r="G364" s="5" t="s">
        <v>11</v>
      </c>
      <c r="H364" s="5" t="s">
        <v>14</v>
      </c>
      <c r="I364" s="5" t="s">
        <v>15</v>
      </c>
      <c r="J364" s="5" t="s">
        <v>56</v>
      </c>
      <c r="K364" s="6">
        <v>9</v>
      </c>
      <c r="L364" s="15">
        <v>99</v>
      </c>
      <c r="M364" s="15">
        <f t="shared" ca="1" si="37"/>
        <v>29</v>
      </c>
      <c r="N364" s="16">
        <f t="shared" ca="1" si="35"/>
        <v>70</v>
      </c>
      <c r="O364" s="18">
        <f t="shared" ca="1" si="34"/>
        <v>0.70707070707070707</v>
      </c>
      <c r="P364" s="19">
        <f t="shared" si="36"/>
        <v>11</v>
      </c>
      <c r="Q364" s="16" t="str">
        <f>IF(COUNTIF($B$2:B364,B364)=1,SUMIF($B$2:$B$1097,B364,$L$2:$L$1097),"")</f>
        <v/>
      </c>
    </row>
    <row r="365" spans="1:18" ht="12.75" x14ac:dyDescent="0.2">
      <c r="A365" s="3">
        <v>364</v>
      </c>
      <c r="B365" s="26">
        <v>45047</v>
      </c>
      <c r="C365" s="23" t="s">
        <v>28</v>
      </c>
      <c r="D365" s="4">
        <v>3</v>
      </c>
      <c r="E365" s="24" t="s">
        <v>27</v>
      </c>
      <c r="F365" s="5" t="s">
        <v>11</v>
      </c>
      <c r="G365" s="5" t="s">
        <v>11</v>
      </c>
      <c r="H365" s="5" t="s">
        <v>14</v>
      </c>
      <c r="I365" s="5" t="s">
        <v>16</v>
      </c>
      <c r="J365" s="5" t="s">
        <v>55</v>
      </c>
      <c r="K365" s="6">
        <v>5</v>
      </c>
      <c r="L365" s="15">
        <v>55</v>
      </c>
      <c r="M365" s="15">
        <f t="shared" ca="1" si="37"/>
        <v>16</v>
      </c>
      <c r="N365" s="16">
        <f t="shared" ca="1" si="35"/>
        <v>39</v>
      </c>
      <c r="O365" s="18">
        <f t="shared" ca="1" si="34"/>
        <v>0.70909090909090911</v>
      </c>
      <c r="P365" s="19">
        <f t="shared" si="36"/>
        <v>11</v>
      </c>
      <c r="Q365" s="16" t="str">
        <f>IF(COUNTIF($B$2:B365,B365)=1,SUMIF($B$2:$B$1097,B365,$L$2:$L$1097),"")</f>
        <v/>
      </c>
    </row>
    <row r="366" spans="1:18" ht="12.75" x14ac:dyDescent="0.2">
      <c r="A366" s="3">
        <v>365</v>
      </c>
      <c r="B366" s="26">
        <v>45047</v>
      </c>
      <c r="C366" s="23" t="s">
        <v>28</v>
      </c>
      <c r="D366" s="4">
        <v>3</v>
      </c>
      <c r="E366" s="24" t="s">
        <v>27</v>
      </c>
      <c r="F366" s="5" t="s">
        <v>11</v>
      </c>
      <c r="G366" s="5" t="s">
        <v>11</v>
      </c>
      <c r="H366" s="5" t="s">
        <v>14</v>
      </c>
      <c r="I366" s="5" t="s">
        <v>17</v>
      </c>
      <c r="J366" s="5" t="s">
        <v>53</v>
      </c>
      <c r="K366" s="6">
        <v>14</v>
      </c>
      <c r="L366" s="15">
        <v>154</v>
      </c>
      <c r="M366" s="15">
        <f t="shared" ca="1" si="37"/>
        <v>11</v>
      </c>
      <c r="N366" s="16">
        <f t="shared" ca="1" si="35"/>
        <v>143</v>
      </c>
      <c r="O366" s="18">
        <f t="shared" ca="1" si="34"/>
        <v>0.9285714285714286</v>
      </c>
      <c r="P366" s="19">
        <f t="shared" si="36"/>
        <v>11</v>
      </c>
      <c r="Q366" s="16" t="str">
        <f>IF(COUNTIF($B$2:B366,B366)=1,SUMIF($B$2:$B$1097,B366,$L$2:$L$1097),"")</f>
        <v/>
      </c>
    </row>
    <row r="367" spans="1:18" ht="12.75" x14ac:dyDescent="0.2">
      <c r="A367" s="3">
        <v>366</v>
      </c>
      <c r="B367" s="26">
        <v>45048</v>
      </c>
      <c r="C367" s="23" t="s">
        <v>28</v>
      </c>
      <c r="D367" s="4">
        <v>4</v>
      </c>
      <c r="E367" s="24" t="s">
        <v>27</v>
      </c>
      <c r="F367" s="5" t="s">
        <v>11</v>
      </c>
      <c r="G367" s="5" t="s">
        <v>11</v>
      </c>
      <c r="H367" s="5" t="s">
        <v>14</v>
      </c>
      <c r="I367" s="5" t="s">
        <v>13</v>
      </c>
      <c r="J367" s="5" t="s">
        <v>52</v>
      </c>
      <c r="K367" s="6">
        <v>18</v>
      </c>
      <c r="L367" s="15">
        <v>198</v>
      </c>
      <c r="M367" s="15">
        <f t="shared" ca="1" si="37"/>
        <v>50</v>
      </c>
      <c r="N367" s="16">
        <f t="shared" ca="1" si="35"/>
        <v>148</v>
      </c>
      <c r="O367" s="18">
        <f t="shared" ca="1" si="34"/>
        <v>0.74747474747474751</v>
      </c>
      <c r="P367" s="19">
        <f t="shared" si="36"/>
        <v>11</v>
      </c>
      <c r="Q367" s="16">
        <f>IF(COUNTIF($B$2:B367,B367)=1,SUMIF($B$2:$B$1097,B367,$L$2:$L$1097),"")</f>
        <v>473</v>
      </c>
      <c r="R367" s="16">
        <f>AVERAGE(Q347:Q367)</f>
        <v>489.5</v>
      </c>
    </row>
    <row r="368" spans="1:18" ht="12.75" x14ac:dyDescent="0.2">
      <c r="A368" s="3">
        <v>367</v>
      </c>
      <c r="B368" s="26">
        <v>45048</v>
      </c>
      <c r="C368" s="23" t="s">
        <v>28</v>
      </c>
      <c r="D368" s="4">
        <v>4</v>
      </c>
      <c r="E368" s="24" t="s">
        <v>27</v>
      </c>
      <c r="F368" s="5" t="s">
        <v>11</v>
      </c>
      <c r="G368" s="5" t="s">
        <v>11</v>
      </c>
      <c r="H368" s="5" t="s">
        <v>14</v>
      </c>
      <c r="I368" s="5" t="s">
        <v>15</v>
      </c>
      <c r="J368" s="5" t="s">
        <v>54</v>
      </c>
      <c r="K368" s="6">
        <v>8</v>
      </c>
      <c r="L368" s="15">
        <v>88</v>
      </c>
      <c r="M368" s="15">
        <f t="shared" ca="1" si="37"/>
        <v>43</v>
      </c>
      <c r="N368" s="16">
        <f t="shared" ca="1" si="35"/>
        <v>45</v>
      </c>
      <c r="O368" s="18">
        <f t="shared" ca="1" si="34"/>
        <v>0.51136363636363635</v>
      </c>
      <c r="P368" s="19">
        <f t="shared" si="36"/>
        <v>11</v>
      </c>
      <c r="Q368" s="16" t="str">
        <f>IF(COUNTIF($B$2:B368,B368)=1,SUMIF($B$2:$B$1097,B368,$L$2:$L$1097),"")</f>
        <v/>
      </c>
    </row>
    <row r="369" spans="1:18" ht="12.75" x14ac:dyDescent="0.2">
      <c r="A369" s="3">
        <v>368</v>
      </c>
      <c r="B369" s="26">
        <v>45048</v>
      </c>
      <c r="C369" s="23" t="s">
        <v>28</v>
      </c>
      <c r="D369" s="4">
        <v>4</v>
      </c>
      <c r="E369" s="24" t="s">
        <v>27</v>
      </c>
      <c r="F369" s="5" t="s">
        <v>11</v>
      </c>
      <c r="G369" s="5" t="s">
        <v>11</v>
      </c>
      <c r="H369" s="5" t="s">
        <v>14</v>
      </c>
      <c r="I369" s="5" t="s">
        <v>16</v>
      </c>
      <c r="J369" s="5" t="s">
        <v>54</v>
      </c>
      <c r="K369" s="6">
        <v>5</v>
      </c>
      <c r="L369" s="15">
        <v>55</v>
      </c>
      <c r="M369" s="15">
        <f t="shared" ca="1" si="37"/>
        <v>8</v>
      </c>
      <c r="N369" s="16">
        <f t="shared" ca="1" si="35"/>
        <v>47</v>
      </c>
      <c r="O369" s="18">
        <f t="shared" ca="1" si="34"/>
        <v>0.8545454545454545</v>
      </c>
      <c r="P369" s="19">
        <f t="shared" si="36"/>
        <v>11</v>
      </c>
      <c r="Q369" s="16" t="str">
        <f>IF(COUNTIF($B$2:B369,B369)=1,SUMIF($B$2:$B$1097,B369,$L$2:$L$1097),"")</f>
        <v/>
      </c>
    </row>
    <row r="370" spans="1:18" ht="12.75" x14ac:dyDescent="0.2">
      <c r="A370" s="3">
        <v>369</v>
      </c>
      <c r="B370" s="26">
        <v>45048</v>
      </c>
      <c r="C370" s="23" t="s">
        <v>28</v>
      </c>
      <c r="D370" s="4">
        <v>4</v>
      </c>
      <c r="E370" s="24" t="s">
        <v>27</v>
      </c>
      <c r="F370" s="5" t="s">
        <v>11</v>
      </c>
      <c r="G370" s="5" t="s">
        <v>11</v>
      </c>
      <c r="H370" s="5" t="s">
        <v>14</v>
      </c>
      <c r="I370" s="5" t="s">
        <v>17</v>
      </c>
      <c r="J370" s="5" t="s">
        <v>54</v>
      </c>
      <c r="K370" s="6">
        <v>12</v>
      </c>
      <c r="L370" s="15">
        <v>132</v>
      </c>
      <c r="M370" s="15">
        <f t="shared" ca="1" si="37"/>
        <v>32</v>
      </c>
      <c r="N370" s="16">
        <f t="shared" ca="1" si="35"/>
        <v>100</v>
      </c>
      <c r="O370" s="18">
        <f t="shared" ca="1" si="34"/>
        <v>0.75757575757575757</v>
      </c>
      <c r="P370" s="19">
        <f t="shared" si="36"/>
        <v>11</v>
      </c>
      <c r="Q370" s="16" t="str">
        <f>IF(COUNTIF($B$2:B370,B370)=1,SUMIF($B$2:$B$1097,B370,$L$2:$L$1097),"")</f>
        <v/>
      </c>
    </row>
    <row r="371" spans="1:18" ht="12.75" x14ac:dyDescent="0.2">
      <c r="A371" s="3">
        <v>370</v>
      </c>
      <c r="B371" s="26">
        <v>45049</v>
      </c>
      <c r="C371" s="23" t="s">
        <v>28</v>
      </c>
      <c r="D371" s="4">
        <v>5</v>
      </c>
      <c r="E371" s="24" t="s">
        <v>27</v>
      </c>
      <c r="F371" s="5" t="s">
        <v>11</v>
      </c>
      <c r="G371" s="5" t="s">
        <v>11</v>
      </c>
      <c r="H371" s="5" t="s">
        <v>14</v>
      </c>
      <c r="I371" s="5" t="s">
        <v>13</v>
      </c>
      <c r="J371" s="5" t="s">
        <v>56</v>
      </c>
      <c r="K371" s="6">
        <v>16</v>
      </c>
      <c r="L371" s="15">
        <v>176</v>
      </c>
      <c r="M371" s="15">
        <f t="shared" ca="1" si="37"/>
        <v>31</v>
      </c>
      <c r="N371" s="16">
        <f t="shared" ca="1" si="35"/>
        <v>145</v>
      </c>
      <c r="O371" s="18">
        <f t="shared" ca="1" si="34"/>
        <v>0.82386363636363635</v>
      </c>
      <c r="P371" s="19">
        <f t="shared" si="36"/>
        <v>11</v>
      </c>
      <c r="Q371" s="16">
        <f>IF(COUNTIF($B$2:B371,B371)=1,SUMIF($B$2:$B$1097,B371,$L$2:$L$1097),"")</f>
        <v>462</v>
      </c>
      <c r="R371" s="16">
        <f>AVERAGE(Q351:Q371)</f>
        <v>482.16666666666669</v>
      </c>
    </row>
    <row r="372" spans="1:18" ht="12.75" x14ac:dyDescent="0.2">
      <c r="A372" s="3">
        <v>371</v>
      </c>
      <c r="B372" s="26">
        <v>45049</v>
      </c>
      <c r="C372" s="23" t="s">
        <v>28</v>
      </c>
      <c r="D372" s="4">
        <v>5</v>
      </c>
      <c r="E372" s="24" t="s">
        <v>27</v>
      </c>
      <c r="F372" s="5" t="s">
        <v>11</v>
      </c>
      <c r="G372" s="5" t="s">
        <v>11</v>
      </c>
      <c r="H372" s="5" t="s">
        <v>14</v>
      </c>
      <c r="I372" s="5" t="s">
        <v>15</v>
      </c>
      <c r="J372" s="5" t="s">
        <v>56</v>
      </c>
      <c r="K372" s="6">
        <v>10</v>
      </c>
      <c r="L372" s="15">
        <v>110</v>
      </c>
      <c r="M372" s="15">
        <f t="shared" ca="1" si="37"/>
        <v>37</v>
      </c>
      <c r="N372" s="16">
        <f t="shared" ca="1" si="35"/>
        <v>73</v>
      </c>
      <c r="O372" s="18">
        <f t="shared" ca="1" si="34"/>
        <v>0.66363636363636369</v>
      </c>
      <c r="P372" s="19">
        <f t="shared" si="36"/>
        <v>11</v>
      </c>
      <c r="Q372" s="16" t="str">
        <f>IF(COUNTIF($B$2:B372,B372)=1,SUMIF($B$2:$B$1097,B372,$L$2:$L$1097),"")</f>
        <v/>
      </c>
    </row>
    <row r="373" spans="1:18" ht="12.75" x14ac:dyDescent="0.2">
      <c r="A373" s="3">
        <v>372</v>
      </c>
      <c r="B373" s="26">
        <v>45049</v>
      </c>
      <c r="C373" s="23" t="s">
        <v>28</v>
      </c>
      <c r="D373" s="4">
        <v>5</v>
      </c>
      <c r="E373" s="24" t="s">
        <v>27</v>
      </c>
      <c r="F373" s="5" t="s">
        <v>11</v>
      </c>
      <c r="G373" s="5" t="s">
        <v>11</v>
      </c>
      <c r="H373" s="5" t="s">
        <v>14</v>
      </c>
      <c r="I373" s="5" t="s">
        <v>16</v>
      </c>
      <c r="J373" s="5" t="s">
        <v>55</v>
      </c>
      <c r="K373" s="6">
        <v>5</v>
      </c>
      <c r="L373" s="15">
        <v>55</v>
      </c>
      <c r="M373" s="15">
        <f t="shared" ca="1" si="37"/>
        <v>47</v>
      </c>
      <c r="N373" s="16">
        <f t="shared" ca="1" si="35"/>
        <v>8</v>
      </c>
      <c r="O373" s="18">
        <f t="shared" ca="1" si="34"/>
        <v>0.14545454545454545</v>
      </c>
      <c r="P373" s="19">
        <f t="shared" si="36"/>
        <v>11</v>
      </c>
      <c r="Q373" s="16" t="str">
        <f>IF(COUNTIF($B$2:B373,B373)=1,SUMIF($B$2:$B$1097,B373,$L$2:$L$1097),"")</f>
        <v/>
      </c>
    </row>
    <row r="374" spans="1:18" ht="12.75" x14ac:dyDescent="0.2">
      <c r="A374" s="3">
        <v>373</v>
      </c>
      <c r="B374" s="26">
        <v>45049</v>
      </c>
      <c r="C374" s="23" t="s">
        <v>28</v>
      </c>
      <c r="D374" s="4">
        <v>5</v>
      </c>
      <c r="E374" s="24" t="s">
        <v>27</v>
      </c>
      <c r="F374" s="5" t="s">
        <v>11</v>
      </c>
      <c r="G374" s="5" t="s">
        <v>11</v>
      </c>
      <c r="H374" s="5" t="s">
        <v>14</v>
      </c>
      <c r="I374" s="5" t="s">
        <v>17</v>
      </c>
      <c r="J374" s="5" t="s">
        <v>53</v>
      </c>
      <c r="K374" s="6">
        <v>11</v>
      </c>
      <c r="L374" s="15">
        <v>121</v>
      </c>
      <c r="M374" s="15">
        <f t="shared" ca="1" si="37"/>
        <v>2</v>
      </c>
      <c r="N374" s="16">
        <f t="shared" ca="1" si="35"/>
        <v>119</v>
      </c>
      <c r="O374" s="18">
        <f t="shared" ca="1" si="34"/>
        <v>0.98347107438016534</v>
      </c>
      <c r="P374" s="19">
        <f t="shared" si="36"/>
        <v>11</v>
      </c>
      <c r="Q374" s="16" t="str">
        <f>IF(COUNTIF($B$2:B374,B374)=1,SUMIF($B$2:$B$1097,B374,$L$2:$L$1097),"")</f>
        <v/>
      </c>
    </row>
    <row r="375" spans="1:18" ht="12.75" x14ac:dyDescent="0.2">
      <c r="A375" s="3">
        <v>374</v>
      </c>
      <c r="B375" s="26">
        <v>45050</v>
      </c>
      <c r="C375" s="23" t="s">
        <v>28</v>
      </c>
      <c r="D375" s="4">
        <v>6</v>
      </c>
      <c r="E375" s="24" t="s">
        <v>27</v>
      </c>
      <c r="F375" s="5" t="s">
        <v>11</v>
      </c>
      <c r="G375" s="5" t="s">
        <v>11</v>
      </c>
      <c r="H375" s="5" t="s">
        <v>14</v>
      </c>
      <c r="I375" s="5" t="s">
        <v>13</v>
      </c>
      <c r="J375" s="5" t="s">
        <v>52</v>
      </c>
      <c r="K375" s="6">
        <v>18</v>
      </c>
      <c r="L375" s="15">
        <v>198</v>
      </c>
      <c r="M375" s="15">
        <f t="shared" ca="1" si="37"/>
        <v>48</v>
      </c>
      <c r="N375" s="16">
        <f t="shared" ca="1" si="35"/>
        <v>150</v>
      </c>
      <c r="O375" s="18">
        <f t="shared" ca="1" si="34"/>
        <v>0.75757575757575757</v>
      </c>
      <c r="P375" s="19">
        <f t="shared" si="36"/>
        <v>11</v>
      </c>
      <c r="Q375" s="16">
        <f>IF(COUNTIF($B$2:B375,B375)=1,SUMIF($B$2:$B$1097,B375,$L$2:$L$1097),"")</f>
        <v>605</v>
      </c>
      <c r="R375" s="16">
        <f>AVERAGE(Q355:Q375)</f>
        <v>478.5</v>
      </c>
    </row>
    <row r="376" spans="1:18" ht="12.75" x14ac:dyDescent="0.2">
      <c r="A376" s="3">
        <v>375</v>
      </c>
      <c r="B376" s="26">
        <v>45050</v>
      </c>
      <c r="C376" s="23" t="s">
        <v>28</v>
      </c>
      <c r="D376" s="4">
        <v>6</v>
      </c>
      <c r="E376" s="24" t="s">
        <v>27</v>
      </c>
      <c r="F376" s="5" t="s">
        <v>11</v>
      </c>
      <c r="G376" s="5" t="s">
        <v>11</v>
      </c>
      <c r="H376" s="5" t="s">
        <v>14</v>
      </c>
      <c r="I376" s="5" t="s">
        <v>15</v>
      </c>
      <c r="J376" s="5" t="s">
        <v>55</v>
      </c>
      <c r="K376" s="6">
        <v>9</v>
      </c>
      <c r="L376" s="15">
        <v>99</v>
      </c>
      <c r="M376" s="15">
        <f t="shared" ca="1" si="37"/>
        <v>15</v>
      </c>
      <c r="N376" s="16">
        <f t="shared" ca="1" si="35"/>
        <v>84</v>
      </c>
      <c r="O376" s="18">
        <f t="shared" ca="1" si="34"/>
        <v>0.84848484848484851</v>
      </c>
      <c r="P376" s="19">
        <f t="shared" si="36"/>
        <v>11</v>
      </c>
      <c r="Q376" s="16" t="str">
        <f>IF(COUNTIF($B$2:B376,B376)=1,SUMIF($B$2:$B$1097,B376,$L$2:$L$1097),"")</f>
        <v/>
      </c>
    </row>
    <row r="377" spans="1:18" ht="12.75" x14ac:dyDescent="0.2">
      <c r="A377" s="3">
        <v>376</v>
      </c>
      <c r="B377" s="26">
        <v>45050</v>
      </c>
      <c r="C377" s="23" t="s">
        <v>28</v>
      </c>
      <c r="D377" s="4">
        <v>6</v>
      </c>
      <c r="E377" s="24" t="s">
        <v>27</v>
      </c>
      <c r="F377" s="5" t="s">
        <v>11</v>
      </c>
      <c r="G377" s="5" t="s">
        <v>11</v>
      </c>
      <c r="H377" s="5" t="s">
        <v>14</v>
      </c>
      <c r="I377" s="5" t="s">
        <v>16</v>
      </c>
      <c r="J377" s="5" t="s">
        <v>55</v>
      </c>
      <c r="K377" s="6">
        <v>9</v>
      </c>
      <c r="L377" s="15">
        <v>99</v>
      </c>
      <c r="M377" s="15">
        <f t="shared" ca="1" si="37"/>
        <v>30</v>
      </c>
      <c r="N377" s="16">
        <f t="shared" ca="1" si="35"/>
        <v>69</v>
      </c>
      <c r="O377" s="18">
        <f t="shared" ca="1" si="34"/>
        <v>0.69696969696969702</v>
      </c>
      <c r="P377" s="19">
        <f t="shared" si="36"/>
        <v>11</v>
      </c>
      <c r="Q377" s="16" t="str">
        <f>IF(COUNTIF($B$2:B377,B377)=1,SUMIF($B$2:$B$1097,B377,$L$2:$L$1097),"")</f>
        <v/>
      </c>
    </row>
    <row r="378" spans="1:18" ht="12.75" x14ac:dyDescent="0.2">
      <c r="A378" s="3">
        <v>377</v>
      </c>
      <c r="B378" s="26">
        <v>45050</v>
      </c>
      <c r="C378" s="23" t="s">
        <v>28</v>
      </c>
      <c r="D378" s="4">
        <v>6</v>
      </c>
      <c r="E378" s="24" t="s">
        <v>27</v>
      </c>
      <c r="F378" s="5" t="s">
        <v>11</v>
      </c>
      <c r="G378" s="5" t="s">
        <v>11</v>
      </c>
      <c r="H378" s="5" t="s">
        <v>14</v>
      </c>
      <c r="I378" s="5" t="s">
        <v>17</v>
      </c>
      <c r="J378" s="5" t="s">
        <v>53</v>
      </c>
      <c r="K378" s="6">
        <v>19</v>
      </c>
      <c r="L378" s="15">
        <v>209</v>
      </c>
      <c r="M378" s="15">
        <f t="shared" ca="1" si="37"/>
        <v>34</v>
      </c>
      <c r="N378" s="16">
        <f t="shared" ca="1" si="35"/>
        <v>175</v>
      </c>
      <c r="O378" s="18">
        <f t="shared" ca="1" si="34"/>
        <v>0.83732057416267947</v>
      </c>
      <c r="P378" s="19">
        <f t="shared" si="36"/>
        <v>11</v>
      </c>
      <c r="Q378" s="16" t="str">
        <f>IF(COUNTIF($B$2:B378,B378)=1,SUMIF($B$2:$B$1097,B378,$L$2:$L$1097),"")</f>
        <v/>
      </c>
    </row>
    <row r="379" spans="1:18" ht="12.75" x14ac:dyDescent="0.2">
      <c r="A379" s="3">
        <v>378</v>
      </c>
      <c r="B379" s="26">
        <v>45051</v>
      </c>
      <c r="C379" s="23" t="s">
        <v>28</v>
      </c>
      <c r="D379" s="4">
        <v>7</v>
      </c>
      <c r="E379" s="24" t="s">
        <v>27</v>
      </c>
      <c r="F379" s="5" t="s">
        <v>11</v>
      </c>
      <c r="G379" s="5" t="s">
        <v>11</v>
      </c>
      <c r="H379" s="5" t="s">
        <v>14</v>
      </c>
      <c r="I379" s="5" t="s">
        <v>13</v>
      </c>
      <c r="J379" s="5" t="s">
        <v>56</v>
      </c>
      <c r="K379" s="6">
        <v>22</v>
      </c>
      <c r="L379" s="15">
        <v>242</v>
      </c>
      <c r="M379" s="15">
        <f t="shared" ca="1" si="37"/>
        <v>13</v>
      </c>
      <c r="N379" s="16">
        <f t="shared" ca="1" si="35"/>
        <v>229</v>
      </c>
      <c r="O379" s="18">
        <f t="shared" ca="1" si="34"/>
        <v>0.94628099173553715</v>
      </c>
      <c r="P379" s="19">
        <f t="shared" si="36"/>
        <v>11</v>
      </c>
      <c r="Q379" s="16">
        <f>IF(COUNTIF($B$2:B379,B379)=1,SUMIF($B$2:$B$1097,B379,$L$2:$L$1097),"")</f>
        <v>242</v>
      </c>
      <c r="R379" s="16">
        <f t="shared" ref="R379:R380" si="40">AVERAGE(Q359:Q379)</f>
        <v>478.5</v>
      </c>
    </row>
    <row r="380" spans="1:18" ht="12.75" x14ac:dyDescent="0.2">
      <c r="A380" s="3">
        <v>379</v>
      </c>
      <c r="B380" s="26">
        <v>45053</v>
      </c>
      <c r="C380" s="23" t="s">
        <v>28</v>
      </c>
      <c r="D380" s="4">
        <v>2</v>
      </c>
      <c r="E380" s="24" t="s">
        <v>27</v>
      </c>
      <c r="F380" s="5" t="s">
        <v>11</v>
      </c>
      <c r="G380" s="5" t="s">
        <v>11</v>
      </c>
      <c r="H380" s="5" t="s">
        <v>14</v>
      </c>
      <c r="I380" s="5" t="s">
        <v>13</v>
      </c>
      <c r="J380" s="5" t="s">
        <v>52</v>
      </c>
      <c r="K380" s="6">
        <v>21</v>
      </c>
      <c r="L380" s="15">
        <v>231</v>
      </c>
      <c r="M380" s="15">
        <f t="shared" ca="1" si="37"/>
        <v>20</v>
      </c>
      <c r="N380" s="16">
        <f t="shared" ca="1" si="35"/>
        <v>211</v>
      </c>
      <c r="O380" s="18">
        <f t="shared" ca="1" si="34"/>
        <v>0.91341991341991347</v>
      </c>
      <c r="P380" s="19">
        <f t="shared" si="36"/>
        <v>11</v>
      </c>
      <c r="Q380" s="16">
        <f>IF(COUNTIF($B$2:B380,B380)=1,SUMIF($B$2:$B$1097,B380,$L$2:$L$1097),"")</f>
        <v>550</v>
      </c>
      <c r="R380" s="16">
        <f t="shared" si="40"/>
        <v>473</v>
      </c>
    </row>
    <row r="381" spans="1:18" ht="12.75" x14ac:dyDescent="0.2">
      <c r="A381" s="3">
        <v>380</v>
      </c>
      <c r="B381" s="26">
        <v>45053</v>
      </c>
      <c r="C381" s="23" t="s">
        <v>28</v>
      </c>
      <c r="D381" s="4">
        <v>2</v>
      </c>
      <c r="E381" s="24" t="s">
        <v>27</v>
      </c>
      <c r="F381" s="5" t="s">
        <v>11</v>
      </c>
      <c r="G381" s="5" t="s">
        <v>11</v>
      </c>
      <c r="H381" s="5" t="s">
        <v>14</v>
      </c>
      <c r="I381" s="5" t="s">
        <v>15</v>
      </c>
      <c r="J381" s="5" t="s">
        <v>54</v>
      </c>
      <c r="K381" s="6">
        <v>8</v>
      </c>
      <c r="L381" s="15">
        <v>88</v>
      </c>
      <c r="M381" s="15">
        <f t="shared" ca="1" si="37"/>
        <v>44</v>
      </c>
      <c r="N381" s="16">
        <f t="shared" ca="1" si="35"/>
        <v>44</v>
      </c>
      <c r="O381" s="18">
        <f t="shared" ca="1" si="34"/>
        <v>0.5</v>
      </c>
      <c r="P381" s="19">
        <f t="shared" si="36"/>
        <v>11</v>
      </c>
      <c r="Q381" s="16" t="str">
        <f>IF(COUNTIF($B$2:B381,B381)=1,SUMIF($B$2:$B$1097,B381,$L$2:$L$1097),"")</f>
        <v/>
      </c>
    </row>
    <row r="382" spans="1:18" ht="12.75" x14ac:dyDescent="0.2">
      <c r="A382" s="3">
        <v>381</v>
      </c>
      <c r="B382" s="26">
        <v>45053</v>
      </c>
      <c r="C382" s="23" t="s">
        <v>28</v>
      </c>
      <c r="D382" s="4">
        <v>2</v>
      </c>
      <c r="E382" s="24" t="s">
        <v>27</v>
      </c>
      <c r="F382" s="5" t="s">
        <v>11</v>
      </c>
      <c r="G382" s="5" t="s">
        <v>11</v>
      </c>
      <c r="H382" s="5" t="s">
        <v>14</v>
      </c>
      <c r="I382" s="5" t="s">
        <v>16</v>
      </c>
      <c r="J382" s="5" t="s">
        <v>54</v>
      </c>
      <c r="K382" s="6">
        <v>8</v>
      </c>
      <c r="L382" s="15">
        <v>88</v>
      </c>
      <c r="M382" s="15">
        <f t="shared" ca="1" si="37"/>
        <v>7</v>
      </c>
      <c r="N382" s="16">
        <f t="shared" ca="1" si="35"/>
        <v>81</v>
      </c>
      <c r="O382" s="18">
        <f t="shared" ca="1" si="34"/>
        <v>0.92045454545454541</v>
      </c>
      <c r="P382" s="19">
        <f t="shared" si="36"/>
        <v>11</v>
      </c>
      <c r="Q382" s="16" t="str">
        <f>IF(COUNTIF($B$2:B382,B382)=1,SUMIF($B$2:$B$1097,B382,$L$2:$L$1097),"")</f>
        <v/>
      </c>
    </row>
    <row r="383" spans="1:18" ht="12.75" x14ac:dyDescent="0.2">
      <c r="A383" s="3">
        <v>382</v>
      </c>
      <c r="B383" s="26">
        <v>45053</v>
      </c>
      <c r="C383" s="23" t="s">
        <v>28</v>
      </c>
      <c r="D383" s="4">
        <v>2</v>
      </c>
      <c r="E383" s="24" t="s">
        <v>27</v>
      </c>
      <c r="F383" s="5" t="s">
        <v>11</v>
      </c>
      <c r="G383" s="5" t="s">
        <v>11</v>
      </c>
      <c r="H383" s="5" t="s">
        <v>14</v>
      </c>
      <c r="I383" s="5" t="s">
        <v>17</v>
      </c>
      <c r="J383" s="5" t="s">
        <v>54</v>
      </c>
      <c r="K383" s="6">
        <v>13</v>
      </c>
      <c r="L383" s="15">
        <v>143</v>
      </c>
      <c r="M383" s="15">
        <f t="shared" ca="1" si="37"/>
        <v>19</v>
      </c>
      <c r="N383" s="16">
        <f t="shared" ca="1" si="35"/>
        <v>124</v>
      </c>
      <c r="O383" s="18">
        <f t="shared" ca="1" si="34"/>
        <v>0.86713286713286708</v>
      </c>
      <c r="P383" s="19">
        <f t="shared" si="36"/>
        <v>11</v>
      </c>
      <c r="Q383" s="16" t="str">
        <f>IF(COUNTIF($B$2:B383,B383)=1,SUMIF($B$2:$B$1097,B383,$L$2:$L$1097),"")</f>
        <v/>
      </c>
    </row>
    <row r="384" spans="1:18" ht="12.75" x14ac:dyDescent="0.2">
      <c r="A384" s="3">
        <v>383</v>
      </c>
      <c r="B384" s="26">
        <v>45054</v>
      </c>
      <c r="C384" s="23" t="s">
        <v>28</v>
      </c>
      <c r="D384" s="4">
        <v>3</v>
      </c>
      <c r="E384" s="24" t="s">
        <v>27</v>
      </c>
      <c r="F384" s="5" t="s">
        <v>11</v>
      </c>
      <c r="G384" s="5" t="s">
        <v>11</v>
      </c>
      <c r="H384" s="5" t="s">
        <v>14</v>
      </c>
      <c r="I384" s="5" t="s">
        <v>13</v>
      </c>
      <c r="J384" s="5" t="s">
        <v>56</v>
      </c>
      <c r="K384" s="6">
        <v>14</v>
      </c>
      <c r="L384" s="15">
        <v>154</v>
      </c>
      <c r="M384" s="15">
        <f t="shared" ca="1" si="37"/>
        <v>33</v>
      </c>
      <c r="N384" s="16">
        <f t="shared" ca="1" si="35"/>
        <v>121</v>
      </c>
      <c r="O384" s="18">
        <f t="shared" ca="1" si="34"/>
        <v>0.7857142857142857</v>
      </c>
      <c r="P384" s="19">
        <f t="shared" si="36"/>
        <v>11</v>
      </c>
      <c r="Q384" s="16">
        <f>IF(COUNTIF($B$2:B384,B384)=1,SUMIF($B$2:$B$1097,B384,$L$2:$L$1097),"")</f>
        <v>462</v>
      </c>
      <c r="R384" s="16">
        <f>AVERAGE(Q364:Q384)</f>
        <v>465.66666666666669</v>
      </c>
    </row>
    <row r="385" spans="1:18" ht="12.75" x14ac:dyDescent="0.2">
      <c r="A385" s="3">
        <v>384</v>
      </c>
      <c r="B385" s="26">
        <v>45054</v>
      </c>
      <c r="C385" s="23" t="s">
        <v>28</v>
      </c>
      <c r="D385" s="4">
        <v>3</v>
      </c>
      <c r="E385" s="24" t="s">
        <v>27</v>
      </c>
      <c r="F385" s="5" t="s">
        <v>11</v>
      </c>
      <c r="G385" s="5" t="s">
        <v>11</v>
      </c>
      <c r="H385" s="5" t="s">
        <v>14</v>
      </c>
      <c r="I385" s="5" t="s">
        <v>15</v>
      </c>
      <c r="J385" s="5" t="s">
        <v>56</v>
      </c>
      <c r="K385" s="6">
        <v>12</v>
      </c>
      <c r="L385" s="15">
        <v>132</v>
      </c>
      <c r="M385" s="15">
        <f t="shared" ca="1" si="37"/>
        <v>41</v>
      </c>
      <c r="N385" s="16">
        <f t="shared" ca="1" si="35"/>
        <v>91</v>
      </c>
      <c r="O385" s="18">
        <f t="shared" ca="1" si="34"/>
        <v>0.68939393939393945</v>
      </c>
      <c r="P385" s="19">
        <f t="shared" si="36"/>
        <v>11</v>
      </c>
      <c r="Q385" s="16" t="str">
        <f>IF(COUNTIF($B$2:B385,B385)=1,SUMIF($B$2:$B$1097,B385,$L$2:$L$1097),"")</f>
        <v/>
      </c>
    </row>
    <row r="386" spans="1:18" ht="12.75" x14ac:dyDescent="0.2">
      <c r="A386" s="3">
        <v>385</v>
      </c>
      <c r="B386" s="26">
        <v>45054</v>
      </c>
      <c r="C386" s="23" t="s">
        <v>28</v>
      </c>
      <c r="D386" s="4">
        <v>3</v>
      </c>
      <c r="E386" s="24" t="s">
        <v>27</v>
      </c>
      <c r="F386" s="5" t="s">
        <v>11</v>
      </c>
      <c r="G386" s="5" t="s">
        <v>11</v>
      </c>
      <c r="H386" s="5" t="s">
        <v>14</v>
      </c>
      <c r="I386" s="5" t="s">
        <v>16</v>
      </c>
      <c r="J386" s="5" t="s">
        <v>55</v>
      </c>
      <c r="K386" s="6">
        <v>5</v>
      </c>
      <c r="L386" s="15">
        <v>55</v>
      </c>
      <c r="M386" s="15">
        <f t="shared" ca="1" si="37"/>
        <v>35</v>
      </c>
      <c r="N386" s="16">
        <f t="shared" ca="1" si="35"/>
        <v>20</v>
      </c>
      <c r="O386" s="18">
        <f t="shared" ref="O386:O449" ca="1" si="41">IF(L386=0, 0, N386/L386)</f>
        <v>0.36363636363636365</v>
      </c>
      <c r="P386" s="19">
        <f t="shared" si="36"/>
        <v>11</v>
      </c>
      <c r="Q386" s="16" t="str">
        <f>IF(COUNTIF($B$2:B386,B386)=1,SUMIF($B$2:$B$1097,B386,$L$2:$L$1097),"")</f>
        <v/>
      </c>
    </row>
    <row r="387" spans="1:18" ht="12.75" x14ac:dyDescent="0.2">
      <c r="A387" s="3">
        <v>386</v>
      </c>
      <c r="B387" s="26">
        <v>45054</v>
      </c>
      <c r="C387" s="23" t="s">
        <v>28</v>
      </c>
      <c r="D387" s="4">
        <v>3</v>
      </c>
      <c r="E387" s="24" t="s">
        <v>27</v>
      </c>
      <c r="F387" s="5" t="s">
        <v>11</v>
      </c>
      <c r="G387" s="5" t="s">
        <v>11</v>
      </c>
      <c r="H387" s="5" t="s">
        <v>14</v>
      </c>
      <c r="I387" s="5" t="s">
        <v>17</v>
      </c>
      <c r="J387" s="5" t="s">
        <v>53</v>
      </c>
      <c r="K387" s="6">
        <v>11</v>
      </c>
      <c r="L387" s="15">
        <v>121</v>
      </c>
      <c r="M387" s="15">
        <f t="shared" ca="1" si="37"/>
        <v>1</v>
      </c>
      <c r="N387" s="16">
        <f t="shared" ref="N387:N450" ca="1" si="42">L387-M387</f>
        <v>120</v>
      </c>
      <c r="O387" s="18">
        <f t="shared" ca="1" si="41"/>
        <v>0.99173553719008267</v>
      </c>
      <c r="P387" s="19">
        <f t="shared" ref="P387:P450" si="43">IF(K387=0, 0, L387/K387)</f>
        <v>11</v>
      </c>
      <c r="Q387" s="16" t="str">
        <f>IF(COUNTIF($B$2:B387,B387)=1,SUMIF($B$2:$B$1097,B387,$L$2:$L$1097),"")</f>
        <v/>
      </c>
    </row>
    <row r="388" spans="1:18" ht="12.75" x14ac:dyDescent="0.2">
      <c r="A388" s="3">
        <v>387</v>
      </c>
      <c r="B388" s="26">
        <v>45055</v>
      </c>
      <c r="C388" s="23" t="s">
        <v>28</v>
      </c>
      <c r="D388" s="4">
        <v>4</v>
      </c>
      <c r="E388" s="24" t="s">
        <v>27</v>
      </c>
      <c r="F388" s="5" t="s">
        <v>11</v>
      </c>
      <c r="G388" s="5" t="s">
        <v>11</v>
      </c>
      <c r="H388" s="5" t="s">
        <v>14</v>
      </c>
      <c r="I388" s="5" t="s">
        <v>13</v>
      </c>
      <c r="J388" s="5" t="s">
        <v>52</v>
      </c>
      <c r="K388" s="6">
        <v>15</v>
      </c>
      <c r="L388" s="15">
        <v>165</v>
      </c>
      <c r="M388" s="15">
        <f t="shared" ca="1" si="37"/>
        <v>7</v>
      </c>
      <c r="N388" s="16">
        <f t="shared" ca="1" si="42"/>
        <v>158</v>
      </c>
      <c r="O388" s="18">
        <f t="shared" ca="1" si="41"/>
        <v>0.95757575757575752</v>
      </c>
      <c r="P388" s="19">
        <f t="shared" si="43"/>
        <v>11</v>
      </c>
      <c r="Q388" s="16">
        <f>IF(COUNTIF($B$2:B388,B388)=1,SUMIF($B$2:$B$1097,B388,$L$2:$L$1097),"")</f>
        <v>396</v>
      </c>
      <c r="R388" s="16">
        <f>AVERAGE(Q368:Q388)</f>
        <v>452.83333333333331</v>
      </c>
    </row>
    <row r="389" spans="1:18" ht="12.75" x14ac:dyDescent="0.2">
      <c r="A389" s="3">
        <v>388</v>
      </c>
      <c r="B389" s="26">
        <v>45055</v>
      </c>
      <c r="C389" s="23" t="s">
        <v>28</v>
      </c>
      <c r="D389" s="4">
        <v>4</v>
      </c>
      <c r="E389" s="24" t="s">
        <v>27</v>
      </c>
      <c r="F389" s="5" t="s">
        <v>11</v>
      </c>
      <c r="G389" s="5" t="s">
        <v>11</v>
      </c>
      <c r="H389" s="5" t="s">
        <v>14</v>
      </c>
      <c r="I389" s="5" t="s">
        <v>15</v>
      </c>
      <c r="J389" s="5" t="s">
        <v>54</v>
      </c>
      <c r="K389" s="6">
        <v>5</v>
      </c>
      <c r="L389" s="15">
        <v>55</v>
      </c>
      <c r="M389" s="15">
        <f t="shared" ca="1" si="37"/>
        <v>27</v>
      </c>
      <c r="N389" s="16">
        <f t="shared" ca="1" si="42"/>
        <v>28</v>
      </c>
      <c r="O389" s="18">
        <f t="shared" ca="1" si="41"/>
        <v>0.50909090909090904</v>
      </c>
      <c r="P389" s="19">
        <f t="shared" si="43"/>
        <v>11</v>
      </c>
      <c r="Q389" s="16" t="str">
        <f>IF(COUNTIF($B$2:B389,B389)=1,SUMIF($B$2:$B$1097,B389,$L$2:$L$1097),"")</f>
        <v/>
      </c>
    </row>
    <row r="390" spans="1:18" ht="12.75" x14ac:dyDescent="0.2">
      <c r="A390" s="3">
        <v>389</v>
      </c>
      <c r="B390" s="26">
        <v>45055</v>
      </c>
      <c r="C390" s="23" t="s">
        <v>28</v>
      </c>
      <c r="D390" s="4">
        <v>4</v>
      </c>
      <c r="E390" s="24" t="s">
        <v>27</v>
      </c>
      <c r="F390" s="5" t="s">
        <v>11</v>
      </c>
      <c r="G390" s="5" t="s">
        <v>11</v>
      </c>
      <c r="H390" s="5" t="s">
        <v>14</v>
      </c>
      <c r="I390" s="5" t="s">
        <v>16</v>
      </c>
      <c r="J390" s="5" t="s">
        <v>54</v>
      </c>
      <c r="K390" s="6">
        <v>5</v>
      </c>
      <c r="L390" s="15">
        <v>55</v>
      </c>
      <c r="M390" s="15">
        <f t="shared" ca="1" si="37"/>
        <v>32</v>
      </c>
      <c r="N390" s="16">
        <f t="shared" ca="1" si="42"/>
        <v>23</v>
      </c>
      <c r="O390" s="18">
        <f t="shared" ca="1" si="41"/>
        <v>0.41818181818181815</v>
      </c>
      <c r="P390" s="19">
        <f t="shared" si="43"/>
        <v>11</v>
      </c>
      <c r="Q390" s="16" t="str">
        <f>IF(COUNTIF($B$2:B390,B390)=1,SUMIF($B$2:$B$1097,B390,$L$2:$L$1097),"")</f>
        <v/>
      </c>
    </row>
    <row r="391" spans="1:18" ht="12.75" x14ac:dyDescent="0.2">
      <c r="A391" s="3">
        <v>390</v>
      </c>
      <c r="B391" s="26">
        <v>45055</v>
      </c>
      <c r="C391" s="23" t="s">
        <v>28</v>
      </c>
      <c r="D391" s="4">
        <v>4</v>
      </c>
      <c r="E391" s="24" t="s">
        <v>27</v>
      </c>
      <c r="F391" s="5" t="s">
        <v>11</v>
      </c>
      <c r="G391" s="5" t="s">
        <v>11</v>
      </c>
      <c r="H391" s="5" t="s">
        <v>14</v>
      </c>
      <c r="I391" s="5" t="s">
        <v>17</v>
      </c>
      <c r="J391" s="5" t="s">
        <v>54</v>
      </c>
      <c r="K391" s="6">
        <v>11</v>
      </c>
      <c r="L391" s="15">
        <v>121</v>
      </c>
      <c r="M391" s="15">
        <f t="shared" ca="1" si="37"/>
        <v>2</v>
      </c>
      <c r="N391" s="16">
        <f t="shared" ca="1" si="42"/>
        <v>119</v>
      </c>
      <c r="O391" s="18">
        <f t="shared" ca="1" si="41"/>
        <v>0.98347107438016534</v>
      </c>
      <c r="P391" s="19">
        <f t="shared" si="43"/>
        <v>11</v>
      </c>
      <c r="Q391" s="16" t="str">
        <f>IF(COUNTIF($B$2:B391,B391)=1,SUMIF($B$2:$B$1097,B391,$L$2:$L$1097),"")</f>
        <v/>
      </c>
    </row>
    <row r="392" spans="1:18" ht="12.75" x14ac:dyDescent="0.2">
      <c r="A392" s="3">
        <v>391</v>
      </c>
      <c r="B392" s="26">
        <v>45056</v>
      </c>
      <c r="C392" s="23" t="s">
        <v>28</v>
      </c>
      <c r="D392" s="4">
        <v>5</v>
      </c>
      <c r="E392" s="24" t="s">
        <v>27</v>
      </c>
      <c r="F392" s="5" t="s">
        <v>11</v>
      </c>
      <c r="G392" s="5" t="s">
        <v>11</v>
      </c>
      <c r="H392" s="5" t="s">
        <v>14</v>
      </c>
      <c r="I392" s="5" t="s">
        <v>13</v>
      </c>
      <c r="J392" s="5" t="s">
        <v>56</v>
      </c>
      <c r="K392" s="6">
        <v>15</v>
      </c>
      <c r="L392" s="15">
        <v>165</v>
      </c>
      <c r="M392" s="15">
        <f t="shared" ca="1" si="37"/>
        <v>49</v>
      </c>
      <c r="N392" s="16">
        <f t="shared" ca="1" si="42"/>
        <v>116</v>
      </c>
      <c r="O392" s="18">
        <f t="shared" ca="1" si="41"/>
        <v>0.70303030303030301</v>
      </c>
      <c r="P392" s="19">
        <f t="shared" si="43"/>
        <v>11</v>
      </c>
      <c r="Q392" s="16">
        <f>IF(COUNTIF($B$2:B392,B392)=1,SUMIF($B$2:$B$1097,B392,$L$2:$L$1097),"")</f>
        <v>495</v>
      </c>
      <c r="R392" s="16">
        <f>AVERAGE(Q372:Q392)</f>
        <v>458.33333333333331</v>
      </c>
    </row>
    <row r="393" spans="1:18" ht="12.75" x14ac:dyDescent="0.2">
      <c r="A393" s="3">
        <v>392</v>
      </c>
      <c r="B393" s="26">
        <v>45056</v>
      </c>
      <c r="C393" s="23" t="s">
        <v>28</v>
      </c>
      <c r="D393" s="4">
        <v>5</v>
      </c>
      <c r="E393" s="24" t="s">
        <v>27</v>
      </c>
      <c r="F393" s="5" t="s">
        <v>11</v>
      </c>
      <c r="G393" s="5" t="s">
        <v>11</v>
      </c>
      <c r="H393" s="5" t="s">
        <v>14</v>
      </c>
      <c r="I393" s="5" t="s">
        <v>15</v>
      </c>
      <c r="J393" s="5" t="s">
        <v>56</v>
      </c>
      <c r="K393" s="6">
        <v>11</v>
      </c>
      <c r="L393" s="15">
        <v>121</v>
      </c>
      <c r="M393" s="15">
        <f t="shared" ref="M393:M456" ca="1" si="44">RANDBETWEEN(1,50)</f>
        <v>36</v>
      </c>
      <c r="N393" s="16">
        <f t="shared" ca="1" si="42"/>
        <v>85</v>
      </c>
      <c r="O393" s="18">
        <f t="shared" ca="1" si="41"/>
        <v>0.7024793388429752</v>
      </c>
      <c r="P393" s="19">
        <f t="shared" si="43"/>
        <v>11</v>
      </c>
      <c r="Q393" s="16" t="str">
        <f>IF(COUNTIF($B$2:B393,B393)=1,SUMIF($B$2:$B$1097,B393,$L$2:$L$1097),"")</f>
        <v/>
      </c>
    </row>
    <row r="394" spans="1:18" ht="12.75" x14ac:dyDescent="0.2">
      <c r="A394" s="3">
        <v>393</v>
      </c>
      <c r="B394" s="26">
        <v>45056</v>
      </c>
      <c r="C394" s="23" t="s">
        <v>28</v>
      </c>
      <c r="D394" s="4">
        <v>5</v>
      </c>
      <c r="E394" s="24" t="s">
        <v>27</v>
      </c>
      <c r="F394" s="5" t="s">
        <v>11</v>
      </c>
      <c r="G394" s="5" t="s">
        <v>11</v>
      </c>
      <c r="H394" s="5" t="s">
        <v>14</v>
      </c>
      <c r="I394" s="5" t="s">
        <v>16</v>
      </c>
      <c r="J394" s="5" t="s">
        <v>55</v>
      </c>
      <c r="K394" s="6">
        <v>5</v>
      </c>
      <c r="L394" s="15">
        <v>55</v>
      </c>
      <c r="M394" s="15">
        <f t="shared" ca="1" si="44"/>
        <v>46</v>
      </c>
      <c r="N394" s="16">
        <f t="shared" ca="1" si="42"/>
        <v>9</v>
      </c>
      <c r="O394" s="18">
        <f t="shared" ca="1" si="41"/>
        <v>0.16363636363636364</v>
      </c>
      <c r="P394" s="19">
        <f t="shared" si="43"/>
        <v>11</v>
      </c>
      <c r="Q394" s="16" t="str">
        <f>IF(COUNTIF($B$2:B394,B394)=1,SUMIF($B$2:$B$1097,B394,$L$2:$L$1097),"")</f>
        <v/>
      </c>
    </row>
    <row r="395" spans="1:18" ht="12.75" x14ac:dyDescent="0.2">
      <c r="A395" s="3">
        <v>394</v>
      </c>
      <c r="B395" s="26">
        <v>45056</v>
      </c>
      <c r="C395" s="23" t="s">
        <v>28</v>
      </c>
      <c r="D395" s="4">
        <v>5</v>
      </c>
      <c r="E395" s="24" t="s">
        <v>27</v>
      </c>
      <c r="F395" s="5" t="s">
        <v>11</v>
      </c>
      <c r="G395" s="5" t="s">
        <v>11</v>
      </c>
      <c r="H395" s="5" t="s">
        <v>14</v>
      </c>
      <c r="I395" s="5" t="s">
        <v>17</v>
      </c>
      <c r="J395" s="5" t="s">
        <v>53</v>
      </c>
      <c r="K395" s="6">
        <v>14</v>
      </c>
      <c r="L395" s="15">
        <v>154</v>
      </c>
      <c r="M395" s="15">
        <f t="shared" ca="1" si="44"/>
        <v>40</v>
      </c>
      <c r="N395" s="16">
        <f t="shared" ca="1" si="42"/>
        <v>114</v>
      </c>
      <c r="O395" s="18">
        <f t="shared" ca="1" si="41"/>
        <v>0.74025974025974028</v>
      </c>
      <c r="P395" s="19">
        <f t="shared" si="43"/>
        <v>11</v>
      </c>
      <c r="Q395" s="16" t="str">
        <f>IF(COUNTIF($B$2:B395,B395)=1,SUMIF($B$2:$B$1097,B395,$L$2:$L$1097),"")</f>
        <v/>
      </c>
    </row>
    <row r="396" spans="1:18" ht="12.75" x14ac:dyDescent="0.2">
      <c r="A396" s="3">
        <v>395</v>
      </c>
      <c r="B396" s="26">
        <v>45057</v>
      </c>
      <c r="C396" s="23" t="s">
        <v>28</v>
      </c>
      <c r="D396" s="4">
        <v>6</v>
      </c>
      <c r="E396" s="24" t="s">
        <v>27</v>
      </c>
      <c r="F396" s="5" t="s">
        <v>11</v>
      </c>
      <c r="G396" s="5" t="s">
        <v>11</v>
      </c>
      <c r="H396" s="5" t="s">
        <v>14</v>
      </c>
      <c r="I396" s="5" t="s">
        <v>13</v>
      </c>
      <c r="J396" s="5" t="s">
        <v>52</v>
      </c>
      <c r="K396" s="6">
        <v>21</v>
      </c>
      <c r="L396" s="15">
        <v>231</v>
      </c>
      <c r="M396" s="15">
        <f t="shared" ca="1" si="44"/>
        <v>44</v>
      </c>
      <c r="N396" s="16">
        <f t="shared" ca="1" si="42"/>
        <v>187</v>
      </c>
      <c r="O396" s="18">
        <f t="shared" ca="1" si="41"/>
        <v>0.80952380952380953</v>
      </c>
      <c r="P396" s="19">
        <f t="shared" si="43"/>
        <v>11</v>
      </c>
      <c r="Q396" s="16">
        <f>IF(COUNTIF($B$2:B396,B396)=1,SUMIF($B$2:$B$1097,B396,$L$2:$L$1097),"")</f>
        <v>627</v>
      </c>
      <c r="R396" s="16">
        <f>AVERAGE(Q376:Q396)</f>
        <v>462</v>
      </c>
    </row>
    <row r="397" spans="1:18" ht="12.75" x14ac:dyDescent="0.2">
      <c r="A397" s="3">
        <v>396</v>
      </c>
      <c r="B397" s="26">
        <v>45057</v>
      </c>
      <c r="C397" s="23" t="s">
        <v>28</v>
      </c>
      <c r="D397" s="4">
        <v>6</v>
      </c>
      <c r="E397" s="24" t="s">
        <v>27</v>
      </c>
      <c r="F397" s="5" t="s">
        <v>11</v>
      </c>
      <c r="G397" s="5" t="s">
        <v>11</v>
      </c>
      <c r="H397" s="5" t="s">
        <v>14</v>
      </c>
      <c r="I397" s="5" t="s">
        <v>15</v>
      </c>
      <c r="J397" s="5" t="s">
        <v>55</v>
      </c>
      <c r="K397" s="6">
        <v>10</v>
      </c>
      <c r="L397" s="15">
        <v>110</v>
      </c>
      <c r="M397" s="15">
        <f t="shared" ca="1" si="44"/>
        <v>23</v>
      </c>
      <c r="N397" s="16">
        <f t="shared" ca="1" si="42"/>
        <v>87</v>
      </c>
      <c r="O397" s="18">
        <f t="shared" ca="1" si="41"/>
        <v>0.79090909090909089</v>
      </c>
      <c r="P397" s="19">
        <f t="shared" si="43"/>
        <v>11</v>
      </c>
      <c r="Q397" s="16" t="str">
        <f>IF(COUNTIF($B$2:B397,B397)=1,SUMIF($B$2:$B$1097,B397,$L$2:$L$1097),"")</f>
        <v/>
      </c>
    </row>
    <row r="398" spans="1:18" ht="12.75" x14ac:dyDescent="0.2">
      <c r="A398" s="3">
        <v>397</v>
      </c>
      <c r="B398" s="26">
        <v>45057</v>
      </c>
      <c r="C398" s="23" t="s">
        <v>28</v>
      </c>
      <c r="D398" s="4">
        <v>6</v>
      </c>
      <c r="E398" s="24" t="s">
        <v>27</v>
      </c>
      <c r="F398" s="5" t="s">
        <v>11</v>
      </c>
      <c r="G398" s="5" t="s">
        <v>11</v>
      </c>
      <c r="H398" s="5" t="s">
        <v>14</v>
      </c>
      <c r="I398" s="5" t="s">
        <v>16</v>
      </c>
      <c r="J398" s="5" t="s">
        <v>55</v>
      </c>
      <c r="K398" s="6">
        <v>10</v>
      </c>
      <c r="L398" s="15">
        <v>110</v>
      </c>
      <c r="M398" s="15">
        <f t="shared" ca="1" si="44"/>
        <v>20</v>
      </c>
      <c r="N398" s="16">
        <f t="shared" ca="1" si="42"/>
        <v>90</v>
      </c>
      <c r="O398" s="18">
        <f t="shared" ca="1" si="41"/>
        <v>0.81818181818181823</v>
      </c>
      <c r="P398" s="19">
        <f t="shared" si="43"/>
        <v>11</v>
      </c>
      <c r="Q398" s="16" t="str">
        <f>IF(COUNTIF($B$2:B398,B398)=1,SUMIF($B$2:$B$1097,B398,$L$2:$L$1097),"")</f>
        <v/>
      </c>
    </row>
    <row r="399" spans="1:18" ht="12.75" x14ac:dyDescent="0.2">
      <c r="A399" s="3">
        <v>398</v>
      </c>
      <c r="B399" s="26">
        <v>45057</v>
      </c>
      <c r="C399" s="23" t="s">
        <v>28</v>
      </c>
      <c r="D399" s="4">
        <v>6</v>
      </c>
      <c r="E399" s="24" t="s">
        <v>27</v>
      </c>
      <c r="F399" s="5" t="s">
        <v>11</v>
      </c>
      <c r="G399" s="5" t="s">
        <v>11</v>
      </c>
      <c r="H399" s="5" t="s">
        <v>14</v>
      </c>
      <c r="I399" s="5" t="s">
        <v>17</v>
      </c>
      <c r="J399" s="5" t="s">
        <v>53</v>
      </c>
      <c r="K399" s="6">
        <v>16</v>
      </c>
      <c r="L399" s="15">
        <v>176</v>
      </c>
      <c r="M399" s="15">
        <f t="shared" ca="1" si="44"/>
        <v>50</v>
      </c>
      <c r="N399" s="16">
        <f t="shared" ca="1" si="42"/>
        <v>126</v>
      </c>
      <c r="O399" s="18">
        <f t="shared" ca="1" si="41"/>
        <v>0.71590909090909094</v>
      </c>
      <c r="P399" s="19">
        <f t="shared" si="43"/>
        <v>11</v>
      </c>
      <c r="Q399" s="16" t="str">
        <f>IF(COUNTIF($B$2:B399,B399)=1,SUMIF($B$2:$B$1097,B399,$L$2:$L$1097),"")</f>
        <v/>
      </c>
    </row>
    <row r="400" spans="1:18" ht="12.75" x14ac:dyDescent="0.2">
      <c r="A400" s="3">
        <v>399</v>
      </c>
      <c r="B400" s="26">
        <v>45058</v>
      </c>
      <c r="C400" s="23" t="s">
        <v>28</v>
      </c>
      <c r="D400" s="4">
        <v>7</v>
      </c>
      <c r="E400" s="24" t="s">
        <v>27</v>
      </c>
      <c r="F400" s="5" t="s">
        <v>11</v>
      </c>
      <c r="G400" s="5" t="s">
        <v>11</v>
      </c>
      <c r="H400" s="5" t="s">
        <v>14</v>
      </c>
      <c r="I400" s="5" t="s">
        <v>13</v>
      </c>
      <c r="J400" s="5" t="s">
        <v>56</v>
      </c>
      <c r="K400" s="6">
        <v>23</v>
      </c>
      <c r="L400" s="15">
        <v>253</v>
      </c>
      <c r="M400" s="15">
        <f t="shared" ca="1" si="44"/>
        <v>29</v>
      </c>
      <c r="N400" s="16">
        <f t="shared" ca="1" si="42"/>
        <v>224</v>
      </c>
      <c r="O400" s="18">
        <f t="shared" ca="1" si="41"/>
        <v>0.88537549407114624</v>
      </c>
      <c r="P400" s="19">
        <f t="shared" si="43"/>
        <v>11</v>
      </c>
      <c r="Q400" s="16">
        <f>IF(COUNTIF($B$2:B400,B400)=1,SUMIF($B$2:$B$1097,B400,$L$2:$L$1097),"")</f>
        <v>253</v>
      </c>
      <c r="R400" s="16">
        <f t="shared" ref="R400:R401" si="45">AVERAGE(Q380:Q400)</f>
        <v>463.83333333333331</v>
      </c>
    </row>
    <row r="401" spans="1:18" ht="12.75" x14ac:dyDescent="0.2">
      <c r="A401" s="3">
        <v>400</v>
      </c>
      <c r="B401" s="26">
        <v>45060</v>
      </c>
      <c r="C401" s="23" t="s">
        <v>28</v>
      </c>
      <c r="D401" s="4">
        <v>2</v>
      </c>
      <c r="E401" s="24" t="s">
        <v>27</v>
      </c>
      <c r="F401" s="5" t="s">
        <v>11</v>
      </c>
      <c r="G401" s="5" t="s">
        <v>11</v>
      </c>
      <c r="H401" s="5" t="s">
        <v>14</v>
      </c>
      <c r="I401" s="5" t="s">
        <v>13</v>
      </c>
      <c r="J401" s="5" t="s">
        <v>52</v>
      </c>
      <c r="K401" s="6">
        <v>19</v>
      </c>
      <c r="L401" s="15">
        <v>209</v>
      </c>
      <c r="M401" s="15">
        <f t="shared" ca="1" si="44"/>
        <v>38</v>
      </c>
      <c r="N401" s="16">
        <f t="shared" ca="1" si="42"/>
        <v>171</v>
      </c>
      <c r="O401" s="18">
        <f t="shared" ca="1" si="41"/>
        <v>0.81818181818181823</v>
      </c>
      <c r="P401" s="19">
        <f t="shared" si="43"/>
        <v>11</v>
      </c>
      <c r="Q401" s="16">
        <f>IF(COUNTIF($B$2:B401,B401)=1,SUMIF($B$2:$B$1097,B401,$L$2:$L$1097),"")</f>
        <v>561</v>
      </c>
      <c r="R401" s="16">
        <f t="shared" si="45"/>
        <v>465.66666666666669</v>
      </c>
    </row>
    <row r="402" spans="1:18" ht="12.75" x14ac:dyDescent="0.2">
      <c r="A402" s="3">
        <v>401</v>
      </c>
      <c r="B402" s="26">
        <v>45060</v>
      </c>
      <c r="C402" s="23" t="s">
        <v>28</v>
      </c>
      <c r="D402" s="4">
        <v>2</v>
      </c>
      <c r="E402" s="24" t="s">
        <v>27</v>
      </c>
      <c r="F402" s="5" t="s">
        <v>11</v>
      </c>
      <c r="G402" s="5" t="s">
        <v>11</v>
      </c>
      <c r="H402" s="5" t="s">
        <v>14</v>
      </c>
      <c r="I402" s="5" t="s">
        <v>15</v>
      </c>
      <c r="J402" s="5" t="s">
        <v>54</v>
      </c>
      <c r="K402" s="6">
        <v>10</v>
      </c>
      <c r="L402" s="15">
        <v>110</v>
      </c>
      <c r="M402" s="15">
        <f t="shared" ca="1" si="44"/>
        <v>10</v>
      </c>
      <c r="N402" s="16">
        <f t="shared" ca="1" si="42"/>
        <v>100</v>
      </c>
      <c r="O402" s="18">
        <f t="shared" ca="1" si="41"/>
        <v>0.90909090909090906</v>
      </c>
      <c r="P402" s="19">
        <f t="shared" si="43"/>
        <v>11</v>
      </c>
      <c r="Q402" s="16" t="str">
        <f>IF(COUNTIF($B$2:B402,B402)=1,SUMIF($B$2:$B$1097,B402,$L$2:$L$1097),"")</f>
        <v/>
      </c>
    </row>
    <row r="403" spans="1:18" ht="12.75" x14ac:dyDescent="0.2">
      <c r="A403" s="3">
        <v>402</v>
      </c>
      <c r="B403" s="26">
        <v>45060</v>
      </c>
      <c r="C403" s="23" t="s">
        <v>28</v>
      </c>
      <c r="D403" s="4">
        <v>2</v>
      </c>
      <c r="E403" s="24" t="s">
        <v>27</v>
      </c>
      <c r="F403" s="5" t="s">
        <v>11</v>
      </c>
      <c r="G403" s="5" t="s">
        <v>11</v>
      </c>
      <c r="H403" s="5" t="s">
        <v>14</v>
      </c>
      <c r="I403" s="5" t="s">
        <v>16</v>
      </c>
      <c r="J403" s="5" t="s">
        <v>54</v>
      </c>
      <c r="K403" s="6">
        <v>10</v>
      </c>
      <c r="L403" s="15">
        <v>110</v>
      </c>
      <c r="M403" s="15">
        <f t="shared" ca="1" si="44"/>
        <v>43</v>
      </c>
      <c r="N403" s="16">
        <f t="shared" ca="1" si="42"/>
        <v>67</v>
      </c>
      <c r="O403" s="18">
        <f t="shared" ca="1" si="41"/>
        <v>0.60909090909090913</v>
      </c>
      <c r="P403" s="19">
        <f t="shared" si="43"/>
        <v>11</v>
      </c>
      <c r="Q403" s="16" t="str">
        <f>IF(COUNTIF($B$2:B403,B403)=1,SUMIF($B$2:$B$1097,B403,$L$2:$L$1097),"")</f>
        <v/>
      </c>
    </row>
    <row r="404" spans="1:18" ht="12.75" x14ac:dyDescent="0.2">
      <c r="A404" s="3">
        <v>403</v>
      </c>
      <c r="B404" s="26">
        <v>45060</v>
      </c>
      <c r="C404" s="23" t="s">
        <v>28</v>
      </c>
      <c r="D404" s="4">
        <v>2</v>
      </c>
      <c r="E404" s="24" t="s">
        <v>27</v>
      </c>
      <c r="F404" s="5" t="s">
        <v>11</v>
      </c>
      <c r="G404" s="5" t="s">
        <v>11</v>
      </c>
      <c r="H404" s="5" t="s">
        <v>14</v>
      </c>
      <c r="I404" s="5" t="s">
        <v>17</v>
      </c>
      <c r="J404" s="5" t="s">
        <v>54</v>
      </c>
      <c r="K404" s="6">
        <v>12</v>
      </c>
      <c r="L404" s="15">
        <v>132</v>
      </c>
      <c r="M404" s="15">
        <f t="shared" ca="1" si="44"/>
        <v>39</v>
      </c>
      <c r="N404" s="16">
        <f t="shared" ca="1" si="42"/>
        <v>93</v>
      </c>
      <c r="O404" s="18">
        <f t="shared" ca="1" si="41"/>
        <v>0.70454545454545459</v>
      </c>
      <c r="P404" s="19">
        <f t="shared" si="43"/>
        <v>11</v>
      </c>
      <c r="Q404" s="16" t="str">
        <f>IF(COUNTIF($B$2:B404,B404)=1,SUMIF($B$2:$B$1097,B404,$L$2:$L$1097),"")</f>
        <v/>
      </c>
    </row>
    <row r="405" spans="1:18" ht="12.75" x14ac:dyDescent="0.2">
      <c r="A405" s="3">
        <v>404</v>
      </c>
      <c r="B405" s="26">
        <v>45061</v>
      </c>
      <c r="C405" s="23" t="s">
        <v>28</v>
      </c>
      <c r="D405" s="4">
        <v>3</v>
      </c>
      <c r="E405" s="24" t="s">
        <v>27</v>
      </c>
      <c r="F405" s="5" t="s">
        <v>11</v>
      </c>
      <c r="G405" s="5" t="s">
        <v>11</v>
      </c>
      <c r="H405" s="5" t="s">
        <v>14</v>
      </c>
      <c r="I405" s="5" t="s">
        <v>13</v>
      </c>
      <c r="J405" s="5" t="s">
        <v>56</v>
      </c>
      <c r="K405" s="6">
        <v>18</v>
      </c>
      <c r="L405" s="15">
        <v>198</v>
      </c>
      <c r="M405" s="15">
        <f t="shared" ca="1" si="44"/>
        <v>5</v>
      </c>
      <c r="N405" s="16">
        <f t="shared" ca="1" si="42"/>
        <v>193</v>
      </c>
      <c r="O405" s="18">
        <f t="shared" ca="1" si="41"/>
        <v>0.9747474747474747</v>
      </c>
      <c r="P405" s="19">
        <f t="shared" si="43"/>
        <v>11</v>
      </c>
      <c r="Q405" s="16">
        <f>IF(COUNTIF($B$2:B405,B405)=1,SUMIF($B$2:$B$1097,B405,$L$2:$L$1097),"")</f>
        <v>495</v>
      </c>
      <c r="R405" s="16">
        <f>AVERAGE(Q385:Q405)</f>
        <v>471.16666666666669</v>
      </c>
    </row>
    <row r="406" spans="1:18" ht="12.75" x14ac:dyDescent="0.2">
      <c r="A406" s="3">
        <v>405</v>
      </c>
      <c r="B406" s="26">
        <v>45061</v>
      </c>
      <c r="C406" s="23" t="s">
        <v>28</v>
      </c>
      <c r="D406" s="4">
        <v>3</v>
      </c>
      <c r="E406" s="24" t="s">
        <v>27</v>
      </c>
      <c r="F406" s="5" t="s">
        <v>11</v>
      </c>
      <c r="G406" s="5" t="s">
        <v>11</v>
      </c>
      <c r="H406" s="5" t="s">
        <v>14</v>
      </c>
      <c r="I406" s="5" t="s">
        <v>15</v>
      </c>
      <c r="J406" s="5" t="s">
        <v>56</v>
      </c>
      <c r="K406" s="6">
        <v>10</v>
      </c>
      <c r="L406" s="15">
        <v>110</v>
      </c>
      <c r="M406" s="15">
        <f t="shared" ca="1" si="44"/>
        <v>16</v>
      </c>
      <c r="N406" s="16">
        <f t="shared" ca="1" si="42"/>
        <v>94</v>
      </c>
      <c r="O406" s="18">
        <f t="shared" ca="1" si="41"/>
        <v>0.8545454545454545</v>
      </c>
      <c r="P406" s="19">
        <f t="shared" si="43"/>
        <v>11</v>
      </c>
      <c r="Q406" s="16" t="str">
        <f>IF(COUNTIF($B$2:B406,B406)=1,SUMIF($B$2:$B$1097,B406,$L$2:$L$1097),"")</f>
        <v/>
      </c>
    </row>
    <row r="407" spans="1:18" ht="12.75" x14ac:dyDescent="0.2">
      <c r="A407" s="3">
        <v>406</v>
      </c>
      <c r="B407" s="26">
        <v>45061</v>
      </c>
      <c r="C407" s="23" t="s">
        <v>28</v>
      </c>
      <c r="D407" s="4">
        <v>3</v>
      </c>
      <c r="E407" s="24" t="s">
        <v>27</v>
      </c>
      <c r="F407" s="5" t="s">
        <v>11</v>
      </c>
      <c r="G407" s="5" t="s">
        <v>11</v>
      </c>
      <c r="H407" s="5" t="s">
        <v>14</v>
      </c>
      <c r="I407" s="5" t="s">
        <v>16</v>
      </c>
      <c r="J407" s="5" t="s">
        <v>55</v>
      </c>
      <c r="K407" s="6">
        <v>5</v>
      </c>
      <c r="L407" s="15">
        <v>55</v>
      </c>
      <c r="M407" s="15">
        <f t="shared" ca="1" si="44"/>
        <v>42</v>
      </c>
      <c r="N407" s="16">
        <f t="shared" ca="1" si="42"/>
        <v>13</v>
      </c>
      <c r="O407" s="18">
        <f t="shared" ca="1" si="41"/>
        <v>0.23636363636363636</v>
      </c>
      <c r="P407" s="19">
        <f t="shared" si="43"/>
        <v>11</v>
      </c>
      <c r="Q407" s="16" t="str">
        <f>IF(COUNTIF($B$2:B407,B407)=1,SUMIF($B$2:$B$1097,B407,$L$2:$L$1097),"")</f>
        <v/>
      </c>
    </row>
    <row r="408" spans="1:18" ht="12.75" x14ac:dyDescent="0.2">
      <c r="A408" s="3">
        <v>407</v>
      </c>
      <c r="B408" s="26">
        <v>45061</v>
      </c>
      <c r="C408" s="23" t="s">
        <v>28</v>
      </c>
      <c r="D408" s="4">
        <v>3</v>
      </c>
      <c r="E408" s="24" t="s">
        <v>27</v>
      </c>
      <c r="F408" s="5" t="s">
        <v>11</v>
      </c>
      <c r="G408" s="5" t="s">
        <v>11</v>
      </c>
      <c r="H408" s="5" t="s">
        <v>14</v>
      </c>
      <c r="I408" s="5" t="s">
        <v>17</v>
      </c>
      <c r="J408" s="5" t="s">
        <v>53</v>
      </c>
      <c r="K408" s="6">
        <v>12</v>
      </c>
      <c r="L408" s="15">
        <v>132</v>
      </c>
      <c r="M408" s="15">
        <f t="shared" ca="1" si="44"/>
        <v>20</v>
      </c>
      <c r="N408" s="16">
        <f t="shared" ca="1" si="42"/>
        <v>112</v>
      </c>
      <c r="O408" s="18">
        <f t="shared" ca="1" si="41"/>
        <v>0.84848484848484851</v>
      </c>
      <c r="P408" s="19">
        <f t="shared" si="43"/>
        <v>11</v>
      </c>
      <c r="Q408" s="16" t="str">
        <f>IF(COUNTIF($B$2:B408,B408)=1,SUMIF($B$2:$B$1097,B408,$L$2:$L$1097),"")</f>
        <v/>
      </c>
    </row>
    <row r="409" spans="1:18" ht="12.75" x14ac:dyDescent="0.2">
      <c r="A409" s="3">
        <v>408</v>
      </c>
      <c r="B409" s="26">
        <v>45062</v>
      </c>
      <c r="C409" s="23" t="s">
        <v>28</v>
      </c>
      <c r="D409" s="4">
        <v>4</v>
      </c>
      <c r="E409" s="24" t="s">
        <v>27</v>
      </c>
      <c r="F409" s="5" t="s">
        <v>11</v>
      </c>
      <c r="G409" s="5" t="s">
        <v>11</v>
      </c>
      <c r="H409" s="5" t="s">
        <v>14</v>
      </c>
      <c r="I409" s="5" t="s">
        <v>13</v>
      </c>
      <c r="J409" s="5" t="s">
        <v>52</v>
      </c>
      <c r="K409" s="6">
        <v>15</v>
      </c>
      <c r="L409" s="15">
        <v>165</v>
      </c>
      <c r="M409" s="15">
        <f t="shared" ca="1" si="44"/>
        <v>2</v>
      </c>
      <c r="N409" s="16">
        <f t="shared" ca="1" si="42"/>
        <v>163</v>
      </c>
      <c r="O409" s="18">
        <f t="shared" ca="1" si="41"/>
        <v>0.98787878787878791</v>
      </c>
      <c r="P409" s="19">
        <f t="shared" si="43"/>
        <v>11</v>
      </c>
      <c r="Q409" s="16">
        <f>IF(COUNTIF($B$2:B409,B409)=1,SUMIF($B$2:$B$1097,B409,$L$2:$L$1097),"")</f>
        <v>407</v>
      </c>
      <c r="R409" s="16">
        <f>AVERAGE(Q389:Q409)</f>
        <v>473</v>
      </c>
    </row>
    <row r="410" spans="1:18" ht="12.75" x14ac:dyDescent="0.2">
      <c r="A410" s="3">
        <v>409</v>
      </c>
      <c r="B410" s="26">
        <v>45062</v>
      </c>
      <c r="C410" s="23" t="s">
        <v>28</v>
      </c>
      <c r="D410" s="4">
        <v>4</v>
      </c>
      <c r="E410" s="24" t="s">
        <v>27</v>
      </c>
      <c r="F410" s="5" t="s">
        <v>11</v>
      </c>
      <c r="G410" s="5" t="s">
        <v>11</v>
      </c>
      <c r="H410" s="5" t="s">
        <v>14</v>
      </c>
      <c r="I410" s="5" t="s">
        <v>15</v>
      </c>
      <c r="J410" s="5" t="s">
        <v>54</v>
      </c>
      <c r="K410" s="6">
        <v>5</v>
      </c>
      <c r="L410" s="15">
        <v>55</v>
      </c>
      <c r="M410" s="15">
        <f t="shared" ca="1" si="44"/>
        <v>18</v>
      </c>
      <c r="N410" s="16">
        <f t="shared" ca="1" si="42"/>
        <v>37</v>
      </c>
      <c r="O410" s="18">
        <f t="shared" ca="1" si="41"/>
        <v>0.67272727272727273</v>
      </c>
      <c r="P410" s="19">
        <f t="shared" si="43"/>
        <v>11</v>
      </c>
      <c r="Q410" s="16" t="str">
        <f>IF(COUNTIF($B$2:B410,B410)=1,SUMIF($B$2:$B$1097,B410,$L$2:$L$1097),"")</f>
        <v/>
      </c>
    </row>
    <row r="411" spans="1:18" ht="12.75" x14ac:dyDescent="0.2">
      <c r="A411" s="3">
        <v>410</v>
      </c>
      <c r="B411" s="26">
        <v>45062</v>
      </c>
      <c r="C411" s="23" t="s">
        <v>28</v>
      </c>
      <c r="D411" s="4">
        <v>4</v>
      </c>
      <c r="E411" s="24" t="s">
        <v>27</v>
      </c>
      <c r="F411" s="5" t="s">
        <v>11</v>
      </c>
      <c r="G411" s="5" t="s">
        <v>11</v>
      </c>
      <c r="H411" s="5" t="s">
        <v>14</v>
      </c>
      <c r="I411" s="5" t="s">
        <v>16</v>
      </c>
      <c r="J411" s="5" t="s">
        <v>54</v>
      </c>
      <c r="K411" s="6">
        <v>5</v>
      </c>
      <c r="L411" s="15">
        <v>55</v>
      </c>
      <c r="M411" s="15">
        <f t="shared" ca="1" si="44"/>
        <v>5</v>
      </c>
      <c r="N411" s="16">
        <f t="shared" ca="1" si="42"/>
        <v>50</v>
      </c>
      <c r="O411" s="18">
        <f t="shared" ca="1" si="41"/>
        <v>0.90909090909090906</v>
      </c>
      <c r="P411" s="19">
        <f t="shared" si="43"/>
        <v>11</v>
      </c>
      <c r="Q411" s="16" t="str">
        <f>IF(COUNTIF($B$2:B411,B411)=1,SUMIF($B$2:$B$1097,B411,$L$2:$L$1097),"")</f>
        <v/>
      </c>
    </row>
    <row r="412" spans="1:18" ht="12.75" x14ac:dyDescent="0.2">
      <c r="A412" s="3">
        <v>411</v>
      </c>
      <c r="B412" s="26">
        <v>45062</v>
      </c>
      <c r="C412" s="23" t="s">
        <v>28</v>
      </c>
      <c r="D412" s="4">
        <v>4</v>
      </c>
      <c r="E412" s="24" t="s">
        <v>27</v>
      </c>
      <c r="F412" s="5" t="s">
        <v>11</v>
      </c>
      <c r="G412" s="5" t="s">
        <v>11</v>
      </c>
      <c r="H412" s="5" t="s">
        <v>14</v>
      </c>
      <c r="I412" s="5" t="s">
        <v>17</v>
      </c>
      <c r="J412" s="5" t="s">
        <v>54</v>
      </c>
      <c r="K412" s="6">
        <v>12</v>
      </c>
      <c r="L412" s="15">
        <v>132</v>
      </c>
      <c r="M412" s="15">
        <f t="shared" ca="1" si="44"/>
        <v>6</v>
      </c>
      <c r="N412" s="16">
        <f t="shared" ca="1" si="42"/>
        <v>126</v>
      </c>
      <c r="O412" s="18">
        <f t="shared" ca="1" si="41"/>
        <v>0.95454545454545459</v>
      </c>
      <c r="P412" s="19">
        <f t="shared" si="43"/>
        <v>11</v>
      </c>
      <c r="Q412" s="16" t="str">
        <f>IF(COUNTIF($B$2:B412,B412)=1,SUMIF($B$2:$B$1097,B412,$L$2:$L$1097),"")</f>
        <v/>
      </c>
    </row>
    <row r="413" spans="1:18" ht="12.75" x14ac:dyDescent="0.2">
      <c r="A413" s="3">
        <v>412</v>
      </c>
      <c r="B413" s="26">
        <v>45063</v>
      </c>
      <c r="C413" s="23" t="s">
        <v>28</v>
      </c>
      <c r="D413" s="4">
        <v>5</v>
      </c>
      <c r="E413" s="24" t="s">
        <v>27</v>
      </c>
      <c r="F413" s="5" t="s">
        <v>11</v>
      </c>
      <c r="G413" s="5" t="s">
        <v>11</v>
      </c>
      <c r="H413" s="5" t="s">
        <v>14</v>
      </c>
      <c r="I413" s="5" t="s">
        <v>13</v>
      </c>
      <c r="J413" s="5" t="s">
        <v>56</v>
      </c>
      <c r="K413" s="6">
        <v>17</v>
      </c>
      <c r="L413" s="15">
        <v>187</v>
      </c>
      <c r="M413" s="15">
        <f t="shared" ca="1" si="44"/>
        <v>15</v>
      </c>
      <c r="N413" s="16">
        <f t="shared" ca="1" si="42"/>
        <v>172</v>
      </c>
      <c r="O413" s="18">
        <f t="shared" ca="1" si="41"/>
        <v>0.9197860962566845</v>
      </c>
      <c r="P413" s="19">
        <f t="shared" si="43"/>
        <v>11</v>
      </c>
      <c r="Q413" s="16">
        <f>IF(COUNTIF($B$2:B413,B413)=1,SUMIF($B$2:$B$1097,B413,$L$2:$L$1097),"")</f>
        <v>495</v>
      </c>
      <c r="R413" s="16">
        <f>AVERAGE(Q393:Q413)</f>
        <v>473</v>
      </c>
    </row>
    <row r="414" spans="1:18" ht="12.75" x14ac:dyDescent="0.2">
      <c r="A414" s="3">
        <v>413</v>
      </c>
      <c r="B414" s="26">
        <v>45063</v>
      </c>
      <c r="C414" s="23" t="s">
        <v>28</v>
      </c>
      <c r="D414" s="4">
        <v>5</v>
      </c>
      <c r="E414" s="24" t="s">
        <v>27</v>
      </c>
      <c r="F414" s="5" t="s">
        <v>11</v>
      </c>
      <c r="G414" s="5" t="s">
        <v>11</v>
      </c>
      <c r="H414" s="5" t="s">
        <v>14</v>
      </c>
      <c r="I414" s="5" t="s">
        <v>15</v>
      </c>
      <c r="J414" s="5" t="s">
        <v>56</v>
      </c>
      <c r="K414" s="6">
        <v>11</v>
      </c>
      <c r="L414" s="15">
        <v>121</v>
      </c>
      <c r="M414" s="15">
        <f t="shared" ca="1" si="44"/>
        <v>38</v>
      </c>
      <c r="N414" s="16">
        <f t="shared" ca="1" si="42"/>
        <v>83</v>
      </c>
      <c r="O414" s="18">
        <f t="shared" ca="1" si="41"/>
        <v>0.68595041322314054</v>
      </c>
      <c r="P414" s="19">
        <f t="shared" si="43"/>
        <v>11</v>
      </c>
      <c r="Q414" s="16" t="str">
        <f>IF(COUNTIF($B$2:B414,B414)=1,SUMIF($B$2:$B$1097,B414,$L$2:$L$1097),"")</f>
        <v/>
      </c>
    </row>
    <row r="415" spans="1:18" ht="12.75" x14ac:dyDescent="0.2">
      <c r="A415" s="3">
        <v>414</v>
      </c>
      <c r="B415" s="26">
        <v>45063</v>
      </c>
      <c r="C415" s="23" t="s">
        <v>28</v>
      </c>
      <c r="D415" s="4">
        <v>5</v>
      </c>
      <c r="E415" s="24" t="s">
        <v>27</v>
      </c>
      <c r="F415" s="5" t="s">
        <v>11</v>
      </c>
      <c r="G415" s="5" t="s">
        <v>11</v>
      </c>
      <c r="H415" s="5" t="s">
        <v>14</v>
      </c>
      <c r="I415" s="5" t="s">
        <v>16</v>
      </c>
      <c r="J415" s="5" t="s">
        <v>55</v>
      </c>
      <c r="K415" s="6">
        <v>5</v>
      </c>
      <c r="L415" s="15">
        <v>55</v>
      </c>
      <c r="M415" s="15">
        <f t="shared" ca="1" si="44"/>
        <v>18</v>
      </c>
      <c r="N415" s="16">
        <f t="shared" ca="1" si="42"/>
        <v>37</v>
      </c>
      <c r="O415" s="18">
        <f t="shared" ca="1" si="41"/>
        <v>0.67272727272727273</v>
      </c>
      <c r="P415" s="19">
        <f t="shared" si="43"/>
        <v>11</v>
      </c>
      <c r="Q415" s="16" t="str">
        <f>IF(COUNTIF($B$2:B415,B415)=1,SUMIF($B$2:$B$1097,B415,$L$2:$L$1097),"")</f>
        <v/>
      </c>
    </row>
    <row r="416" spans="1:18" ht="12.75" x14ac:dyDescent="0.2">
      <c r="A416" s="3">
        <v>415</v>
      </c>
      <c r="B416" s="26">
        <v>45063</v>
      </c>
      <c r="C416" s="23" t="s">
        <v>28</v>
      </c>
      <c r="D416" s="4">
        <v>5</v>
      </c>
      <c r="E416" s="24" t="s">
        <v>27</v>
      </c>
      <c r="F416" s="5" t="s">
        <v>11</v>
      </c>
      <c r="G416" s="5" t="s">
        <v>11</v>
      </c>
      <c r="H416" s="5" t="s">
        <v>14</v>
      </c>
      <c r="I416" s="5" t="s">
        <v>17</v>
      </c>
      <c r="J416" s="5" t="s">
        <v>53</v>
      </c>
      <c r="K416" s="6">
        <v>12</v>
      </c>
      <c r="L416" s="15">
        <v>132</v>
      </c>
      <c r="M416" s="15">
        <f t="shared" ca="1" si="44"/>
        <v>37</v>
      </c>
      <c r="N416" s="16">
        <f t="shared" ca="1" si="42"/>
        <v>95</v>
      </c>
      <c r="O416" s="18">
        <f t="shared" ca="1" si="41"/>
        <v>0.71969696969696972</v>
      </c>
      <c r="P416" s="19">
        <f t="shared" si="43"/>
        <v>11</v>
      </c>
      <c r="Q416" s="16" t="str">
        <f>IF(COUNTIF($B$2:B416,B416)=1,SUMIF($B$2:$B$1097,B416,$L$2:$L$1097),"")</f>
        <v/>
      </c>
    </row>
    <row r="417" spans="1:18" ht="12.75" x14ac:dyDescent="0.2">
      <c r="A417" s="3">
        <v>416</v>
      </c>
      <c r="B417" s="26">
        <v>45064</v>
      </c>
      <c r="C417" s="23" t="s">
        <v>28</v>
      </c>
      <c r="D417" s="4">
        <v>6</v>
      </c>
      <c r="E417" s="24" t="s">
        <v>27</v>
      </c>
      <c r="F417" s="5" t="s">
        <v>11</v>
      </c>
      <c r="G417" s="5" t="s">
        <v>11</v>
      </c>
      <c r="H417" s="5" t="s">
        <v>14</v>
      </c>
      <c r="I417" s="5" t="s">
        <v>13</v>
      </c>
      <c r="J417" s="5" t="s">
        <v>52</v>
      </c>
      <c r="K417" s="6">
        <v>20</v>
      </c>
      <c r="L417" s="15">
        <v>220</v>
      </c>
      <c r="M417" s="15">
        <f t="shared" ca="1" si="44"/>
        <v>11</v>
      </c>
      <c r="N417" s="16">
        <f t="shared" ca="1" si="42"/>
        <v>209</v>
      </c>
      <c r="O417" s="18">
        <f t="shared" ca="1" si="41"/>
        <v>0.95</v>
      </c>
      <c r="P417" s="19">
        <f t="shared" si="43"/>
        <v>11</v>
      </c>
      <c r="Q417" s="16">
        <f>IF(COUNTIF($B$2:B417,B417)=1,SUMIF($B$2:$B$1097,B417,$L$2:$L$1097),"")</f>
        <v>649</v>
      </c>
      <c r="R417" s="16">
        <f>AVERAGE(Q397:Q417)</f>
        <v>476.66666666666669</v>
      </c>
    </row>
    <row r="418" spans="1:18" ht="12.75" x14ac:dyDescent="0.2">
      <c r="A418" s="3">
        <v>417</v>
      </c>
      <c r="B418" s="26">
        <v>45064</v>
      </c>
      <c r="C418" s="23" t="s">
        <v>28</v>
      </c>
      <c r="D418" s="4">
        <v>6</v>
      </c>
      <c r="E418" s="24" t="s">
        <v>27</v>
      </c>
      <c r="F418" s="5" t="s">
        <v>11</v>
      </c>
      <c r="G418" s="5" t="s">
        <v>11</v>
      </c>
      <c r="H418" s="5" t="s">
        <v>14</v>
      </c>
      <c r="I418" s="5" t="s">
        <v>15</v>
      </c>
      <c r="J418" s="5" t="s">
        <v>55</v>
      </c>
      <c r="K418" s="6">
        <v>13</v>
      </c>
      <c r="L418" s="15">
        <v>143</v>
      </c>
      <c r="M418" s="15">
        <f t="shared" ca="1" si="44"/>
        <v>26</v>
      </c>
      <c r="N418" s="16">
        <f t="shared" ca="1" si="42"/>
        <v>117</v>
      </c>
      <c r="O418" s="18">
        <f t="shared" ca="1" si="41"/>
        <v>0.81818181818181823</v>
      </c>
      <c r="P418" s="19">
        <f t="shared" si="43"/>
        <v>11</v>
      </c>
      <c r="Q418" s="16" t="str">
        <f>IF(COUNTIF($B$2:B418,B418)=1,SUMIF($B$2:$B$1097,B418,$L$2:$L$1097),"")</f>
        <v/>
      </c>
    </row>
    <row r="419" spans="1:18" ht="12.75" x14ac:dyDescent="0.2">
      <c r="A419" s="3">
        <v>418</v>
      </c>
      <c r="B419" s="26">
        <v>45064</v>
      </c>
      <c r="C419" s="23" t="s">
        <v>28</v>
      </c>
      <c r="D419" s="4">
        <v>6</v>
      </c>
      <c r="E419" s="24" t="s">
        <v>27</v>
      </c>
      <c r="F419" s="5" t="s">
        <v>11</v>
      </c>
      <c r="G419" s="5" t="s">
        <v>11</v>
      </c>
      <c r="H419" s="5" t="s">
        <v>14</v>
      </c>
      <c r="I419" s="5" t="s">
        <v>16</v>
      </c>
      <c r="J419" s="5" t="s">
        <v>55</v>
      </c>
      <c r="K419" s="6">
        <v>8</v>
      </c>
      <c r="L419" s="15">
        <v>88</v>
      </c>
      <c r="M419" s="15">
        <f t="shared" ca="1" si="44"/>
        <v>27</v>
      </c>
      <c r="N419" s="16">
        <f t="shared" ca="1" si="42"/>
        <v>61</v>
      </c>
      <c r="O419" s="18">
        <f t="shared" ca="1" si="41"/>
        <v>0.69318181818181823</v>
      </c>
      <c r="P419" s="19">
        <f t="shared" si="43"/>
        <v>11</v>
      </c>
      <c r="Q419" s="16" t="str">
        <f>IF(COUNTIF($B$2:B419,B419)=1,SUMIF($B$2:$B$1097,B419,$L$2:$L$1097),"")</f>
        <v/>
      </c>
    </row>
    <row r="420" spans="1:18" ht="12.75" x14ac:dyDescent="0.2">
      <c r="A420" s="3">
        <v>419</v>
      </c>
      <c r="B420" s="26">
        <v>45064</v>
      </c>
      <c r="C420" s="23" t="s">
        <v>28</v>
      </c>
      <c r="D420" s="4">
        <v>6</v>
      </c>
      <c r="E420" s="24" t="s">
        <v>27</v>
      </c>
      <c r="F420" s="5" t="s">
        <v>11</v>
      </c>
      <c r="G420" s="5" t="s">
        <v>11</v>
      </c>
      <c r="H420" s="5" t="s">
        <v>14</v>
      </c>
      <c r="I420" s="5" t="s">
        <v>17</v>
      </c>
      <c r="J420" s="5" t="s">
        <v>53</v>
      </c>
      <c r="K420" s="6">
        <v>18</v>
      </c>
      <c r="L420" s="15">
        <v>198</v>
      </c>
      <c r="M420" s="15">
        <f t="shared" ca="1" si="44"/>
        <v>18</v>
      </c>
      <c r="N420" s="16">
        <f t="shared" ca="1" si="42"/>
        <v>180</v>
      </c>
      <c r="O420" s="18">
        <f t="shared" ca="1" si="41"/>
        <v>0.90909090909090906</v>
      </c>
      <c r="P420" s="19">
        <f t="shared" si="43"/>
        <v>11</v>
      </c>
      <c r="Q420" s="16" t="str">
        <f>IF(COUNTIF($B$2:B420,B420)=1,SUMIF($B$2:$B$1097,B420,$L$2:$L$1097),"")</f>
        <v/>
      </c>
    </row>
    <row r="421" spans="1:18" ht="12.75" x14ac:dyDescent="0.2">
      <c r="A421" s="3">
        <v>420</v>
      </c>
      <c r="B421" s="26">
        <v>45065</v>
      </c>
      <c r="C421" s="23" t="s">
        <v>28</v>
      </c>
      <c r="D421" s="4">
        <v>7</v>
      </c>
      <c r="E421" s="24" t="s">
        <v>27</v>
      </c>
      <c r="F421" s="5" t="s">
        <v>11</v>
      </c>
      <c r="G421" s="5" t="s">
        <v>11</v>
      </c>
      <c r="H421" s="5" t="s">
        <v>14</v>
      </c>
      <c r="I421" s="5" t="s">
        <v>13</v>
      </c>
      <c r="J421" s="5" t="s">
        <v>56</v>
      </c>
      <c r="K421" s="6">
        <v>19</v>
      </c>
      <c r="L421" s="15">
        <v>209</v>
      </c>
      <c r="M421" s="15">
        <f t="shared" ca="1" si="44"/>
        <v>13</v>
      </c>
      <c r="N421" s="16">
        <f t="shared" ca="1" si="42"/>
        <v>196</v>
      </c>
      <c r="O421" s="18">
        <f t="shared" ca="1" si="41"/>
        <v>0.93779904306220097</v>
      </c>
      <c r="P421" s="19">
        <f t="shared" si="43"/>
        <v>11</v>
      </c>
      <c r="Q421" s="16">
        <f>IF(COUNTIF($B$2:B421,B421)=1,SUMIF($B$2:$B$1097,B421,$L$2:$L$1097),"")</f>
        <v>209</v>
      </c>
      <c r="R421" s="16">
        <f t="shared" ref="R421:R422" si="46">AVERAGE(Q401:Q421)</f>
        <v>469.33333333333331</v>
      </c>
    </row>
    <row r="422" spans="1:18" ht="12.75" x14ac:dyDescent="0.2">
      <c r="A422" s="3">
        <v>421</v>
      </c>
      <c r="B422" s="26">
        <v>45067</v>
      </c>
      <c r="C422" s="23" t="s">
        <v>28</v>
      </c>
      <c r="D422" s="4">
        <v>2</v>
      </c>
      <c r="E422" s="24" t="s">
        <v>27</v>
      </c>
      <c r="F422" s="5" t="s">
        <v>11</v>
      </c>
      <c r="G422" s="5" t="s">
        <v>11</v>
      </c>
      <c r="H422" s="5" t="s">
        <v>14</v>
      </c>
      <c r="I422" s="5" t="s">
        <v>13</v>
      </c>
      <c r="J422" s="5" t="s">
        <v>52</v>
      </c>
      <c r="K422" s="6">
        <v>20</v>
      </c>
      <c r="L422" s="15">
        <v>220</v>
      </c>
      <c r="M422" s="15">
        <f t="shared" ca="1" si="44"/>
        <v>48</v>
      </c>
      <c r="N422" s="16">
        <f t="shared" ca="1" si="42"/>
        <v>172</v>
      </c>
      <c r="O422" s="18">
        <f t="shared" ca="1" si="41"/>
        <v>0.78181818181818186</v>
      </c>
      <c r="P422" s="19">
        <f t="shared" si="43"/>
        <v>11</v>
      </c>
      <c r="Q422" s="16">
        <f>IF(COUNTIF($B$2:B422,B422)=1,SUMIF($B$2:$B$1097,B422,$L$2:$L$1097),"")</f>
        <v>572</v>
      </c>
      <c r="R422" s="16">
        <f t="shared" si="46"/>
        <v>471.16666666666669</v>
      </c>
    </row>
    <row r="423" spans="1:18" ht="12.75" x14ac:dyDescent="0.2">
      <c r="A423" s="3">
        <v>422</v>
      </c>
      <c r="B423" s="26">
        <v>45067</v>
      </c>
      <c r="C423" s="23" t="s">
        <v>28</v>
      </c>
      <c r="D423" s="4">
        <v>2</v>
      </c>
      <c r="E423" s="24" t="s">
        <v>27</v>
      </c>
      <c r="F423" s="5" t="s">
        <v>11</v>
      </c>
      <c r="G423" s="5" t="s">
        <v>11</v>
      </c>
      <c r="H423" s="5" t="s">
        <v>14</v>
      </c>
      <c r="I423" s="5" t="s">
        <v>15</v>
      </c>
      <c r="J423" s="5" t="s">
        <v>54</v>
      </c>
      <c r="K423" s="6">
        <v>10</v>
      </c>
      <c r="L423" s="15">
        <v>110</v>
      </c>
      <c r="M423" s="15">
        <f t="shared" ca="1" si="44"/>
        <v>40</v>
      </c>
      <c r="N423" s="16">
        <f t="shared" ca="1" si="42"/>
        <v>70</v>
      </c>
      <c r="O423" s="18">
        <f t="shared" ca="1" si="41"/>
        <v>0.63636363636363635</v>
      </c>
      <c r="P423" s="19">
        <f t="shared" si="43"/>
        <v>11</v>
      </c>
      <c r="Q423" s="16" t="str">
        <f>IF(COUNTIF($B$2:B423,B423)=1,SUMIF($B$2:$B$1097,B423,$L$2:$L$1097),"")</f>
        <v/>
      </c>
    </row>
    <row r="424" spans="1:18" ht="12.75" x14ac:dyDescent="0.2">
      <c r="A424" s="3">
        <v>423</v>
      </c>
      <c r="B424" s="26">
        <v>45067</v>
      </c>
      <c r="C424" s="23" t="s">
        <v>28</v>
      </c>
      <c r="D424" s="4">
        <v>2</v>
      </c>
      <c r="E424" s="24" t="s">
        <v>27</v>
      </c>
      <c r="F424" s="5" t="s">
        <v>11</v>
      </c>
      <c r="G424" s="5" t="s">
        <v>11</v>
      </c>
      <c r="H424" s="5" t="s">
        <v>14</v>
      </c>
      <c r="I424" s="5" t="s">
        <v>16</v>
      </c>
      <c r="J424" s="5" t="s">
        <v>54</v>
      </c>
      <c r="K424" s="6">
        <v>9</v>
      </c>
      <c r="L424" s="15">
        <v>99</v>
      </c>
      <c r="M424" s="15">
        <f t="shared" ca="1" si="44"/>
        <v>13</v>
      </c>
      <c r="N424" s="16">
        <f t="shared" ca="1" si="42"/>
        <v>86</v>
      </c>
      <c r="O424" s="18">
        <f t="shared" ca="1" si="41"/>
        <v>0.86868686868686873</v>
      </c>
      <c r="P424" s="19">
        <f t="shared" si="43"/>
        <v>11</v>
      </c>
      <c r="Q424" s="16" t="str">
        <f>IF(COUNTIF($B$2:B424,B424)=1,SUMIF($B$2:$B$1097,B424,$L$2:$L$1097),"")</f>
        <v/>
      </c>
    </row>
    <row r="425" spans="1:18" ht="12.75" x14ac:dyDescent="0.2">
      <c r="A425" s="3">
        <v>424</v>
      </c>
      <c r="B425" s="26">
        <v>45067</v>
      </c>
      <c r="C425" s="23" t="s">
        <v>28</v>
      </c>
      <c r="D425" s="4">
        <v>2</v>
      </c>
      <c r="E425" s="24" t="s">
        <v>27</v>
      </c>
      <c r="F425" s="5" t="s">
        <v>11</v>
      </c>
      <c r="G425" s="5" t="s">
        <v>11</v>
      </c>
      <c r="H425" s="5" t="s">
        <v>14</v>
      </c>
      <c r="I425" s="5" t="s">
        <v>17</v>
      </c>
      <c r="J425" s="5" t="s">
        <v>54</v>
      </c>
      <c r="K425" s="6">
        <v>13</v>
      </c>
      <c r="L425" s="15">
        <v>143</v>
      </c>
      <c r="M425" s="15">
        <f t="shared" ca="1" si="44"/>
        <v>10</v>
      </c>
      <c r="N425" s="16">
        <f t="shared" ca="1" si="42"/>
        <v>133</v>
      </c>
      <c r="O425" s="18">
        <f t="shared" ca="1" si="41"/>
        <v>0.93006993006993011</v>
      </c>
      <c r="P425" s="19">
        <f t="shared" si="43"/>
        <v>11</v>
      </c>
      <c r="Q425" s="16" t="str">
        <f>IF(COUNTIF($B$2:B425,B425)=1,SUMIF($B$2:$B$1097,B425,$L$2:$L$1097),"")</f>
        <v/>
      </c>
    </row>
    <row r="426" spans="1:18" ht="12.75" x14ac:dyDescent="0.2">
      <c r="A426" s="3">
        <v>425</v>
      </c>
      <c r="B426" s="26">
        <v>45068</v>
      </c>
      <c r="C426" s="23" t="s">
        <v>28</v>
      </c>
      <c r="D426" s="4">
        <v>3</v>
      </c>
      <c r="E426" s="24" t="s">
        <v>27</v>
      </c>
      <c r="F426" s="5" t="s">
        <v>11</v>
      </c>
      <c r="G426" s="5" t="s">
        <v>11</v>
      </c>
      <c r="H426" s="5" t="s">
        <v>14</v>
      </c>
      <c r="I426" s="5" t="s">
        <v>13</v>
      </c>
      <c r="J426" s="5" t="s">
        <v>56</v>
      </c>
      <c r="K426" s="6">
        <v>19</v>
      </c>
      <c r="L426" s="15">
        <v>209</v>
      </c>
      <c r="M426" s="15">
        <f t="shared" ca="1" si="44"/>
        <v>33</v>
      </c>
      <c r="N426" s="16">
        <f t="shared" ca="1" si="42"/>
        <v>176</v>
      </c>
      <c r="O426" s="18">
        <f t="shared" ca="1" si="41"/>
        <v>0.84210526315789469</v>
      </c>
      <c r="P426" s="19">
        <f t="shared" si="43"/>
        <v>11</v>
      </c>
      <c r="Q426" s="16">
        <f>IF(COUNTIF($B$2:B426,B426)=1,SUMIF($B$2:$B$1097,B426,$L$2:$L$1097),"")</f>
        <v>528</v>
      </c>
      <c r="R426" s="16">
        <f>AVERAGE(Q406:Q426)</f>
        <v>476.66666666666669</v>
      </c>
    </row>
    <row r="427" spans="1:18" ht="12.75" x14ac:dyDescent="0.2">
      <c r="A427" s="3">
        <v>426</v>
      </c>
      <c r="B427" s="26">
        <v>45068</v>
      </c>
      <c r="C427" s="23" t="s">
        <v>28</v>
      </c>
      <c r="D427" s="4">
        <v>3</v>
      </c>
      <c r="E427" s="24" t="s">
        <v>27</v>
      </c>
      <c r="F427" s="5" t="s">
        <v>11</v>
      </c>
      <c r="G427" s="5" t="s">
        <v>11</v>
      </c>
      <c r="H427" s="5" t="s">
        <v>14</v>
      </c>
      <c r="I427" s="5" t="s">
        <v>15</v>
      </c>
      <c r="J427" s="5" t="s">
        <v>56</v>
      </c>
      <c r="K427" s="6">
        <v>9</v>
      </c>
      <c r="L427" s="15">
        <v>99</v>
      </c>
      <c r="M427" s="15">
        <f t="shared" ca="1" si="44"/>
        <v>30</v>
      </c>
      <c r="N427" s="16">
        <f t="shared" ca="1" si="42"/>
        <v>69</v>
      </c>
      <c r="O427" s="18">
        <f t="shared" ca="1" si="41"/>
        <v>0.69696969696969702</v>
      </c>
      <c r="P427" s="19">
        <f t="shared" si="43"/>
        <v>11</v>
      </c>
      <c r="Q427" s="16" t="str">
        <f>IF(COUNTIF($B$2:B427,B427)=1,SUMIF($B$2:$B$1097,B427,$L$2:$L$1097),"")</f>
        <v/>
      </c>
    </row>
    <row r="428" spans="1:18" ht="12.75" x14ac:dyDescent="0.2">
      <c r="A428" s="3">
        <v>427</v>
      </c>
      <c r="B428" s="26">
        <v>45068</v>
      </c>
      <c r="C428" s="23" t="s">
        <v>28</v>
      </c>
      <c r="D428" s="4">
        <v>3</v>
      </c>
      <c r="E428" s="24" t="s">
        <v>27</v>
      </c>
      <c r="F428" s="5" t="s">
        <v>11</v>
      </c>
      <c r="G428" s="5" t="s">
        <v>11</v>
      </c>
      <c r="H428" s="5" t="s">
        <v>14</v>
      </c>
      <c r="I428" s="5" t="s">
        <v>16</v>
      </c>
      <c r="J428" s="5" t="s">
        <v>55</v>
      </c>
      <c r="K428" s="6">
        <v>5</v>
      </c>
      <c r="L428" s="15">
        <v>55</v>
      </c>
      <c r="M428" s="15">
        <f t="shared" ca="1" si="44"/>
        <v>40</v>
      </c>
      <c r="N428" s="16">
        <f t="shared" ca="1" si="42"/>
        <v>15</v>
      </c>
      <c r="O428" s="18">
        <f t="shared" ca="1" si="41"/>
        <v>0.27272727272727271</v>
      </c>
      <c r="P428" s="19">
        <f t="shared" si="43"/>
        <v>11</v>
      </c>
      <c r="Q428" s="16" t="str">
        <f>IF(COUNTIF($B$2:B428,B428)=1,SUMIF($B$2:$B$1097,B428,$L$2:$L$1097),"")</f>
        <v/>
      </c>
    </row>
    <row r="429" spans="1:18" ht="12.75" x14ac:dyDescent="0.2">
      <c r="A429" s="3">
        <v>428</v>
      </c>
      <c r="B429" s="26">
        <v>45068</v>
      </c>
      <c r="C429" s="23" t="s">
        <v>28</v>
      </c>
      <c r="D429" s="4">
        <v>3</v>
      </c>
      <c r="E429" s="24" t="s">
        <v>27</v>
      </c>
      <c r="F429" s="5" t="s">
        <v>11</v>
      </c>
      <c r="G429" s="5" t="s">
        <v>11</v>
      </c>
      <c r="H429" s="5" t="s">
        <v>14</v>
      </c>
      <c r="I429" s="5" t="s">
        <v>17</v>
      </c>
      <c r="J429" s="5" t="s">
        <v>53</v>
      </c>
      <c r="K429" s="6">
        <v>15</v>
      </c>
      <c r="L429" s="15">
        <v>165</v>
      </c>
      <c r="M429" s="15">
        <f t="shared" ca="1" si="44"/>
        <v>32</v>
      </c>
      <c r="N429" s="16">
        <f t="shared" ca="1" si="42"/>
        <v>133</v>
      </c>
      <c r="O429" s="18">
        <f t="shared" ca="1" si="41"/>
        <v>0.80606060606060603</v>
      </c>
      <c r="P429" s="19">
        <f t="shared" si="43"/>
        <v>11</v>
      </c>
      <c r="Q429" s="16" t="str">
        <f>IF(COUNTIF($B$2:B429,B429)=1,SUMIF($B$2:$B$1097,B429,$L$2:$L$1097),"")</f>
        <v/>
      </c>
    </row>
    <row r="430" spans="1:18" ht="12.75" x14ac:dyDescent="0.2">
      <c r="A430" s="3">
        <v>429</v>
      </c>
      <c r="B430" s="26">
        <v>45069</v>
      </c>
      <c r="C430" s="23" t="s">
        <v>28</v>
      </c>
      <c r="D430" s="4">
        <v>4</v>
      </c>
      <c r="E430" s="24" t="s">
        <v>27</v>
      </c>
      <c r="F430" s="5" t="s">
        <v>11</v>
      </c>
      <c r="G430" s="5" t="s">
        <v>11</v>
      </c>
      <c r="H430" s="5" t="s">
        <v>14</v>
      </c>
      <c r="I430" s="5" t="s">
        <v>13</v>
      </c>
      <c r="J430" s="5" t="s">
        <v>52</v>
      </c>
      <c r="K430" s="6">
        <v>17</v>
      </c>
      <c r="L430" s="15">
        <v>187</v>
      </c>
      <c r="M430" s="15">
        <f t="shared" ca="1" si="44"/>
        <v>39</v>
      </c>
      <c r="N430" s="16">
        <f t="shared" ca="1" si="42"/>
        <v>148</v>
      </c>
      <c r="O430" s="18">
        <f t="shared" ca="1" si="41"/>
        <v>0.79144385026737973</v>
      </c>
      <c r="P430" s="19">
        <f t="shared" si="43"/>
        <v>11</v>
      </c>
      <c r="Q430" s="16">
        <f>IF(COUNTIF($B$2:B430,B430)=1,SUMIF($B$2:$B$1097,B430,$L$2:$L$1097),"")</f>
        <v>440</v>
      </c>
      <c r="R430" s="16">
        <f>AVERAGE(Q410:Q430)</f>
        <v>482.16666666666669</v>
      </c>
    </row>
    <row r="431" spans="1:18" ht="12.75" x14ac:dyDescent="0.2">
      <c r="A431" s="3">
        <v>430</v>
      </c>
      <c r="B431" s="26">
        <v>45069</v>
      </c>
      <c r="C431" s="23" t="s">
        <v>28</v>
      </c>
      <c r="D431" s="4">
        <v>4</v>
      </c>
      <c r="E431" s="24" t="s">
        <v>27</v>
      </c>
      <c r="F431" s="5" t="s">
        <v>11</v>
      </c>
      <c r="G431" s="5" t="s">
        <v>11</v>
      </c>
      <c r="H431" s="5" t="s">
        <v>14</v>
      </c>
      <c r="I431" s="5" t="s">
        <v>15</v>
      </c>
      <c r="J431" s="5" t="s">
        <v>54</v>
      </c>
      <c r="K431" s="6">
        <v>7</v>
      </c>
      <c r="L431" s="15">
        <v>77</v>
      </c>
      <c r="M431" s="15">
        <f t="shared" ca="1" si="44"/>
        <v>27</v>
      </c>
      <c r="N431" s="16">
        <f t="shared" ca="1" si="42"/>
        <v>50</v>
      </c>
      <c r="O431" s="18">
        <f t="shared" ca="1" si="41"/>
        <v>0.64935064935064934</v>
      </c>
      <c r="P431" s="19">
        <f t="shared" si="43"/>
        <v>11</v>
      </c>
      <c r="Q431" s="16" t="str">
        <f>IF(COUNTIF($B$2:B431,B431)=1,SUMIF($B$2:$B$1097,B431,$L$2:$L$1097),"")</f>
        <v/>
      </c>
    </row>
    <row r="432" spans="1:18" ht="12.75" x14ac:dyDescent="0.2">
      <c r="A432" s="3">
        <v>431</v>
      </c>
      <c r="B432" s="26">
        <v>45069</v>
      </c>
      <c r="C432" s="23" t="s">
        <v>28</v>
      </c>
      <c r="D432" s="4">
        <v>4</v>
      </c>
      <c r="E432" s="24" t="s">
        <v>27</v>
      </c>
      <c r="F432" s="5" t="s">
        <v>11</v>
      </c>
      <c r="G432" s="5" t="s">
        <v>11</v>
      </c>
      <c r="H432" s="5" t="s">
        <v>14</v>
      </c>
      <c r="I432" s="5" t="s">
        <v>16</v>
      </c>
      <c r="J432" s="5" t="s">
        <v>54</v>
      </c>
      <c r="K432" s="6">
        <v>5</v>
      </c>
      <c r="L432" s="15">
        <v>55</v>
      </c>
      <c r="M432" s="15">
        <f t="shared" ca="1" si="44"/>
        <v>41</v>
      </c>
      <c r="N432" s="16">
        <f t="shared" ca="1" si="42"/>
        <v>14</v>
      </c>
      <c r="O432" s="18">
        <f t="shared" ca="1" si="41"/>
        <v>0.25454545454545452</v>
      </c>
      <c r="P432" s="19">
        <f t="shared" si="43"/>
        <v>11</v>
      </c>
      <c r="Q432" s="16" t="str">
        <f>IF(COUNTIF($B$2:B432,B432)=1,SUMIF($B$2:$B$1097,B432,$L$2:$L$1097),"")</f>
        <v/>
      </c>
    </row>
    <row r="433" spans="1:18" ht="12.75" x14ac:dyDescent="0.2">
      <c r="A433" s="3">
        <v>432</v>
      </c>
      <c r="B433" s="26">
        <v>45069</v>
      </c>
      <c r="C433" s="23" t="s">
        <v>28</v>
      </c>
      <c r="D433" s="4">
        <v>4</v>
      </c>
      <c r="E433" s="24" t="s">
        <v>27</v>
      </c>
      <c r="F433" s="5" t="s">
        <v>11</v>
      </c>
      <c r="G433" s="5" t="s">
        <v>11</v>
      </c>
      <c r="H433" s="5" t="s">
        <v>14</v>
      </c>
      <c r="I433" s="5" t="s">
        <v>17</v>
      </c>
      <c r="J433" s="5" t="s">
        <v>54</v>
      </c>
      <c r="K433" s="6">
        <v>11</v>
      </c>
      <c r="L433" s="15">
        <v>121</v>
      </c>
      <c r="M433" s="15">
        <f t="shared" ca="1" si="44"/>
        <v>17</v>
      </c>
      <c r="N433" s="16">
        <f t="shared" ca="1" si="42"/>
        <v>104</v>
      </c>
      <c r="O433" s="18">
        <f t="shared" ca="1" si="41"/>
        <v>0.85950413223140498</v>
      </c>
      <c r="P433" s="19">
        <f t="shared" si="43"/>
        <v>11</v>
      </c>
      <c r="Q433" s="16" t="str">
        <f>IF(COUNTIF($B$2:B433,B433)=1,SUMIF($B$2:$B$1097,B433,$L$2:$L$1097),"")</f>
        <v/>
      </c>
    </row>
    <row r="434" spans="1:18" ht="12.75" x14ac:dyDescent="0.2">
      <c r="A434" s="3">
        <v>433</v>
      </c>
      <c r="B434" s="26">
        <v>45070</v>
      </c>
      <c r="C434" s="23" t="s">
        <v>28</v>
      </c>
      <c r="D434" s="4">
        <v>5</v>
      </c>
      <c r="E434" s="24" t="s">
        <v>27</v>
      </c>
      <c r="F434" s="5" t="s">
        <v>11</v>
      </c>
      <c r="G434" s="5" t="s">
        <v>11</v>
      </c>
      <c r="H434" s="5" t="s">
        <v>14</v>
      </c>
      <c r="I434" s="5" t="s">
        <v>13</v>
      </c>
      <c r="J434" s="5" t="s">
        <v>56</v>
      </c>
      <c r="K434" s="6">
        <v>16</v>
      </c>
      <c r="L434" s="15">
        <v>176</v>
      </c>
      <c r="M434" s="15">
        <f t="shared" ca="1" si="44"/>
        <v>39</v>
      </c>
      <c r="N434" s="16">
        <f t="shared" ca="1" si="42"/>
        <v>137</v>
      </c>
      <c r="O434" s="18">
        <f t="shared" ca="1" si="41"/>
        <v>0.77840909090909094</v>
      </c>
      <c r="P434" s="19">
        <f t="shared" si="43"/>
        <v>11</v>
      </c>
      <c r="Q434" s="16">
        <f>IF(COUNTIF($B$2:B434,B434)=1,SUMIF($B$2:$B$1097,B434,$L$2:$L$1097),"")</f>
        <v>451</v>
      </c>
      <c r="R434" s="16">
        <f>AVERAGE(Q414:Q434)</f>
        <v>474.83333333333331</v>
      </c>
    </row>
    <row r="435" spans="1:18" ht="12.75" x14ac:dyDescent="0.2">
      <c r="A435" s="3">
        <v>434</v>
      </c>
      <c r="B435" s="26">
        <v>45070</v>
      </c>
      <c r="C435" s="23" t="s">
        <v>28</v>
      </c>
      <c r="D435" s="4">
        <v>5</v>
      </c>
      <c r="E435" s="24" t="s">
        <v>27</v>
      </c>
      <c r="F435" s="5" t="s">
        <v>11</v>
      </c>
      <c r="G435" s="5" t="s">
        <v>11</v>
      </c>
      <c r="H435" s="5" t="s">
        <v>14</v>
      </c>
      <c r="I435" s="5" t="s">
        <v>15</v>
      </c>
      <c r="J435" s="5" t="s">
        <v>56</v>
      </c>
      <c r="K435" s="6">
        <v>8</v>
      </c>
      <c r="L435" s="15">
        <v>88</v>
      </c>
      <c r="M435" s="15">
        <f t="shared" ca="1" si="44"/>
        <v>32</v>
      </c>
      <c r="N435" s="16">
        <f t="shared" ca="1" si="42"/>
        <v>56</v>
      </c>
      <c r="O435" s="18">
        <f t="shared" ca="1" si="41"/>
        <v>0.63636363636363635</v>
      </c>
      <c r="P435" s="19">
        <f t="shared" si="43"/>
        <v>11</v>
      </c>
      <c r="Q435" s="16" t="str">
        <f>IF(COUNTIF($B$2:B435,B435)=1,SUMIF($B$2:$B$1097,B435,$L$2:$L$1097),"")</f>
        <v/>
      </c>
    </row>
    <row r="436" spans="1:18" ht="12.75" x14ac:dyDescent="0.2">
      <c r="A436" s="3">
        <v>435</v>
      </c>
      <c r="B436" s="26">
        <v>45070</v>
      </c>
      <c r="C436" s="23" t="s">
        <v>28</v>
      </c>
      <c r="D436" s="4">
        <v>5</v>
      </c>
      <c r="E436" s="24" t="s">
        <v>27</v>
      </c>
      <c r="F436" s="5" t="s">
        <v>11</v>
      </c>
      <c r="G436" s="5" t="s">
        <v>11</v>
      </c>
      <c r="H436" s="5" t="s">
        <v>14</v>
      </c>
      <c r="I436" s="5" t="s">
        <v>16</v>
      </c>
      <c r="J436" s="5" t="s">
        <v>55</v>
      </c>
      <c r="K436" s="6">
        <v>5</v>
      </c>
      <c r="L436" s="15">
        <v>55</v>
      </c>
      <c r="M436" s="15">
        <f t="shared" ca="1" si="44"/>
        <v>24</v>
      </c>
      <c r="N436" s="16">
        <f t="shared" ca="1" si="42"/>
        <v>31</v>
      </c>
      <c r="O436" s="18">
        <f t="shared" ca="1" si="41"/>
        <v>0.5636363636363636</v>
      </c>
      <c r="P436" s="19">
        <f t="shared" si="43"/>
        <v>11</v>
      </c>
      <c r="Q436" s="16" t="str">
        <f>IF(COUNTIF($B$2:B436,B436)=1,SUMIF($B$2:$B$1097,B436,$L$2:$L$1097),"")</f>
        <v/>
      </c>
    </row>
    <row r="437" spans="1:18" ht="12.75" x14ac:dyDescent="0.2">
      <c r="A437" s="3">
        <v>436</v>
      </c>
      <c r="B437" s="26">
        <v>45070</v>
      </c>
      <c r="C437" s="23" t="s">
        <v>28</v>
      </c>
      <c r="D437" s="4">
        <v>5</v>
      </c>
      <c r="E437" s="24" t="s">
        <v>27</v>
      </c>
      <c r="F437" s="5" t="s">
        <v>11</v>
      </c>
      <c r="G437" s="5" t="s">
        <v>11</v>
      </c>
      <c r="H437" s="5" t="s">
        <v>14</v>
      </c>
      <c r="I437" s="5" t="s">
        <v>17</v>
      </c>
      <c r="J437" s="5" t="s">
        <v>53</v>
      </c>
      <c r="K437" s="6">
        <v>12</v>
      </c>
      <c r="L437" s="15">
        <v>132</v>
      </c>
      <c r="M437" s="15">
        <f t="shared" ca="1" si="44"/>
        <v>35</v>
      </c>
      <c r="N437" s="16">
        <f t="shared" ca="1" si="42"/>
        <v>97</v>
      </c>
      <c r="O437" s="18">
        <f t="shared" ca="1" si="41"/>
        <v>0.73484848484848486</v>
      </c>
      <c r="P437" s="19">
        <f t="shared" si="43"/>
        <v>11</v>
      </c>
      <c r="Q437" s="16" t="str">
        <f>IF(COUNTIF($B$2:B437,B437)=1,SUMIF($B$2:$B$1097,B437,$L$2:$L$1097),"")</f>
        <v/>
      </c>
    </row>
    <row r="438" spans="1:18" ht="12.75" x14ac:dyDescent="0.2">
      <c r="A438" s="3">
        <v>437</v>
      </c>
      <c r="B438" s="26">
        <v>45071</v>
      </c>
      <c r="C438" s="23" t="s">
        <v>28</v>
      </c>
      <c r="D438" s="4">
        <v>6</v>
      </c>
      <c r="E438" s="24" t="s">
        <v>27</v>
      </c>
      <c r="F438" s="5" t="s">
        <v>11</v>
      </c>
      <c r="G438" s="5" t="s">
        <v>11</v>
      </c>
      <c r="H438" s="5" t="s">
        <v>14</v>
      </c>
      <c r="I438" s="5" t="s">
        <v>13</v>
      </c>
      <c r="J438" s="5" t="s">
        <v>52</v>
      </c>
      <c r="K438" s="6">
        <v>21</v>
      </c>
      <c r="L438" s="15">
        <v>231</v>
      </c>
      <c r="M438" s="15">
        <f t="shared" ca="1" si="44"/>
        <v>40</v>
      </c>
      <c r="N438" s="16">
        <f t="shared" ca="1" si="42"/>
        <v>191</v>
      </c>
      <c r="O438" s="18">
        <f t="shared" ca="1" si="41"/>
        <v>0.82683982683982682</v>
      </c>
      <c r="P438" s="19">
        <f t="shared" si="43"/>
        <v>11</v>
      </c>
      <c r="Q438" s="16">
        <f>IF(COUNTIF($B$2:B438,B438)=1,SUMIF($B$2:$B$1097,B438,$L$2:$L$1097),"")</f>
        <v>605</v>
      </c>
      <c r="R438" s="16">
        <f>AVERAGE(Q418:Q438)</f>
        <v>467.5</v>
      </c>
    </row>
    <row r="439" spans="1:18" ht="12.75" x14ac:dyDescent="0.2">
      <c r="A439" s="3">
        <v>438</v>
      </c>
      <c r="B439" s="26">
        <v>45071</v>
      </c>
      <c r="C439" s="23" t="s">
        <v>28</v>
      </c>
      <c r="D439" s="4">
        <v>6</v>
      </c>
      <c r="E439" s="24" t="s">
        <v>27</v>
      </c>
      <c r="F439" s="5" t="s">
        <v>11</v>
      </c>
      <c r="G439" s="5" t="s">
        <v>11</v>
      </c>
      <c r="H439" s="5" t="s">
        <v>14</v>
      </c>
      <c r="I439" s="5" t="s">
        <v>15</v>
      </c>
      <c r="J439" s="5" t="s">
        <v>55</v>
      </c>
      <c r="K439" s="6">
        <v>10</v>
      </c>
      <c r="L439" s="15">
        <v>110</v>
      </c>
      <c r="M439" s="15">
        <f t="shared" ca="1" si="44"/>
        <v>28</v>
      </c>
      <c r="N439" s="16">
        <f t="shared" ca="1" si="42"/>
        <v>82</v>
      </c>
      <c r="O439" s="18">
        <f t="shared" ca="1" si="41"/>
        <v>0.74545454545454548</v>
      </c>
      <c r="P439" s="19">
        <f t="shared" si="43"/>
        <v>11</v>
      </c>
      <c r="Q439" s="16" t="str">
        <f>IF(COUNTIF($B$2:B439,B439)=1,SUMIF($B$2:$B$1097,B439,$L$2:$L$1097),"")</f>
        <v/>
      </c>
    </row>
    <row r="440" spans="1:18" ht="12.75" x14ac:dyDescent="0.2">
      <c r="A440" s="3">
        <v>439</v>
      </c>
      <c r="B440" s="26">
        <v>45071</v>
      </c>
      <c r="C440" s="23" t="s">
        <v>28</v>
      </c>
      <c r="D440" s="4">
        <v>6</v>
      </c>
      <c r="E440" s="24" t="s">
        <v>27</v>
      </c>
      <c r="F440" s="5" t="s">
        <v>11</v>
      </c>
      <c r="G440" s="5" t="s">
        <v>11</v>
      </c>
      <c r="H440" s="5" t="s">
        <v>14</v>
      </c>
      <c r="I440" s="5" t="s">
        <v>16</v>
      </c>
      <c r="J440" s="5" t="s">
        <v>55</v>
      </c>
      <c r="K440" s="6">
        <v>9</v>
      </c>
      <c r="L440" s="15">
        <v>99</v>
      </c>
      <c r="M440" s="15">
        <f t="shared" ca="1" si="44"/>
        <v>45</v>
      </c>
      <c r="N440" s="16">
        <f t="shared" ca="1" si="42"/>
        <v>54</v>
      </c>
      <c r="O440" s="18">
        <f t="shared" ca="1" si="41"/>
        <v>0.54545454545454541</v>
      </c>
      <c r="P440" s="19">
        <f t="shared" si="43"/>
        <v>11</v>
      </c>
      <c r="Q440" s="16" t="str">
        <f>IF(COUNTIF($B$2:B440,B440)=1,SUMIF($B$2:$B$1097,B440,$L$2:$L$1097),"")</f>
        <v/>
      </c>
    </row>
    <row r="441" spans="1:18" ht="12.75" x14ac:dyDescent="0.2">
      <c r="A441" s="3">
        <v>440</v>
      </c>
      <c r="B441" s="26">
        <v>45071</v>
      </c>
      <c r="C441" s="23" t="s">
        <v>28</v>
      </c>
      <c r="D441" s="4">
        <v>6</v>
      </c>
      <c r="E441" s="24" t="s">
        <v>27</v>
      </c>
      <c r="F441" s="5" t="s">
        <v>11</v>
      </c>
      <c r="G441" s="5" t="s">
        <v>11</v>
      </c>
      <c r="H441" s="5" t="s">
        <v>14</v>
      </c>
      <c r="I441" s="5" t="s">
        <v>17</v>
      </c>
      <c r="J441" s="5" t="s">
        <v>53</v>
      </c>
      <c r="K441" s="6">
        <v>15</v>
      </c>
      <c r="L441" s="15">
        <v>165</v>
      </c>
      <c r="M441" s="15">
        <f t="shared" ca="1" si="44"/>
        <v>12</v>
      </c>
      <c r="N441" s="16">
        <f t="shared" ca="1" si="42"/>
        <v>153</v>
      </c>
      <c r="O441" s="18">
        <f t="shared" ca="1" si="41"/>
        <v>0.92727272727272725</v>
      </c>
      <c r="P441" s="19">
        <f t="shared" si="43"/>
        <v>11</v>
      </c>
      <c r="Q441" s="16" t="str">
        <f>IF(COUNTIF($B$2:B441,B441)=1,SUMIF($B$2:$B$1097,B441,$L$2:$L$1097),"")</f>
        <v/>
      </c>
    </row>
    <row r="442" spans="1:18" ht="12.75" x14ac:dyDescent="0.2">
      <c r="A442" s="3">
        <v>441</v>
      </c>
      <c r="B442" s="26">
        <v>45072</v>
      </c>
      <c r="C442" s="23" t="s">
        <v>28</v>
      </c>
      <c r="D442" s="4">
        <v>7</v>
      </c>
      <c r="E442" s="24" t="s">
        <v>27</v>
      </c>
      <c r="F442" s="5" t="s">
        <v>11</v>
      </c>
      <c r="G442" s="5" t="s">
        <v>11</v>
      </c>
      <c r="H442" s="5" t="s">
        <v>14</v>
      </c>
      <c r="I442" s="5" t="s">
        <v>13</v>
      </c>
      <c r="J442" s="5" t="s">
        <v>56</v>
      </c>
      <c r="K442" s="6">
        <v>23</v>
      </c>
      <c r="L442" s="15">
        <v>253</v>
      </c>
      <c r="M442" s="15">
        <f t="shared" ca="1" si="44"/>
        <v>4</v>
      </c>
      <c r="N442" s="16">
        <f t="shared" ca="1" si="42"/>
        <v>249</v>
      </c>
      <c r="O442" s="18">
        <f t="shared" ca="1" si="41"/>
        <v>0.98418972332015808</v>
      </c>
      <c r="P442" s="19">
        <f t="shared" si="43"/>
        <v>11</v>
      </c>
      <c r="Q442" s="16">
        <f>IF(COUNTIF($B$2:B442,B442)=1,SUMIF($B$2:$B$1097,B442,$L$2:$L$1097),"")</f>
        <v>253</v>
      </c>
      <c r="R442" s="16">
        <f t="shared" ref="R442:R443" si="47">AVERAGE(Q422:Q442)</f>
        <v>474.83333333333331</v>
      </c>
    </row>
    <row r="443" spans="1:18" ht="12.75" x14ac:dyDescent="0.2">
      <c r="A443" s="3">
        <v>442</v>
      </c>
      <c r="B443" s="26">
        <v>45074</v>
      </c>
      <c r="C443" s="23" t="s">
        <v>28</v>
      </c>
      <c r="D443" s="4">
        <v>2</v>
      </c>
      <c r="E443" s="24" t="s">
        <v>27</v>
      </c>
      <c r="F443" s="5" t="s">
        <v>10</v>
      </c>
      <c r="G443" s="5" t="s">
        <v>11</v>
      </c>
      <c r="H443" s="5" t="s">
        <v>29</v>
      </c>
      <c r="I443" s="5" t="s">
        <v>13</v>
      </c>
      <c r="J443" s="5" t="s">
        <v>52</v>
      </c>
      <c r="K443" s="6">
        <v>19</v>
      </c>
      <c r="L443" s="15">
        <v>209</v>
      </c>
      <c r="M443" s="15">
        <f t="shared" ca="1" si="44"/>
        <v>50</v>
      </c>
      <c r="N443" s="16">
        <f t="shared" ca="1" si="42"/>
        <v>159</v>
      </c>
      <c r="O443" s="18">
        <f t="shared" ca="1" si="41"/>
        <v>0.76076555023923442</v>
      </c>
      <c r="P443" s="19">
        <f t="shared" si="43"/>
        <v>11</v>
      </c>
      <c r="Q443" s="16">
        <f>IF(COUNTIF($B$2:B443,B443)=1,SUMIF($B$2:$B$1097,B443,$L$2:$L$1097),"")</f>
        <v>605</v>
      </c>
      <c r="R443" s="16">
        <f t="shared" si="47"/>
        <v>480.33333333333331</v>
      </c>
    </row>
    <row r="444" spans="1:18" ht="12.75" x14ac:dyDescent="0.2">
      <c r="A444" s="3">
        <v>443</v>
      </c>
      <c r="B444" s="26">
        <v>45074</v>
      </c>
      <c r="C444" s="23" t="s">
        <v>28</v>
      </c>
      <c r="D444" s="4">
        <v>2</v>
      </c>
      <c r="E444" s="24" t="s">
        <v>27</v>
      </c>
      <c r="F444" s="5" t="s">
        <v>10</v>
      </c>
      <c r="G444" s="5" t="s">
        <v>11</v>
      </c>
      <c r="H444" s="5" t="s">
        <v>29</v>
      </c>
      <c r="I444" s="5" t="s">
        <v>15</v>
      </c>
      <c r="J444" s="5" t="s">
        <v>54</v>
      </c>
      <c r="K444" s="6">
        <v>11</v>
      </c>
      <c r="L444" s="15">
        <v>121</v>
      </c>
      <c r="M444" s="15">
        <f t="shared" ca="1" si="44"/>
        <v>16</v>
      </c>
      <c r="N444" s="16">
        <f t="shared" ca="1" si="42"/>
        <v>105</v>
      </c>
      <c r="O444" s="18">
        <f t="shared" ca="1" si="41"/>
        <v>0.86776859504132231</v>
      </c>
      <c r="P444" s="19">
        <f t="shared" si="43"/>
        <v>11</v>
      </c>
      <c r="Q444" s="16" t="str">
        <f>IF(COUNTIF($B$2:B444,B444)=1,SUMIF($B$2:$B$1097,B444,$L$2:$L$1097),"")</f>
        <v/>
      </c>
    </row>
    <row r="445" spans="1:18" ht="12.75" x14ac:dyDescent="0.2">
      <c r="A445" s="3">
        <v>444</v>
      </c>
      <c r="B445" s="26">
        <v>45074</v>
      </c>
      <c r="C445" s="23" t="s">
        <v>28</v>
      </c>
      <c r="D445" s="4">
        <v>2</v>
      </c>
      <c r="E445" s="24" t="s">
        <v>27</v>
      </c>
      <c r="F445" s="5" t="s">
        <v>10</v>
      </c>
      <c r="G445" s="5" t="s">
        <v>11</v>
      </c>
      <c r="H445" s="5" t="s">
        <v>29</v>
      </c>
      <c r="I445" s="5" t="s">
        <v>16</v>
      </c>
      <c r="J445" s="5" t="s">
        <v>54</v>
      </c>
      <c r="K445" s="6">
        <v>10</v>
      </c>
      <c r="L445" s="15">
        <v>110</v>
      </c>
      <c r="M445" s="15">
        <f t="shared" ca="1" si="44"/>
        <v>21</v>
      </c>
      <c r="N445" s="16">
        <f t="shared" ca="1" si="42"/>
        <v>89</v>
      </c>
      <c r="O445" s="18">
        <f t="shared" ca="1" si="41"/>
        <v>0.80909090909090908</v>
      </c>
      <c r="P445" s="19">
        <f t="shared" si="43"/>
        <v>11</v>
      </c>
      <c r="Q445" s="16" t="str">
        <f>IF(COUNTIF($B$2:B445,B445)=1,SUMIF($B$2:$B$1097,B445,$L$2:$L$1097),"")</f>
        <v/>
      </c>
    </row>
    <row r="446" spans="1:18" ht="12.75" x14ac:dyDescent="0.2">
      <c r="A446" s="3">
        <v>445</v>
      </c>
      <c r="B446" s="26">
        <v>45074</v>
      </c>
      <c r="C446" s="23" t="s">
        <v>28</v>
      </c>
      <c r="D446" s="4">
        <v>2</v>
      </c>
      <c r="E446" s="24" t="s">
        <v>27</v>
      </c>
      <c r="F446" s="5" t="s">
        <v>10</v>
      </c>
      <c r="G446" s="5" t="s">
        <v>11</v>
      </c>
      <c r="H446" s="5" t="s">
        <v>29</v>
      </c>
      <c r="I446" s="5" t="s">
        <v>17</v>
      </c>
      <c r="J446" s="5" t="s">
        <v>54</v>
      </c>
      <c r="K446" s="6">
        <v>15</v>
      </c>
      <c r="L446" s="15">
        <v>165</v>
      </c>
      <c r="M446" s="15">
        <f t="shared" ca="1" si="44"/>
        <v>11</v>
      </c>
      <c r="N446" s="16">
        <f t="shared" ca="1" si="42"/>
        <v>154</v>
      </c>
      <c r="O446" s="18">
        <f t="shared" ca="1" si="41"/>
        <v>0.93333333333333335</v>
      </c>
      <c r="P446" s="19">
        <f t="shared" si="43"/>
        <v>11</v>
      </c>
      <c r="Q446" s="16" t="str">
        <f>IF(COUNTIF($B$2:B446,B446)=1,SUMIF($B$2:$B$1097,B446,$L$2:$L$1097),"")</f>
        <v/>
      </c>
    </row>
    <row r="447" spans="1:18" ht="12.75" x14ac:dyDescent="0.2">
      <c r="A447" s="3">
        <v>446</v>
      </c>
      <c r="B447" s="26">
        <v>45075</v>
      </c>
      <c r="C447" s="23" t="s">
        <v>28</v>
      </c>
      <c r="D447" s="4">
        <v>3</v>
      </c>
      <c r="E447" s="24" t="s">
        <v>27</v>
      </c>
      <c r="F447" s="5" t="s">
        <v>11</v>
      </c>
      <c r="G447" s="5" t="s">
        <v>11</v>
      </c>
      <c r="H447" s="5" t="s">
        <v>14</v>
      </c>
      <c r="I447" s="5" t="s">
        <v>13</v>
      </c>
      <c r="J447" s="5" t="s">
        <v>56</v>
      </c>
      <c r="K447" s="6">
        <v>18</v>
      </c>
      <c r="L447" s="15">
        <v>198</v>
      </c>
      <c r="M447" s="15">
        <f t="shared" ca="1" si="44"/>
        <v>38</v>
      </c>
      <c r="N447" s="16">
        <f t="shared" ca="1" si="42"/>
        <v>160</v>
      </c>
      <c r="O447" s="18">
        <f t="shared" ca="1" si="41"/>
        <v>0.80808080808080807</v>
      </c>
      <c r="P447" s="19">
        <f t="shared" si="43"/>
        <v>11</v>
      </c>
      <c r="Q447" s="16">
        <f>IF(COUNTIF($B$2:B447,B447)=1,SUMIF($B$2:$B$1097,B447,$L$2:$L$1097),"")</f>
        <v>528</v>
      </c>
      <c r="R447" s="16">
        <f>AVERAGE(Q427:Q447)</f>
        <v>480.33333333333331</v>
      </c>
    </row>
    <row r="448" spans="1:18" ht="12.75" x14ac:dyDescent="0.2">
      <c r="A448" s="3">
        <v>447</v>
      </c>
      <c r="B448" s="26">
        <v>45075</v>
      </c>
      <c r="C448" s="23" t="s">
        <v>28</v>
      </c>
      <c r="D448" s="4">
        <v>3</v>
      </c>
      <c r="E448" s="24" t="s">
        <v>27</v>
      </c>
      <c r="F448" s="5" t="s">
        <v>11</v>
      </c>
      <c r="G448" s="5" t="s">
        <v>11</v>
      </c>
      <c r="H448" s="5" t="s">
        <v>14</v>
      </c>
      <c r="I448" s="5" t="s">
        <v>15</v>
      </c>
      <c r="J448" s="5" t="s">
        <v>56</v>
      </c>
      <c r="K448" s="6">
        <v>12</v>
      </c>
      <c r="L448" s="15">
        <v>132</v>
      </c>
      <c r="M448" s="15">
        <f t="shared" ca="1" si="44"/>
        <v>45</v>
      </c>
      <c r="N448" s="16">
        <f t="shared" ca="1" si="42"/>
        <v>87</v>
      </c>
      <c r="O448" s="18">
        <f t="shared" ca="1" si="41"/>
        <v>0.65909090909090906</v>
      </c>
      <c r="P448" s="19">
        <f t="shared" si="43"/>
        <v>11</v>
      </c>
      <c r="Q448" s="16" t="str">
        <f>IF(COUNTIF($B$2:B448,B448)=1,SUMIF($B$2:$B$1097,B448,$L$2:$L$1097),"")</f>
        <v/>
      </c>
    </row>
    <row r="449" spans="1:18" ht="12.75" x14ac:dyDescent="0.2">
      <c r="A449" s="3">
        <v>448</v>
      </c>
      <c r="B449" s="26">
        <v>45075</v>
      </c>
      <c r="C449" s="23" t="s">
        <v>28</v>
      </c>
      <c r="D449" s="4">
        <v>3</v>
      </c>
      <c r="E449" s="24" t="s">
        <v>27</v>
      </c>
      <c r="F449" s="5" t="s">
        <v>11</v>
      </c>
      <c r="G449" s="5" t="s">
        <v>11</v>
      </c>
      <c r="H449" s="5" t="s">
        <v>14</v>
      </c>
      <c r="I449" s="5" t="s">
        <v>16</v>
      </c>
      <c r="J449" s="5" t="s">
        <v>55</v>
      </c>
      <c r="K449" s="6">
        <v>5</v>
      </c>
      <c r="L449" s="15">
        <v>55</v>
      </c>
      <c r="M449" s="15">
        <f t="shared" ca="1" si="44"/>
        <v>33</v>
      </c>
      <c r="N449" s="16">
        <f t="shared" ca="1" si="42"/>
        <v>22</v>
      </c>
      <c r="O449" s="18">
        <f t="shared" ca="1" si="41"/>
        <v>0.4</v>
      </c>
      <c r="P449" s="19">
        <f t="shared" si="43"/>
        <v>11</v>
      </c>
      <c r="Q449" s="16" t="str">
        <f>IF(COUNTIF($B$2:B449,B449)=1,SUMIF($B$2:$B$1097,B449,$L$2:$L$1097),"")</f>
        <v/>
      </c>
    </row>
    <row r="450" spans="1:18" ht="12.75" x14ac:dyDescent="0.2">
      <c r="A450" s="3">
        <v>449</v>
      </c>
      <c r="B450" s="26">
        <v>45075</v>
      </c>
      <c r="C450" s="23" t="s">
        <v>28</v>
      </c>
      <c r="D450" s="4">
        <v>3</v>
      </c>
      <c r="E450" s="24" t="s">
        <v>27</v>
      </c>
      <c r="F450" s="5" t="s">
        <v>11</v>
      </c>
      <c r="G450" s="5" t="s">
        <v>11</v>
      </c>
      <c r="H450" s="5" t="s">
        <v>14</v>
      </c>
      <c r="I450" s="5" t="s">
        <v>17</v>
      </c>
      <c r="J450" s="5" t="s">
        <v>53</v>
      </c>
      <c r="K450" s="6">
        <v>13</v>
      </c>
      <c r="L450" s="15">
        <v>143</v>
      </c>
      <c r="M450" s="15">
        <f t="shared" ca="1" si="44"/>
        <v>40</v>
      </c>
      <c r="N450" s="16">
        <f t="shared" ca="1" si="42"/>
        <v>103</v>
      </c>
      <c r="O450" s="18">
        <f t="shared" ref="O450:O513" ca="1" si="48">IF(L450=0, 0, N450/L450)</f>
        <v>0.72027972027972031</v>
      </c>
      <c r="P450" s="19">
        <f t="shared" si="43"/>
        <v>11</v>
      </c>
      <c r="Q450" s="16" t="str">
        <f>IF(COUNTIF($B$2:B450,B450)=1,SUMIF($B$2:$B$1097,B450,$L$2:$L$1097),"")</f>
        <v/>
      </c>
    </row>
    <row r="451" spans="1:18" ht="12.75" x14ac:dyDescent="0.2">
      <c r="A451" s="3">
        <v>450</v>
      </c>
      <c r="B451" s="26">
        <v>45076</v>
      </c>
      <c r="C451" s="23" t="s">
        <v>28</v>
      </c>
      <c r="D451" s="4">
        <v>4</v>
      </c>
      <c r="E451" s="24" t="s">
        <v>27</v>
      </c>
      <c r="F451" s="5" t="s">
        <v>11</v>
      </c>
      <c r="G451" s="5" t="s">
        <v>11</v>
      </c>
      <c r="H451" s="5" t="s">
        <v>14</v>
      </c>
      <c r="I451" s="5" t="s">
        <v>13</v>
      </c>
      <c r="J451" s="5" t="s">
        <v>52</v>
      </c>
      <c r="K451" s="6">
        <v>14</v>
      </c>
      <c r="L451" s="15">
        <v>154</v>
      </c>
      <c r="M451" s="15">
        <f t="shared" ca="1" si="44"/>
        <v>39</v>
      </c>
      <c r="N451" s="16">
        <f t="shared" ref="N451:N514" ca="1" si="49">L451-M451</f>
        <v>115</v>
      </c>
      <c r="O451" s="18">
        <f t="shared" ca="1" si="48"/>
        <v>0.74675324675324672</v>
      </c>
      <c r="P451" s="19">
        <f t="shared" ref="P451:P514" si="50">IF(K451=0, 0, L451/K451)</f>
        <v>11</v>
      </c>
      <c r="Q451" s="16">
        <f>IF(COUNTIF($B$2:B451,B451)=1,SUMIF($B$2:$B$1097,B451,$L$2:$L$1097),"")</f>
        <v>385</v>
      </c>
      <c r="R451" s="16">
        <f>AVERAGE(Q431:Q451)</f>
        <v>471.16666666666669</v>
      </c>
    </row>
    <row r="452" spans="1:18" ht="12.75" x14ac:dyDescent="0.2">
      <c r="A452" s="3">
        <v>451</v>
      </c>
      <c r="B452" s="26">
        <v>45076</v>
      </c>
      <c r="C452" s="23" t="s">
        <v>28</v>
      </c>
      <c r="D452" s="4">
        <v>4</v>
      </c>
      <c r="E452" s="24" t="s">
        <v>27</v>
      </c>
      <c r="F452" s="5" t="s">
        <v>11</v>
      </c>
      <c r="G452" s="5" t="s">
        <v>11</v>
      </c>
      <c r="H452" s="5" t="s">
        <v>14</v>
      </c>
      <c r="I452" s="5" t="s">
        <v>15</v>
      </c>
      <c r="J452" s="5" t="s">
        <v>54</v>
      </c>
      <c r="K452" s="6">
        <v>5</v>
      </c>
      <c r="L452" s="15">
        <v>55</v>
      </c>
      <c r="M452" s="15">
        <f t="shared" ca="1" si="44"/>
        <v>24</v>
      </c>
      <c r="N452" s="16">
        <f t="shared" ca="1" si="49"/>
        <v>31</v>
      </c>
      <c r="O452" s="18">
        <f t="shared" ca="1" si="48"/>
        <v>0.5636363636363636</v>
      </c>
      <c r="P452" s="19">
        <f t="shared" si="50"/>
        <v>11</v>
      </c>
      <c r="Q452" s="16" t="str">
        <f>IF(COUNTIF($B$2:B452,B452)=1,SUMIF($B$2:$B$1097,B452,$L$2:$L$1097),"")</f>
        <v/>
      </c>
    </row>
    <row r="453" spans="1:18" ht="12.75" x14ac:dyDescent="0.2">
      <c r="A453" s="3">
        <v>452</v>
      </c>
      <c r="B453" s="26">
        <v>45076</v>
      </c>
      <c r="C453" s="23" t="s">
        <v>28</v>
      </c>
      <c r="D453" s="4">
        <v>4</v>
      </c>
      <c r="E453" s="24" t="s">
        <v>27</v>
      </c>
      <c r="F453" s="5" t="s">
        <v>11</v>
      </c>
      <c r="G453" s="5" t="s">
        <v>11</v>
      </c>
      <c r="H453" s="5" t="s">
        <v>14</v>
      </c>
      <c r="I453" s="5" t="s">
        <v>16</v>
      </c>
      <c r="J453" s="5" t="s">
        <v>54</v>
      </c>
      <c r="K453" s="6">
        <v>5</v>
      </c>
      <c r="L453" s="15">
        <v>55</v>
      </c>
      <c r="M453" s="15">
        <f t="shared" ca="1" si="44"/>
        <v>8</v>
      </c>
      <c r="N453" s="16">
        <f t="shared" ca="1" si="49"/>
        <v>47</v>
      </c>
      <c r="O453" s="18">
        <f t="shared" ca="1" si="48"/>
        <v>0.8545454545454545</v>
      </c>
      <c r="P453" s="19">
        <f t="shared" si="50"/>
        <v>11</v>
      </c>
      <c r="Q453" s="16" t="str">
        <f>IF(COUNTIF($B$2:B453,B453)=1,SUMIF($B$2:$B$1097,B453,$L$2:$L$1097),"")</f>
        <v/>
      </c>
    </row>
    <row r="454" spans="1:18" ht="12.75" x14ac:dyDescent="0.2">
      <c r="A454" s="3">
        <v>453</v>
      </c>
      <c r="B454" s="26">
        <v>45076</v>
      </c>
      <c r="C454" s="23" t="s">
        <v>28</v>
      </c>
      <c r="D454" s="4">
        <v>4</v>
      </c>
      <c r="E454" s="24" t="s">
        <v>27</v>
      </c>
      <c r="F454" s="5" t="s">
        <v>11</v>
      </c>
      <c r="G454" s="5" t="s">
        <v>11</v>
      </c>
      <c r="H454" s="5" t="s">
        <v>14</v>
      </c>
      <c r="I454" s="5" t="s">
        <v>17</v>
      </c>
      <c r="J454" s="5" t="s">
        <v>54</v>
      </c>
      <c r="K454" s="6">
        <v>11</v>
      </c>
      <c r="L454" s="15">
        <v>121</v>
      </c>
      <c r="M454" s="15">
        <f t="shared" ca="1" si="44"/>
        <v>30</v>
      </c>
      <c r="N454" s="16">
        <f t="shared" ca="1" si="49"/>
        <v>91</v>
      </c>
      <c r="O454" s="18">
        <f t="shared" ca="1" si="48"/>
        <v>0.75206611570247939</v>
      </c>
      <c r="P454" s="19">
        <f t="shared" si="50"/>
        <v>11</v>
      </c>
      <c r="Q454" s="16" t="str">
        <f>IF(COUNTIF($B$2:B454,B454)=1,SUMIF($B$2:$B$1097,B454,$L$2:$L$1097),"")</f>
        <v/>
      </c>
    </row>
    <row r="455" spans="1:18" ht="12.75" x14ac:dyDescent="0.2">
      <c r="A455" s="3">
        <v>454</v>
      </c>
      <c r="B455" s="26">
        <v>45077</v>
      </c>
      <c r="C455" s="23" t="s">
        <v>28</v>
      </c>
      <c r="D455" s="4">
        <v>5</v>
      </c>
      <c r="E455" s="24" t="s">
        <v>27</v>
      </c>
      <c r="F455" s="5" t="s">
        <v>11</v>
      </c>
      <c r="G455" s="5" t="s">
        <v>11</v>
      </c>
      <c r="H455" s="5" t="s">
        <v>14</v>
      </c>
      <c r="I455" s="5" t="s">
        <v>13</v>
      </c>
      <c r="J455" s="5" t="s">
        <v>56</v>
      </c>
      <c r="K455" s="6">
        <v>17</v>
      </c>
      <c r="L455" s="15">
        <v>187</v>
      </c>
      <c r="M455" s="15">
        <f t="shared" ca="1" si="44"/>
        <v>4</v>
      </c>
      <c r="N455" s="16">
        <f t="shared" ca="1" si="49"/>
        <v>183</v>
      </c>
      <c r="O455" s="18">
        <f t="shared" ca="1" si="48"/>
        <v>0.97860962566844922</v>
      </c>
      <c r="P455" s="19">
        <f t="shared" si="50"/>
        <v>11</v>
      </c>
      <c r="Q455" s="16">
        <f>IF(COUNTIF($B$2:B455,B455)=1,SUMIF($B$2:$B$1097,B455,$L$2:$L$1097),"")</f>
        <v>473</v>
      </c>
      <c r="R455" s="16">
        <f>AVERAGE(Q435:Q455)</f>
        <v>474.83333333333331</v>
      </c>
    </row>
    <row r="456" spans="1:18" ht="12.75" x14ac:dyDescent="0.2">
      <c r="A456" s="3">
        <v>455</v>
      </c>
      <c r="B456" s="26">
        <v>45077</v>
      </c>
      <c r="C456" s="23" t="s">
        <v>28</v>
      </c>
      <c r="D456" s="4">
        <v>5</v>
      </c>
      <c r="E456" s="24" t="s">
        <v>27</v>
      </c>
      <c r="F456" s="5" t="s">
        <v>11</v>
      </c>
      <c r="G456" s="5" t="s">
        <v>11</v>
      </c>
      <c r="H456" s="5" t="s">
        <v>14</v>
      </c>
      <c r="I456" s="5" t="s">
        <v>15</v>
      </c>
      <c r="J456" s="5" t="s">
        <v>56</v>
      </c>
      <c r="K456" s="6">
        <v>9</v>
      </c>
      <c r="L456" s="15">
        <v>99</v>
      </c>
      <c r="M456" s="15">
        <f t="shared" ca="1" si="44"/>
        <v>46</v>
      </c>
      <c r="N456" s="16">
        <f t="shared" ca="1" si="49"/>
        <v>53</v>
      </c>
      <c r="O456" s="18">
        <f t="shared" ca="1" si="48"/>
        <v>0.53535353535353536</v>
      </c>
      <c r="P456" s="19">
        <f t="shared" si="50"/>
        <v>11</v>
      </c>
      <c r="Q456" s="16" t="str">
        <f>IF(COUNTIF($B$2:B456,B456)=1,SUMIF($B$2:$B$1097,B456,$L$2:$L$1097),"")</f>
        <v/>
      </c>
    </row>
    <row r="457" spans="1:18" ht="12.75" x14ac:dyDescent="0.2">
      <c r="A457" s="3">
        <v>456</v>
      </c>
      <c r="B457" s="26">
        <v>45077</v>
      </c>
      <c r="C457" s="23" t="s">
        <v>28</v>
      </c>
      <c r="D457" s="4">
        <v>5</v>
      </c>
      <c r="E457" s="24" t="s">
        <v>27</v>
      </c>
      <c r="F457" s="5" t="s">
        <v>11</v>
      </c>
      <c r="G457" s="5" t="s">
        <v>11</v>
      </c>
      <c r="H457" s="5" t="s">
        <v>14</v>
      </c>
      <c r="I457" s="5" t="s">
        <v>16</v>
      </c>
      <c r="J457" s="5" t="s">
        <v>55</v>
      </c>
      <c r="K457" s="6">
        <v>5</v>
      </c>
      <c r="L457" s="15">
        <v>55</v>
      </c>
      <c r="M457" s="15">
        <f t="shared" ref="M457:M520" ca="1" si="51">RANDBETWEEN(1,50)</f>
        <v>30</v>
      </c>
      <c r="N457" s="16">
        <f t="shared" ca="1" si="49"/>
        <v>25</v>
      </c>
      <c r="O457" s="18">
        <f t="shared" ca="1" si="48"/>
        <v>0.45454545454545453</v>
      </c>
      <c r="P457" s="19">
        <f t="shared" si="50"/>
        <v>11</v>
      </c>
      <c r="Q457" s="16" t="str">
        <f>IF(COUNTIF($B$2:B457,B457)=1,SUMIF($B$2:$B$1097,B457,$L$2:$L$1097),"")</f>
        <v/>
      </c>
    </row>
    <row r="458" spans="1:18" ht="12.75" x14ac:dyDescent="0.2">
      <c r="A458" s="3">
        <v>457</v>
      </c>
      <c r="B458" s="26">
        <v>45077</v>
      </c>
      <c r="C458" s="23" t="s">
        <v>28</v>
      </c>
      <c r="D458" s="4">
        <v>5</v>
      </c>
      <c r="E458" s="24" t="s">
        <v>27</v>
      </c>
      <c r="F458" s="5" t="s">
        <v>11</v>
      </c>
      <c r="G458" s="5" t="s">
        <v>11</v>
      </c>
      <c r="H458" s="5" t="s">
        <v>14</v>
      </c>
      <c r="I458" s="5" t="s">
        <v>17</v>
      </c>
      <c r="J458" s="5" t="s">
        <v>53</v>
      </c>
      <c r="K458" s="6">
        <v>12</v>
      </c>
      <c r="L458" s="15">
        <v>132</v>
      </c>
      <c r="M458" s="15">
        <f t="shared" ca="1" si="51"/>
        <v>14</v>
      </c>
      <c r="N458" s="16">
        <f t="shared" ca="1" si="49"/>
        <v>118</v>
      </c>
      <c r="O458" s="18">
        <f t="shared" ca="1" si="48"/>
        <v>0.89393939393939392</v>
      </c>
      <c r="P458" s="19">
        <f t="shared" si="50"/>
        <v>11</v>
      </c>
      <c r="Q458" s="16" t="str">
        <f>IF(COUNTIF($B$2:B458,B458)=1,SUMIF($B$2:$B$1097,B458,$L$2:$L$1097),"")</f>
        <v/>
      </c>
    </row>
    <row r="459" spans="1:18" ht="12.75" x14ac:dyDescent="0.2">
      <c r="A459" s="3">
        <v>458</v>
      </c>
      <c r="B459" s="26">
        <v>45078</v>
      </c>
      <c r="C459" s="23" t="s">
        <v>30</v>
      </c>
      <c r="D459" s="4">
        <v>6</v>
      </c>
      <c r="E459" s="24" t="s">
        <v>27</v>
      </c>
      <c r="F459" s="5" t="s">
        <v>11</v>
      </c>
      <c r="G459" s="5" t="s">
        <v>11</v>
      </c>
      <c r="H459" s="5" t="s">
        <v>14</v>
      </c>
      <c r="I459" s="5" t="s">
        <v>13</v>
      </c>
      <c r="J459" s="5" t="s">
        <v>52</v>
      </c>
      <c r="K459" s="6">
        <v>21</v>
      </c>
      <c r="L459" s="15">
        <v>231</v>
      </c>
      <c r="M459" s="15">
        <f t="shared" ca="1" si="51"/>
        <v>31</v>
      </c>
      <c r="N459" s="16">
        <f t="shared" ca="1" si="49"/>
        <v>200</v>
      </c>
      <c r="O459" s="18">
        <f t="shared" ca="1" si="48"/>
        <v>0.86580086580086579</v>
      </c>
      <c r="P459" s="19">
        <f t="shared" si="50"/>
        <v>11</v>
      </c>
      <c r="Q459" s="16">
        <f>IF(COUNTIF($B$2:B459,B459)=1,SUMIF($B$2:$B$1097,B459,$L$2:$L$1097),"")</f>
        <v>627</v>
      </c>
      <c r="R459" s="16">
        <f>AVERAGE(Q439:Q459)</f>
        <v>478.5</v>
      </c>
    </row>
    <row r="460" spans="1:18" ht="12.75" x14ac:dyDescent="0.2">
      <c r="A460" s="3">
        <v>459</v>
      </c>
      <c r="B460" s="26">
        <v>45078</v>
      </c>
      <c r="C460" s="23" t="s">
        <v>30</v>
      </c>
      <c r="D460" s="4">
        <v>6</v>
      </c>
      <c r="E460" s="24" t="s">
        <v>27</v>
      </c>
      <c r="F460" s="5" t="s">
        <v>11</v>
      </c>
      <c r="G460" s="5" t="s">
        <v>11</v>
      </c>
      <c r="H460" s="5" t="s">
        <v>14</v>
      </c>
      <c r="I460" s="5" t="s">
        <v>15</v>
      </c>
      <c r="J460" s="5" t="s">
        <v>55</v>
      </c>
      <c r="K460" s="6">
        <v>10</v>
      </c>
      <c r="L460" s="15">
        <v>110</v>
      </c>
      <c r="M460" s="15">
        <f t="shared" ca="1" si="51"/>
        <v>50</v>
      </c>
      <c r="N460" s="16">
        <f t="shared" ca="1" si="49"/>
        <v>60</v>
      </c>
      <c r="O460" s="18">
        <f t="shared" ca="1" si="48"/>
        <v>0.54545454545454541</v>
      </c>
      <c r="P460" s="19">
        <f t="shared" si="50"/>
        <v>11</v>
      </c>
      <c r="Q460" s="16" t="str">
        <f>IF(COUNTIF($B$2:B460,B460)=1,SUMIF($B$2:$B$1097,B460,$L$2:$L$1097),"")</f>
        <v/>
      </c>
    </row>
    <row r="461" spans="1:18" ht="12.75" x14ac:dyDescent="0.2">
      <c r="A461" s="3">
        <v>460</v>
      </c>
      <c r="B461" s="26">
        <v>45078</v>
      </c>
      <c r="C461" s="23" t="s">
        <v>30</v>
      </c>
      <c r="D461" s="4">
        <v>6</v>
      </c>
      <c r="E461" s="24" t="s">
        <v>27</v>
      </c>
      <c r="F461" s="5" t="s">
        <v>11</v>
      </c>
      <c r="G461" s="5" t="s">
        <v>11</v>
      </c>
      <c r="H461" s="5" t="s">
        <v>14</v>
      </c>
      <c r="I461" s="5" t="s">
        <v>16</v>
      </c>
      <c r="J461" s="5" t="s">
        <v>55</v>
      </c>
      <c r="K461" s="6">
        <v>9</v>
      </c>
      <c r="L461" s="15">
        <v>99</v>
      </c>
      <c r="M461" s="15">
        <f t="shared" ca="1" si="51"/>
        <v>26</v>
      </c>
      <c r="N461" s="16">
        <f t="shared" ca="1" si="49"/>
        <v>73</v>
      </c>
      <c r="O461" s="18">
        <f t="shared" ca="1" si="48"/>
        <v>0.73737373737373735</v>
      </c>
      <c r="P461" s="19">
        <f t="shared" si="50"/>
        <v>11</v>
      </c>
      <c r="Q461" s="16" t="str">
        <f>IF(COUNTIF($B$2:B461,B461)=1,SUMIF($B$2:$B$1097,B461,$L$2:$L$1097),"")</f>
        <v/>
      </c>
    </row>
    <row r="462" spans="1:18" ht="12.75" x14ac:dyDescent="0.2">
      <c r="A462" s="3">
        <v>461</v>
      </c>
      <c r="B462" s="26">
        <v>45078</v>
      </c>
      <c r="C462" s="23" t="s">
        <v>30</v>
      </c>
      <c r="D462" s="4">
        <v>6</v>
      </c>
      <c r="E462" s="24" t="s">
        <v>27</v>
      </c>
      <c r="F462" s="5" t="s">
        <v>11</v>
      </c>
      <c r="G462" s="5" t="s">
        <v>11</v>
      </c>
      <c r="H462" s="5" t="s">
        <v>14</v>
      </c>
      <c r="I462" s="5" t="s">
        <v>17</v>
      </c>
      <c r="J462" s="5" t="s">
        <v>53</v>
      </c>
      <c r="K462" s="6">
        <v>17</v>
      </c>
      <c r="L462" s="15">
        <v>187</v>
      </c>
      <c r="M462" s="15">
        <f t="shared" ca="1" si="51"/>
        <v>49</v>
      </c>
      <c r="N462" s="16">
        <f t="shared" ca="1" si="49"/>
        <v>138</v>
      </c>
      <c r="O462" s="18">
        <f t="shared" ca="1" si="48"/>
        <v>0.73796791443850263</v>
      </c>
      <c r="P462" s="19">
        <f t="shared" si="50"/>
        <v>11</v>
      </c>
      <c r="Q462" s="16" t="str">
        <f>IF(COUNTIF($B$2:B462,B462)=1,SUMIF($B$2:$B$1097,B462,$L$2:$L$1097),"")</f>
        <v/>
      </c>
    </row>
    <row r="463" spans="1:18" ht="12.75" x14ac:dyDescent="0.2">
      <c r="A463" s="3">
        <v>462</v>
      </c>
      <c r="B463" s="26">
        <v>45079</v>
      </c>
      <c r="C463" s="23" t="s">
        <v>30</v>
      </c>
      <c r="D463" s="4">
        <v>7</v>
      </c>
      <c r="E463" s="24" t="s">
        <v>27</v>
      </c>
      <c r="F463" s="5" t="s">
        <v>11</v>
      </c>
      <c r="G463" s="5" t="s">
        <v>11</v>
      </c>
      <c r="H463" s="5" t="s">
        <v>14</v>
      </c>
      <c r="I463" s="5" t="s">
        <v>13</v>
      </c>
      <c r="J463" s="5" t="s">
        <v>56</v>
      </c>
      <c r="K463" s="6">
        <v>17</v>
      </c>
      <c r="L463" s="15">
        <v>187</v>
      </c>
      <c r="M463" s="15">
        <f t="shared" ca="1" si="51"/>
        <v>18</v>
      </c>
      <c r="N463" s="16">
        <f t="shared" ca="1" si="49"/>
        <v>169</v>
      </c>
      <c r="O463" s="18">
        <f t="shared" ca="1" si="48"/>
        <v>0.90374331550802134</v>
      </c>
      <c r="P463" s="19">
        <f t="shared" si="50"/>
        <v>11</v>
      </c>
      <c r="Q463" s="16">
        <f>IF(COUNTIF($B$2:B463,B463)=1,SUMIF($B$2:$B$1097,B463,$L$2:$L$1097),"")</f>
        <v>187</v>
      </c>
      <c r="R463" s="16">
        <f t="shared" ref="R463:R464" si="52">AVERAGE(Q443:Q463)</f>
        <v>467.5</v>
      </c>
    </row>
    <row r="464" spans="1:18" ht="12.75" x14ac:dyDescent="0.2">
      <c r="A464" s="3">
        <v>463</v>
      </c>
      <c r="B464" s="26">
        <v>45081</v>
      </c>
      <c r="C464" s="23" t="s">
        <v>30</v>
      </c>
      <c r="D464" s="4">
        <v>2</v>
      </c>
      <c r="E464" s="24" t="s">
        <v>27</v>
      </c>
      <c r="F464" s="5" t="s">
        <v>11</v>
      </c>
      <c r="G464" s="5" t="s">
        <v>11</v>
      </c>
      <c r="H464" s="5" t="s">
        <v>14</v>
      </c>
      <c r="I464" s="5" t="s">
        <v>13</v>
      </c>
      <c r="J464" s="5" t="s">
        <v>52</v>
      </c>
      <c r="K464" s="6">
        <v>18</v>
      </c>
      <c r="L464" s="15">
        <v>198</v>
      </c>
      <c r="M464" s="15">
        <f t="shared" ca="1" si="51"/>
        <v>39</v>
      </c>
      <c r="N464" s="16">
        <f t="shared" ca="1" si="49"/>
        <v>159</v>
      </c>
      <c r="O464" s="18">
        <f t="shared" ca="1" si="48"/>
        <v>0.80303030303030298</v>
      </c>
      <c r="P464" s="19">
        <f t="shared" si="50"/>
        <v>11</v>
      </c>
      <c r="Q464" s="16">
        <f>IF(COUNTIF($B$2:B464,B464)=1,SUMIF($B$2:$B$1097,B464,$L$2:$L$1097),"")</f>
        <v>561</v>
      </c>
      <c r="R464" s="16">
        <f t="shared" si="52"/>
        <v>460.16666666666669</v>
      </c>
    </row>
    <row r="465" spans="1:18" ht="12.75" x14ac:dyDescent="0.2">
      <c r="A465" s="3">
        <v>464</v>
      </c>
      <c r="B465" s="26">
        <v>45081</v>
      </c>
      <c r="C465" s="23" t="s">
        <v>30</v>
      </c>
      <c r="D465" s="4">
        <v>2</v>
      </c>
      <c r="E465" s="24" t="s">
        <v>27</v>
      </c>
      <c r="F465" s="5" t="s">
        <v>11</v>
      </c>
      <c r="G465" s="5" t="s">
        <v>11</v>
      </c>
      <c r="H465" s="5" t="s">
        <v>14</v>
      </c>
      <c r="I465" s="5" t="s">
        <v>15</v>
      </c>
      <c r="J465" s="5" t="s">
        <v>54</v>
      </c>
      <c r="K465" s="6">
        <v>10</v>
      </c>
      <c r="L465" s="15">
        <v>110</v>
      </c>
      <c r="M465" s="15">
        <f t="shared" ca="1" si="51"/>
        <v>26</v>
      </c>
      <c r="N465" s="16">
        <f t="shared" ca="1" si="49"/>
        <v>84</v>
      </c>
      <c r="O465" s="18">
        <f t="shared" ca="1" si="48"/>
        <v>0.76363636363636367</v>
      </c>
      <c r="P465" s="19">
        <f t="shared" si="50"/>
        <v>11</v>
      </c>
      <c r="Q465" s="16" t="str">
        <f>IF(COUNTIF($B$2:B465,B465)=1,SUMIF($B$2:$B$1097,B465,$L$2:$L$1097),"")</f>
        <v/>
      </c>
    </row>
    <row r="466" spans="1:18" ht="12.75" x14ac:dyDescent="0.2">
      <c r="A466" s="3">
        <v>465</v>
      </c>
      <c r="B466" s="26">
        <v>45081</v>
      </c>
      <c r="C466" s="23" t="s">
        <v>30</v>
      </c>
      <c r="D466" s="4">
        <v>2</v>
      </c>
      <c r="E466" s="24" t="s">
        <v>27</v>
      </c>
      <c r="F466" s="5" t="s">
        <v>11</v>
      </c>
      <c r="G466" s="5" t="s">
        <v>11</v>
      </c>
      <c r="H466" s="5" t="s">
        <v>14</v>
      </c>
      <c r="I466" s="5" t="s">
        <v>16</v>
      </c>
      <c r="J466" s="5" t="s">
        <v>54</v>
      </c>
      <c r="K466" s="6">
        <v>8</v>
      </c>
      <c r="L466" s="15">
        <v>88</v>
      </c>
      <c r="M466" s="15">
        <f t="shared" ca="1" si="51"/>
        <v>35</v>
      </c>
      <c r="N466" s="16">
        <f t="shared" ca="1" si="49"/>
        <v>53</v>
      </c>
      <c r="O466" s="18">
        <f t="shared" ca="1" si="48"/>
        <v>0.60227272727272729</v>
      </c>
      <c r="P466" s="19">
        <f t="shared" si="50"/>
        <v>11</v>
      </c>
      <c r="Q466" s="16" t="str">
        <f>IF(COUNTIF($B$2:B466,B466)=1,SUMIF($B$2:$B$1097,B466,$L$2:$L$1097),"")</f>
        <v/>
      </c>
    </row>
    <row r="467" spans="1:18" ht="12.75" x14ac:dyDescent="0.2">
      <c r="A467" s="3">
        <v>466</v>
      </c>
      <c r="B467" s="26">
        <v>45081</v>
      </c>
      <c r="C467" s="23" t="s">
        <v>30</v>
      </c>
      <c r="D467" s="4">
        <v>2</v>
      </c>
      <c r="E467" s="24" t="s">
        <v>27</v>
      </c>
      <c r="F467" s="5" t="s">
        <v>11</v>
      </c>
      <c r="G467" s="5" t="s">
        <v>11</v>
      </c>
      <c r="H467" s="5" t="s">
        <v>14</v>
      </c>
      <c r="I467" s="5" t="s">
        <v>17</v>
      </c>
      <c r="J467" s="5" t="s">
        <v>54</v>
      </c>
      <c r="K467" s="6">
        <v>15</v>
      </c>
      <c r="L467" s="15">
        <v>165</v>
      </c>
      <c r="M467" s="15">
        <f t="shared" ca="1" si="51"/>
        <v>32</v>
      </c>
      <c r="N467" s="16">
        <f t="shared" ca="1" si="49"/>
        <v>133</v>
      </c>
      <c r="O467" s="18">
        <f t="shared" ca="1" si="48"/>
        <v>0.80606060606060603</v>
      </c>
      <c r="P467" s="19">
        <f t="shared" si="50"/>
        <v>11</v>
      </c>
      <c r="Q467" s="16" t="str">
        <f>IF(COUNTIF($B$2:B467,B467)=1,SUMIF($B$2:$B$1097,B467,$L$2:$L$1097),"")</f>
        <v/>
      </c>
    </row>
    <row r="468" spans="1:18" ht="12.75" x14ac:dyDescent="0.2">
      <c r="A468" s="3">
        <v>467</v>
      </c>
      <c r="B468" s="26">
        <v>45082</v>
      </c>
      <c r="C468" s="23" t="s">
        <v>30</v>
      </c>
      <c r="D468" s="4">
        <v>3</v>
      </c>
      <c r="E468" s="24" t="s">
        <v>27</v>
      </c>
      <c r="F468" s="5" t="s">
        <v>11</v>
      </c>
      <c r="G468" s="5" t="s">
        <v>11</v>
      </c>
      <c r="H468" s="5" t="s">
        <v>14</v>
      </c>
      <c r="I468" s="5" t="s">
        <v>13</v>
      </c>
      <c r="J468" s="5" t="s">
        <v>56</v>
      </c>
      <c r="K468" s="6">
        <v>16</v>
      </c>
      <c r="L468" s="15">
        <v>176</v>
      </c>
      <c r="M468" s="15">
        <f t="shared" ca="1" si="51"/>
        <v>32</v>
      </c>
      <c r="N468" s="16">
        <f t="shared" ca="1" si="49"/>
        <v>144</v>
      </c>
      <c r="O468" s="18">
        <f t="shared" ca="1" si="48"/>
        <v>0.81818181818181823</v>
      </c>
      <c r="P468" s="19">
        <f t="shared" si="50"/>
        <v>11</v>
      </c>
      <c r="Q468" s="16">
        <f>IF(COUNTIF($B$2:B468,B468)=1,SUMIF($B$2:$B$1097,B468,$L$2:$L$1097),"")</f>
        <v>495</v>
      </c>
      <c r="R468" s="16">
        <f>AVERAGE(Q448:Q468)</f>
        <v>454.66666666666669</v>
      </c>
    </row>
    <row r="469" spans="1:18" ht="12.75" x14ac:dyDescent="0.2">
      <c r="A469" s="3">
        <v>468</v>
      </c>
      <c r="B469" s="26">
        <v>45082</v>
      </c>
      <c r="C469" s="23" t="s">
        <v>30</v>
      </c>
      <c r="D469" s="4">
        <v>3</v>
      </c>
      <c r="E469" s="24" t="s">
        <v>27</v>
      </c>
      <c r="F469" s="5" t="s">
        <v>11</v>
      </c>
      <c r="G469" s="5" t="s">
        <v>11</v>
      </c>
      <c r="H469" s="5" t="s">
        <v>14</v>
      </c>
      <c r="I469" s="5" t="s">
        <v>15</v>
      </c>
      <c r="J469" s="5" t="s">
        <v>56</v>
      </c>
      <c r="K469" s="6">
        <v>9</v>
      </c>
      <c r="L469" s="15">
        <v>99</v>
      </c>
      <c r="M469" s="15">
        <f t="shared" ca="1" si="51"/>
        <v>47</v>
      </c>
      <c r="N469" s="16">
        <f t="shared" ca="1" si="49"/>
        <v>52</v>
      </c>
      <c r="O469" s="18">
        <f t="shared" ca="1" si="48"/>
        <v>0.5252525252525253</v>
      </c>
      <c r="P469" s="19">
        <f t="shared" si="50"/>
        <v>11</v>
      </c>
      <c r="Q469" s="16" t="str">
        <f>IF(COUNTIF($B$2:B469,B469)=1,SUMIF($B$2:$B$1097,B469,$L$2:$L$1097),"")</f>
        <v/>
      </c>
    </row>
    <row r="470" spans="1:18" ht="12.75" x14ac:dyDescent="0.2">
      <c r="A470" s="3">
        <v>469</v>
      </c>
      <c r="B470" s="26">
        <v>45082</v>
      </c>
      <c r="C470" s="23" t="s">
        <v>30</v>
      </c>
      <c r="D470" s="4">
        <v>3</v>
      </c>
      <c r="E470" s="24" t="s">
        <v>27</v>
      </c>
      <c r="F470" s="5" t="s">
        <v>11</v>
      </c>
      <c r="G470" s="5" t="s">
        <v>11</v>
      </c>
      <c r="H470" s="5" t="s">
        <v>14</v>
      </c>
      <c r="I470" s="5" t="s">
        <v>16</v>
      </c>
      <c r="J470" s="5" t="s">
        <v>55</v>
      </c>
      <c r="K470" s="6">
        <v>5</v>
      </c>
      <c r="L470" s="15">
        <v>55</v>
      </c>
      <c r="M470" s="15">
        <f t="shared" ca="1" si="51"/>
        <v>39</v>
      </c>
      <c r="N470" s="16">
        <f t="shared" ca="1" si="49"/>
        <v>16</v>
      </c>
      <c r="O470" s="18">
        <f t="shared" ca="1" si="48"/>
        <v>0.29090909090909089</v>
      </c>
      <c r="P470" s="19">
        <f t="shared" si="50"/>
        <v>11</v>
      </c>
      <c r="Q470" s="16" t="str">
        <f>IF(COUNTIF($B$2:B470,B470)=1,SUMIF($B$2:$B$1097,B470,$L$2:$L$1097),"")</f>
        <v/>
      </c>
    </row>
    <row r="471" spans="1:18" ht="12.75" x14ac:dyDescent="0.2">
      <c r="A471" s="3">
        <v>470</v>
      </c>
      <c r="B471" s="26">
        <v>45082</v>
      </c>
      <c r="C471" s="23" t="s">
        <v>30</v>
      </c>
      <c r="D471" s="4">
        <v>3</v>
      </c>
      <c r="E471" s="24" t="s">
        <v>27</v>
      </c>
      <c r="F471" s="5" t="s">
        <v>11</v>
      </c>
      <c r="G471" s="5" t="s">
        <v>11</v>
      </c>
      <c r="H471" s="5" t="s">
        <v>14</v>
      </c>
      <c r="I471" s="5" t="s">
        <v>17</v>
      </c>
      <c r="J471" s="5" t="s">
        <v>53</v>
      </c>
      <c r="K471" s="6">
        <v>15</v>
      </c>
      <c r="L471" s="15">
        <v>165</v>
      </c>
      <c r="M471" s="15">
        <f t="shared" ca="1" si="51"/>
        <v>5</v>
      </c>
      <c r="N471" s="16">
        <f t="shared" ca="1" si="49"/>
        <v>160</v>
      </c>
      <c r="O471" s="18">
        <f t="shared" ca="1" si="48"/>
        <v>0.96969696969696972</v>
      </c>
      <c r="P471" s="19">
        <f t="shared" si="50"/>
        <v>11</v>
      </c>
      <c r="Q471" s="16" t="str">
        <f>IF(COUNTIF($B$2:B471,B471)=1,SUMIF($B$2:$B$1097,B471,$L$2:$L$1097),"")</f>
        <v/>
      </c>
    </row>
    <row r="472" spans="1:18" ht="12.75" x14ac:dyDescent="0.2">
      <c r="A472" s="3">
        <v>471</v>
      </c>
      <c r="B472" s="26">
        <v>45083</v>
      </c>
      <c r="C472" s="23" t="s">
        <v>30</v>
      </c>
      <c r="D472" s="4">
        <v>4</v>
      </c>
      <c r="E472" s="24" t="s">
        <v>27</v>
      </c>
      <c r="F472" s="5" t="s">
        <v>11</v>
      </c>
      <c r="G472" s="5" t="s">
        <v>11</v>
      </c>
      <c r="H472" s="5" t="s">
        <v>14</v>
      </c>
      <c r="I472" s="5" t="s">
        <v>13</v>
      </c>
      <c r="J472" s="5" t="s">
        <v>52</v>
      </c>
      <c r="K472" s="6">
        <v>17</v>
      </c>
      <c r="L472" s="15">
        <v>187</v>
      </c>
      <c r="M472" s="15">
        <f t="shared" ca="1" si="51"/>
        <v>36</v>
      </c>
      <c r="N472" s="16">
        <f t="shared" ca="1" si="49"/>
        <v>151</v>
      </c>
      <c r="O472" s="18">
        <f t="shared" ca="1" si="48"/>
        <v>0.80748663101604279</v>
      </c>
      <c r="P472" s="19">
        <f t="shared" si="50"/>
        <v>11</v>
      </c>
      <c r="Q472" s="16">
        <f>IF(COUNTIF($B$2:B472,B472)=1,SUMIF($B$2:$B$1097,B472,$L$2:$L$1097),"")</f>
        <v>396</v>
      </c>
      <c r="R472" s="16">
        <f>AVERAGE(Q452:Q472)</f>
        <v>456.5</v>
      </c>
    </row>
    <row r="473" spans="1:18" ht="12.75" x14ac:dyDescent="0.2">
      <c r="A473" s="3">
        <v>472</v>
      </c>
      <c r="B473" s="26">
        <v>45083</v>
      </c>
      <c r="C473" s="23" t="s">
        <v>30</v>
      </c>
      <c r="D473" s="4">
        <v>4</v>
      </c>
      <c r="E473" s="24" t="s">
        <v>27</v>
      </c>
      <c r="F473" s="5" t="s">
        <v>11</v>
      </c>
      <c r="G473" s="5" t="s">
        <v>11</v>
      </c>
      <c r="H473" s="5" t="s">
        <v>14</v>
      </c>
      <c r="I473" s="5" t="s">
        <v>15</v>
      </c>
      <c r="J473" s="5" t="s">
        <v>54</v>
      </c>
      <c r="K473" s="6">
        <v>5</v>
      </c>
      <c r="L473" s="15">
        <v>55</v>
      </c>
      <c r="M473" s="15">
        <f t="shared" ca="1" si="51"/>
        <v>29</v>
      </c>
      <c r="N473" s="16">
        <f t="shared" ca="1" si="49"/>
        <v>26</v>
      </c>
      <c r="O473" s="18">
        <f t="shared" ca="1" si="48"/>
        <v>0.47272727272727272</v>
      </c>
      <c r="P473" s="19">
        <f t="shared" si="50"/>
        <v>11</v>
      </c>
      <c r="Q473" s="16" t="str">
        <f>IF(COUNTIF($B$2:B473,B473)=1,SUMIF($B$2:$B$1097,B473,$L$2:$L$1097),"")</f>
        <v/>
      </c>
    </row>
    <row r="474" spans="1:18" ht="12.75" x14ac:dyDescent="0.2">
      <c r="A474" s="3">
        <v>473</v>
      </c>
      <c r="B474" s="26">
        <v>45083</v>
      </c>
      <c r="C474" s="23" t="s">
        <v>30</v>
      </c>
      <c r="D474" s="4">
        <v>4</v>
      </c>
      <c r="E474" s="24" t="s">
        <v>27</v>
      </c>
      <c r="F474" s="5" t="s">
        <v>11</v>
      </c>
      <c r="G474" s="5" t="s">
        <v>11</v>
      </c>
      <c r="H474" s="5" t="s">
        <v>14</v>
      </c>
      <c r="I474" s="5" t="s">
        <v>16</v>
      </c>
      <c r="J474" s="5" t="s">
        <v>54</v>
      </c>
      <c r="K474" s="6">
        <v>5</v>
      </c>
      <c r="L474" s="15">
        <v>55</v>
      </c>
      <c r="M474" s="15">
        <f t="shared" ca="1" si="51"/>
        <v>3</v>
      </c>
      <c r="N474" s="16">
        <f t="shared" ca="1" si="49"/>
        <v>52</v>
      </c>
      <c r="O474" s="18">
        <f t="shared" ca="1" si="48"/>
        <v>0.94545454545454544</v>
      </c>
      <c r="P474" s="19">
        <f t="shared" si="50"/>
        <v>11</v>
      </c>
      <c r="Q474" s="16" t="str">
        <f>IF(COUNTIF($B$2:B474,B474)=1,SUMIF($B$2:$B$1097,B474,$L$2:$L$1097),"")</f>
        <v/>
      </c>
    </row>
    <row r="475" spans="1:18" ht="12.75" x14ac:dyDescent="0.2">
      <c r="A475" s="3">
        <v>474</v>
      </c>
      <c r="B475" s="26">
        <v>45083</v>
      </c>
      <c r="C475" s="23" t="s">
        <v>30</v>
      </c>
      <c r="D475" s="4">
        <v>4</v>
      </c>
      <c r="E475" s="24" t="s">
        <v>27</v>
      </c>
      <c r="F475" s="5" t="s">
        <v>11</v>
      </c>
      <c r="G475" s="5" t="s">
        <v>11</v>
      </c>
      <c r="H475" s="5" t="s">
        <v>14</v>
      </c>
      <c r="I475" s="5" t="s">
        <v>17</v>
      </c>
      <c r="J475" s="5" t="s">
        <v>54</v>
      </c>
      <c r="K475" s="6">
        <v>9</v>
      </c>
      <c r="L475" s="15">
        <v>99</v>
      </c>
      <c r="M475" s="15">
        <f t="shared" ca="1" si="51"/>
        <v>2</v>
      </c>
      <c r="N475" s="16">
        <f t="shared" ca="1" si="49"/>
        <v>97</v>
      </c>
      <c r="O475" s="18">
        <f t="shared" ca="1" si="48"/>
        <v>0.97979797979797978</v>
      </c>
      <c r="P475" s="19">
        <f t="shared" si="50"/>
        <v>11</v>
      </c>
      <c r="Q475" s="16" t="str">
        <f>IF(COUNTIF($B$2:B475,B475)=1,SUMIF($B$2:$B$1097,B475,$L$2:$L$1097),"")</f>
        <v/>
      </c>
    </row>
    <row r="476" spans="1:18" ht="12.75" x14ac:dyDescent="0.2">
      <c r="A476" s="3">
        <v>475</v>
      </c>
      <c r="B476" s="26">
        <v>45084</v>
      </c>
      <c r="C476" s="23" t="s">
        <v>30</v>
      </c>
      <c r="D476" s="4">
        <v>5</v>
      </c>
      <c r="E476" s="24" t="s">
        <v>27</v>
      </c>
      <c r="F476" s="5" t="s">
        <v>11</v>
      </c>
      <c r="G476" s="5" t="s">
        <v>11</v>
      </c>
      <c r="H476" s="5" t="s">
        <v>14</v>
      </c>
      <c r="I476" s="5" t="s">
        <v>13</v>
      </c>
      <c r="J476" s="5" t="s">
        <v>56</v>
      </c>
      <c r="K476" s="6">
        <v>15</v>
      </c>
      <c r="L476" s="15">
        <v>165</v>
      </c>
      <c r="M476" s="15">
        <f t="shared" ca="1" si="51"/>
        <v>27</v>
      </c>
      <c r="N476" s="16">
        <f t="shared" ca="1" si="49"/>
        <v>138</v>
      </c>
      <c r="O476" s="18">
        <f t="shared" ca="1" si="48"/>
        <v>0.83636363636363631</v>
      </c>
      <c r="P476" s="19">
        <f t="shared" si="50"/>
        <v>11</v>
      </c>
      <c r="Q476" s="16">
        <f>IF(COUNTIF($B$2:B476,B476)=1,SUMIF($B$2:$B$1097,B476,$L$2:$L$1097),"")</f>
        <v>506</v>
      </c>
      <c r="R476" s="16">
        <f>AVERAGE(Q456:Q476)</f>
        <v>462</v>
      </c>
    </row>
    <row r="477" spans="1:18" ht="12.75" x14ac:dyDescent="0.2">
      <c r="A477" s="3">
        <v>476</v>
      </c>
      <c r="B477" s="26">
        <v>45084</v>
      </c>
      <c r="C477" s="23" t="s">
        <v>30</v>
      </c>
      <c r="D477" s="4">
        <v>5</v>
      </c>
      <c r="E477" s="24" t="s">
        <v>27</v>
      </c>
      <c r="F477" s="5" t="s">
        <v>11</v>
      </c>
      <c r="G477" s="5" t="s">
        <v>11</v>
      </c>
      <c r="H477" s="5" t="s">
        <v>14</v>
      </c>
      <c r="I477" s="5" t="s">
        <v>15</v>
      </c>
      <c r="J477" s="5" t="s">
        <v>56</v>
      </c>
      <c r="K477" s="6">
        <v>12</v>
      </c>
      <c r="L477" s="15">
        <v>132</v>
      </c>
      <c r="M477" s="15">
        <f t="shared" ca="1" si="51"/>
        <v>8</v>
      </c>
      <c r="N477" s="16">
        <f t="shared" ca="1" si="49"/>
        <v>124</v>
      </c>
      <c r="O477" s="18">
        <f t="shared" ca="1" si="48"/>
        <v>0.93939393939393945</v>
      </c>
      <c r="P477" s="19">
        <f t="shared" si="50"/>
        <v>11</v>
      </c>
      <c r="Q477" s="16" t="str">
        <f>IF(COUNTIF($B$2:B477,B477)=1,SUMIF($B$2:$B$1097,B477,$L$2:$L$1097),"")</f>
        <v/>
      </c>
    </row>
    <row r="478" spans="1:18" ht="12.75" x14ac:dyDescent="0.2">
      <c r="A478" s="3">
        <v>477</v>
      </c>
      <c r="B478" s="26">
        <v>45084</v>
      </c>
      <c r="C478" s="23" t="s">
        <v>30</v>
      </c>
      <c r="D478" s="4">
        <v>5</v>
      </c>
      <c r="E478" s="24" t="s">
        <v>27</v>
      </c>
      <c r="F478" s="5" t="s">
        <v>11</v>
      </c>
      <c r="G478" s="5" t="s">
        <v>11</v>
      </c>
      <c r="H478" s="5" t="s">
        <v>14</v>
      </c>
      <c r="I478" s="5" t="s">
        <v>16</v>
      </c>
      <c r="J478" s="5" t="s">
        <v>55</v>
      </c>
      <c r="K478" s="6">
        <v>5</v>
      </c>
      <c r="L478" s="15">
        <v>55</v>
      </c>
      <c r="M478" s="15">
        <f t="shared" ca="1" si="51"/>
        <v>3</v>
      </c>
      <c r="N478" s="16">
        <f t="shared" ca="1" si="49"/>
        <v>52</v>
      </c>
      <c r="O478" s="18">
        <f t="shared" ca="1" si="48"/>
        <v>0.94545454545454544</v>
      </c>
      <c r="P478" s="19">
        <f t="shared" si="50"/>
        <v>11</v>
      </c>
      <c r="Q478" s="16" t="str">
        <f>IF(COUNTIF($B$2:B478,B478)=1,SUMIF($B$2:$B$1097,B478,$L$2:$L$1097),"")</f>
        <v/>
      </c>
    </row>
    <row r="479" spans="1:18" ht="12.75" x14ac:dyDescent="0.2">
      <c r="A479" s="3">
        <v>478</v>
      </c>
      <c r="B479" s="26">
        <v>45084</v>
      </c>
      <c r="C479" s="23" t="s">
        <v>30</v>
      </c>
      <c r="D479" s="4">
        <v>5</v>
      </c>
      <c r="E479" s="24" t="s">
        <v>27</v>
      </c>
      <c r="F479" s="5" t="s">
        <v>11</v>
      </c>
      <c r="G479" s="5" t="s">
        <v>11</v>
      </c>
      <c r="H479" s="5" t="s">
        <v>14</v>
      </c>
      <c r="I479" s="5" t="s">
        <v>17</v>
      </c>
      <c r="J479" s="5" t="s">
        <v>53</v>
      </c>
      <c r="K479" s="6">
        <v>14</v>
      </c>
      <c r="L479" s="15">
        <v>154</v>
      </c>
      <c r="M479" s="15">
        <f t="shared" ca="1" si="51"/>
        <v>29</v>
      </c>
      <c r="N479" s="16">
        <f t="shared" ca="1" si="49"/>
        <v>125</v>
      </c>
      <c r="O479" s="18">
        <f t="shared" ca="1" si="48"/>
        <v>0.81168831168831168</v>
      </c>
      <c r="P479" s="19">
        <f t="shared" si="50"/>
        <v>11</v>
      </c>
      <c r="Q479" s="16" t="str">
        <f>IF(COUNTIF($B$2:B479,B479)=1,SUMIF($B$2:$B$1097,B479,$L$2:$L$1097),"")</f>
        <v/>
      </c>
    </row>
    <row r="480" spans="1:18" ht="12.75" x14ac:dyDescent="0.2">
      <c r="A480" s="3">
        <v>479</v>
      </c>
      <c r="B480" s="26">
        <v>45085</v>
      </c>
      <c r="C480" s="23" t="s">
        <v>30</v>
      </c>
      <c r="D480" s="4">
        <v>6</v>
      </c>
      <c r="E480" s="24" t="s">
        <v>27</v>
      </c>
      <c r="F480" s="5" t="s">
        <v>11</v>
      </c>
      <c r="G480" s="5" t="s">
        <v>11</v>
      </c>
      <c r="H480" s="5" t="s">
        <v>14</v>
      </c>
      <c r="I480" s="5" t="s">
        <v>13</v>
      </c>
      <c r="J480" s="5" t="s">
        <v>52</v>
      </c>
      <c r="K480" s="6">
        <v>20</v>
      </c>
      <c r="L480" s="15">
        <v>220</v>
      </c>
      <c r="M480" s="15">
        <f t="shared" ca="1" si="51"/>
        <v>10</v>
      </c>
      <c r="N480" s="16">
        <f t="shared" ca="1" si="49"/>
        <v>210</v>
      </c>
      <c r="O480" s="18">
        <f t="shared" ca="1" si="48"/>
        <v>0.95454545454545459</v>
      </c>
      <c r="P480" s="19">
        <f t="shared" si="50"/>
        <v>11</v>
      </c>
      <c r="Q480" s="16">
        <f>IF(COUNTIF($B$2:B480,B480)=1,SUMIF($B$2:$B$1097,B480,$L$2:$L$1097),"")</f>
        <v>616</v>
      </c>
      <c r="R480" s="16">
        <f>AVERAGE(Q460:Q480)</f>
        <v>460.16666666666669</v>
      </c>
    </row>
    <row r="481" spans="1:18" ht="12.75" x14ac:dyDescent="0.2">
      <c r="A481" s="3">
        <v>480</v>
      </c>
      <c r="B481" s="26">
        <v>45085</v>
      </c>
      <c r="C481" s="23" t="s">
        <v>30</v>
      </c>
      <c r="D481" s="4">
        <v>6</v>
      </c>
      <c r="E481" s="24" t="s">
        <v>27</v>
      </c>
      <c r="F481" s="5" t="s">
        <v>11</v>
      </c>
      <c r="G481" s="5" t="s">
        <v>11</v>
      </c>
      <c r="H481" s="5" t="s">
        <v>14</v>
      </c>
      <c r="I481" s="5" t="s">
        <v>15</v>
      </c>
      <c r="J481" s="5" t="s">
        <v>55</v>
      </c>
      <c r="K481" s="6">
        <v>12</v>
      </c>
      <c r="L481" s="15">
        <v>132</v>
      </c>
      <c r="M481" s="15">
        <f t="shared" ca="1" si="51"/>
        <v>22</v>
      </c>
      <c r="N481" s="16">
        <f t="shared" ca="1" si="49"/>
        <v>110</v>
      </c>
      <c r="O481" s="18">
        <f t="shared" ca="1" si="48"/>
        <v>0.83333333333333337</v>
      </c>
      <c r="P481" s="19">
        <f t="shared" si="50"/>
        <v>11</v>
      </c>
      <c r="Q481" s="16" t="str">
        <f>IF(COUNTIF($B$2:B481,B481)=1,SUMIF($B$2:$B$1097,B481,$L$2:$L$1097),"")</f>
        <v/>
      </c>
    </row>
    <row r="482" spans="1:18" ht="12.75" x14ac:dyDescent="0.2">
      <c r="A482" s="3">
        <v>481</v>
      </c>
      <c r="B482" s="26">
        <v>45085</v>
      </c>
      <c r="C482" s="23" t="s">
        <v>30</v>
      </c>
      <c r="D482" s="4">
        <v>6</v>
      </c>
      <c r="E482" s="24" t="s">
        <v>27</v>
      </c>
      <c r="F482" s="5" t="s">
        <v>11</v>
      </c>
      <c r="G482" s="5" t="s">
        <v>11</v>
      </c>
      <c r="H482" s="5" t="s">
        <v>14</v>
      </c>
      <c r="I482" s="5" t="s">
        <v>16</v>
      </c>
      <c r="J482" s="5" t="s">
        <v>55</v>
      </c>
      <c r="K482" s="6">
        <v>9</v>
      </c>
      <c r="L482" s="15">
        <v>99</v>
      </c>
      <c r="M482" s="15">
        <f t="shared" ca="1" si="51"/>
        <v>17</v>
      </c>
      <c r="N482" s="16">
        <f t="shared" ca="1" si="49"/>
        <v>82</v>
      </c>
      <c r="O482" s="18">
        <f t="shared" ca="1" si="48"/>
        <v>0.82828282828282829</v>
      </c>
      <c r="P482" s="19">
        <f t="shared" si="50"/>
        <v>11</v>
      </c>
      <c r="Q482" s="16" t="str">
        <f>IF(COUNTIF($B$2:B482,B482)=1,SUMIF($B$2:$B$1097,B482,$L$2:$L$1097),"")</f>
        <v/>
      </c>
    </row>
    <row r="483" spans="1:18" ht="12.75" x14ac:dyDescent="0.2">
      <c r="A483" s="3">
        <v>482</v>
      </c>
      <c r="B483" s="26">
        <v>45085</v>
      </c>
      <c r="C483" s="23" t="s">
        <v>30</v>
      </c>
      <c r="D483" s="4">
        <v>6</v>
      </c>
      <c r="E483" s="24" t="s">
        <v>27</v>
      </c>
      <c r="F483" s="5" t="s">
        <v>11</v>
      </c>
      <c r="G483" s="5" t="s">
        <v>11</v>
      </c>
      <c r="H483" s="5" t="s">
        <v>14</v>
      </c>
      <c r="I483" s="5" t="s">
        <v>17</v>
      </c>
      <c r="J483" s="5" t="s">
        <v>53</v>
      </c>
      <c r="K483" s="6">
        <v>15</v>
      </c>
      <c r="L483" s="15">
        <v>165</v>
      </c>
      <c r="M483" s="15">
        <f t="shared" ca="1" si="51"/>
        <v>17</v>
      </c>
      <c r="N483" s="16">
        <f t="shared" ca="1" si="49"/>
        <v>148</v>
      </c>
      <c r="O483" s="18">
        <f t="shared" ca="1" si="48"/>
        <v>0.89696969696969697</v>
      </c>
      <c r="P483" s="19">
        <f t="shared" si="50"/>
        <v>11</v>
      </c>
      <c r="Q483" s="16" t="str">
        <f>IF(COUNTIF($B$2:B483,B483)=1,SUMIF($B$2:$B$1097,B483,$L$2:$L$1097),"")</f>
        <v/>
      </c>
    </row>
    <row r="484" spans="1:18" ht="12.75" x14ac:dyDescent="0.2">
      <c r="A484" s="3">
        <v>483</v>
      </c>
      <c r="B484" s="26">
        <v>45086</v>
      </c>
      <c r="C484" s="23" t="s">
        <v>30</v>
      </c>
      <c r="D484" s="4">
        <v>7</v>
      </c>
      <c r="E484" s="24" t="s">
        <v>27</v>
      </c>
      <c r="F484" s="5" t="s">
        <v>11</v>
      </c>
      <c r="G484" s="5" t="s">
        <v>11</v>
      </c>
      <c r="H484" s="5" t="s">
        <v>14</v>
      </c>
      <c r="I484" s="5" t="s">
        <v>13</v>
      </c>
      <c r="J484" s="5" t="s">
        <v>56</v>
      </c>
      <c r="K484" s="6">
        <v>22</v>
      </c>
      <c r="L484" s="15">
        <v>242</v>
      </c>
      <c r="M484" s="15">
        <f t="shared" ca="1" si="51"/>
        <v>31</v>
      </c>
      <c r="N484" s="16">
        <f t="shared" ca="1" si="49"/>
        <v>211</v>
      </c>
      <c r="O484" s="18">
        <f t="shared" ca="1" si="48"/>
        <v>0.87190082644628097</v>
      </c>
      <c r="P484" s="19">
        <f t="shared" si="50"/>
        <v>11</v>
      </c>
      <c r="Q484" s="16">
        <f>IF(COUNTIF($B$2:B484,B484)=1,SUMIF($B$2:$B$1097,B484,$L$2:$L$1097),"")</f>
        <v>242</v>
      </c>
      <c r="R484" s="16">
        <f t="shared" ref="R484:R485" si="53">AVERAGE(Q464:Q484)</f>
        <v>469.33333333333331</v>
      </c>
    </row>
    <row r="485" spans="1:18" ht="12.75" x14ac:dyDescent="0.2">
      <c r="A485" s="3">
        <v>484</v>
      </c>
      <c r="B485" s="26">
        <v>45088</v>
      </c>
      <c r="C485" s="23" t="s">
        <v>30</v>
      </c>
      <c r="D485" s="4">
        <v>2</v>
      </c>
      <c r="E485" s="24" t="s">
        <v>27</v>
      </c>
      <c r="F485" s="5" t="s">
        <v>11</v>
      </c>
      <c r="G485" s="5" t="s">
        <v>11</v>
      </c>
      <c r="H485" s="5" t="s">
        <v>14</v>
      </c>
      <c r="I485" s="5" t="s">
        <v>13</v>
      </c>
      <c r="J485" s="5" t="s">
        <v>52</v>
      </c>
      <c r="K485" s="6">
        <v>21</v>
      </c>
      <c r="L485" s="15">
        <v>231</v>
      </c>
      <c r="M485" s="15">
        <f t="shared" ca="1" si="51"/>
        <v>12</v>
      </c>
      <c r="N485" s="16">
        <f t="shared" ca="1" si="49"/>
        <v>219</v>
      </c>
      <c r="O485" s="18">
        <f t="shared" ca="1" si="48"/>
        <v>0.94805194805194803</v>
      </c>
      <c r="P485" s="19">
        <f t="shared" si="50"/>
        <v>11</v>
      </c>
      <c r="Q485" s="16">
        <f>IF(COUNTIF($B$2:B485,B485)=1,SUMIF($B$2:$B$1097,B485,$L$2:$L$1097),"")</f>
        <v>627</v>
      </c>
      <c r="R485" s="16">
        <f t="shared" si="53"/>
        <v>480.33333333333331</v>
      </c>
    </row>
    <row r="486" spans="1:18" ht="12.75" x14ac:dyDescent="0.2">
      <c r="A486" s="3">
        <v>485</v>
      </c>
      <c r="B486" s="26">
        <v>45088</v>
      </c>
      <c r="C486" s="23" t="s">
        <v>30</v>
      </c>
      <c r="D486" s="4">
        <v>2</v>
      </c>
      <c r="E486" s="24" t="s">
        <v>27</v>
      </c>
      <c r="F486" s="5" t="s">
        <v>11</v>
      </c>
      <c r="G486" s="5" t="s">
        <v>11</v>
      </c>
      <c r="H486" s="5" t="s">
        <v>14</v>
      </c>
      <c r="I486" s="5" t="s">
        <v>15</v>
      </c>
      <c r="J486" s="5" t="s">
        <v>54</v>
      </c>
      <c r="K486" s="6">
        <v>12</v>
      </c>
      <c r="L486" s="15">
        <v>132</v>
      </c>
      <c r="M486" s="15">
        <f t="shared" ca="1" si="51"/>
        <v>41</v>
      </c>
      <c r="N486" s="16">
        <f t="shared" ca="1" si="49"/>
        <v>91</v>
      </c>
      <c r="O486" s="18">
        <f t="shared" ca="1" si="48"/>
        <v>0.68939393939393945</v>
      </c>
      <c r="P486" s="19">
        <f t="shared" si="50"/>
        <v>11</v>
      </c>
      <c r="Q486" s="16" t="str">
        <f>IF(COUNTIF($B$2:B486,B486)=1,SUMIF($B$2:$B$1097,B486,$L$2:$L$1097),"")</f>
        <v/>
      </c>
    </row>
    <row r="487" spans="1:18" ht="12.75" x14ac:dyDescent="0.2">
      <c r="A487" s="3">
        <v>486</v>
      </c>
      <c r="B487" s="26">
        <v>45088</v>
      </c>
      <c r="C487" s="23" t="s">
        <v>30</v>
      </c>
      <c r="D487" s="4">
        <v>2</v>
      </c>
      <c r="E487" s="24" t="s">
        <v>27</v>
      </c>
      <c r="F487" s="5" t="s">
        <v>11</v>
      </c>
      <c r="G487" s="5" t="s">
        <v>11</v>
      </c>
      <c r="H487" s="5" t="s">
        <v>14</v>
      </c>
      <c r="I487" s="5" t="s">
        <v>16</v>
      </c>
      <c r="J487" s="5" t="s">
        <v>54</v>
      </c>
      <c r="K487" s="6">
        <v>9</v>
      </c>
      <c r="L487" s="15">
        <v>99</v>
      </c>
      <c r="M487" s="15">
        <f t="shared" ca="1" si="51"/>
        <v>47</v>
      </c>
      <c r="N487" s="16">
        <f t="shared" ca="1" si="49"/>
        <v>52</v>
      </c>
      <c r="O487" s="18">
        <f t="shared" ca="1" si="48"/>
        <v>0.5252525252525253</v>
      </c>
      <c r="P487" s="19">
        <f t="shared" si="50"/>
        <v>11</v>
      </c>
      <c r="Q487" s="16" t="str">
        <f>IF(COUNTIF($B$2:B487,B487)=1,SUMIF($B$2:$B$1097,B487,$L$2:$L$1097),"")</f>
        <v/>
      </c>
    </row>
    <row r="488" spans="1:18" ht="12.75" x14ac:dyDescent="0.2">
      <c r="A488" s="3">
        <v>487</v>
      </c>
      <c r="B488" s="26">
        <v>45088</v>
      </c>
      <c r="C488" s="23" t="s">
        <v>30</v>
      </c>
      <c r="D488" s="4">
        <v>2</v>
      </c>
      <c r="E488" s="24" t="s">
        <v>27</v>
      </c>
      <c r="F488" s="5" t="s">
        <v>11</v>
      </c>
      <c r="G488" s="5" t="s">
        <v>11</v>
      </c>
      <c r="H488" s="5" t="s">
        <v>14</v>
      </c>
      <c r="I488" s="5" t="s">
        <v>17</v>
      </c>
      <c r="J488" s="5" t="s">
        <v>54</v>
      </c>
      <c r="K488" s="6">
        <v>15</v>
      </c>
      <c r="L488" s="15">
        <v>165</v>
      </c>
      <c r="M488" s="15">
        <f t="shared" ca="1" si="51"/>
        <v>49</v>
      </c>
      <c r="N488" s="16">
        <f t="shared" ca="1" si="49"/>
        <v>116</v>
      </c>
      <c r="O488" s="18">
        <f t="shared" ca="1" si="48"/>
        <v>0.70303030303030301</v>
      </c>
      <c r="P488" s="19">
        <f t="shared" si="50"/>
        <v>11</v>
      </c>
      <c r="Q488" s="16" t="str">
        <f>IF(COUNTIF($B$2:B488,B488)=1,SUMIF($B$2:$B$1097,B488,$L$2:$L$1097),"")</f>
        <v/>
      </c>
    </row>
    <row r="489" spans="1:18" ht="12.75" x14ac:dyDescent="0.2">
      <c r="A489" s="3">
        <v>488</v>
      </c>
      <c r="B489" s="26">
        <v>45089</v>
      </c>
      <c r="C489" s="23" t="s">
        <v>30</v>
      </c>
      <c r="D489" s="4">
        <v>3</v>
      </c>
      <c r="E489" s="24" t="s">
        <v>27</v>
      </c>
      <c r="F489" s="5" t="s">
        <v>11</v>
      </c>
      <c r="G489" s="5" t="s">
        <v>11</v>
      </c>
      <c r="H489" s="5" t="s">
        <v>14</v>
      </c>
      <c r="I489" s="5" t="s">
        <v>13</v>
      </c>
      <c r="J489" s="5" t="s">
        <v>56</v>
      </c>
      <c r="K489" s="6">
        <v>17</v>
      </c>
      <c r="L489" s="15">
        <v>187</v>
      </c>
      <c r="M489" s="15">
        <f t="shared" ca="1" si="51"/>
        <v>12</v>
      </c>
      <c r="N489" s="16">
        <f t="shared" ca="1" si="49"/>
        <v>175</v>
      </c>
      <c r="O489" s="18">
        <f t="shared" ca="1" si="48"/>
        <v>0.93582887700534756</v>
      </c>
      <c r="P489" s="19">
        <f t="shared" si="50"/>
        <v>11</v>
      </c>
      <c r="Q489" s="16">
        <f>IF(COUNTIF($B$2:B489,B489)=1,SUMIF($B$2:$B$1097,B489,$L$2:$L$1097),"")</f>
        <v>462</v>
      </c>
      <c r="R489" s="16">
        <f>AVERAGE(Q469:Q489)</f>
        <v>474.83333333333331</v>
      </c>
    </row>
    <row r="490" spans="1:18" ht="12.75" x14ac:dyDescent="0.2">
      <c r="A490" s="3">
        <v>489</v>
      </c>
      <c r="B490" s="26">
        <v>45089</v>
      </c>
      <c r="C490" s="23" t="s">
        <v>30</v>
      </c>
      <c r="D490" s="4">
        <v>3</v>
      </c>
      <c r="E490" s="24" t="s">
        <v>27</v>
      </c>
      <c r="F490" s="5" t="s">
        <v>11</v>
      </c>
      <c r="G490" s="5" t="s">
        <v>11</v>
      </c>
      <c r="H490" s="5" t="s">
        <v>14</v>
      </c>
      <c r="I490" s="5" t="s">
        <v>15</v>
      </c>
      <c r="J490" s="5" t="s">
        <v>56</v>
      </c>
      <c r="K490" s="6">
        <v>9</v>
      </c>
      <c r="L490" s="15">
        <v>99</v>
      </c>
      <c r="M490" s="15">
        <f t="shared" ca="1" si="51"/>
        <v>9</v>
      </c>
      <c r="N490" s="16">
        <f t="shared" ca="1" si="49"/>
        <v>90</v>
      </c>
      <c r="O490" s="18">
        <f t="shared" ca="1" si="48"/>
        <v>0.90909090909090906</v>
      </c>
      <c r="P490" s="19">
        <f t="shared" si="50"/>
        <v>11</v>
      </c>
      <c r="Q490" s="16" t="str">
        <f>IF(COUNTIF($B$2:B490,B490)=1,SUMIF($B$2:$B$1097,B490,$L$2:$L$1097),"")</f>
        <v/>
      </c>
    </row>
    <row r="491" spans="1:18" ht="12.75" x14ac:dyDescent="0.2">
      <c r="A491" s="3">
        <v>490</v>
      </c>
      <c r="B491" s="26">
        <v>45089</v>
      </c>
      <c r="C491" s="23" t="s">
        <v>30</v>
      </c>
      <c r="D491" s="4">
        <v>3</v>
      </c>
      <c r="E491" s="24" t="s">
        <v>27</v>
      </c>
      <c r="F491" s="5" t="s">
        <v>11</v>
      </c>
      <c r="G491" s="5" t="s">
        <v>11</v>
      </c>
      <c r="H491" s="5" t="s">
        <v>14</v>
      </c>
      <c r="I491" s="5" t="s">
        <v>16</v>
      </c>
      <c r="J491" s="5" t="s">
        <v>55</v>
      </c>
      <c r="K491" s="6">
        <v>5</v>
      </c>
      <c r="L491" s="15">
        <v>55</v>
      </c>
      <c r="M491" s="15">
        <f t="shared" ca="1" si="51"/>
        <v>30</v>
      </c>
      <c r="N491" s="16">
        <f t="shared" ca="1" si="49"/>
        <v>25</v>
      </c>
      <c r="O491" s="18">
        <f t="shared" ca="1" si="48"/>
        <v>0.45454545454545453</v>
      </c>
      <c r="P491" s="19">
        <f t="shared" si="50"/>
        <v>11</v>
      </c>
      <c r="Q491" s="16" t="str">
        <f>IF(COUNTIF($B$2:B491,B491)=1,SUMIF($B$2:$B$1097,B491,$L$2:$L$1097),"")</f>
        <v/>
      </c>
    </row>
    <row r="492" spans="1:18" ht="12.75" x14ac:dyDescent="0.2">
      <c r="A492" s="3">
        <v>491</v>
      </c>
      <c r="B492" s="26">
        <v>45089</v>
      </c>
      <c r="C492" s="23" t="s">
        <v>30</v>
      </c>
      <c r="D492" s="4">
        <v>3</v>
      </c>
      <c r="E492" s="24" t="s">
        <v>27</v>
      </c>
      <c r="F492" s="5" t="s">
        <v>11</v>
      </c>
      <c r="G492" s="5" t="s">
        <v>11</v>
      </c>
      <c r="H492" s="5" t="s">
        <v>14</v>
      </c>
      <c r="I492" s="5" t="s">
        <v>17</v>
      </c>
      <c r="J492" s="5" t="s">
        <v>53</v>
      </c>
      <c r="K492" s="6">
        <v>11</v>
      </c>
      <c r="L492" s="15">
        <v>121</v>
      </c>
      <c r="M492" s="15">
        <f t="shared" ca="1" si="51"/>
        <v>26</v>
      </c>
      <c r="N492" s="16">
        <f t="shared" ca="1" si="49"/>
        <v>95</v>
      </c>
      <c r="O492" s="18">
        <f t="shared" ca="1" si="48"/>
        <v>0.78512396694214881</v>
      </c>
      <c r="P492" s="19">
        <f t="shared" si="50"/>
        <v>11</v>
      </c>
      <c r="Q492" s="16" t="str">
        <f>IF(COUNTIF($B$2:B492,B492)=1,SUMIF($B$2:$B$1097,B492,$L$2:$L$1097),"")</f>
        <v/>
      </c>
    </row>
    <row r="493" spans="1:18" ht="12.75" x14ac:dyDescent="0.2">
      <c r="A493" s="3">
        <v>492</v>
      </c>
      <c r="B493" s="26">
        <v>45090</v>
      </c>
      <c r="C493" s="23" t="s">
        <v>30</v>
      </c>
      <c r="D493" s="4">
        <v>4</v>
      </c>
      <c r="E493" s="24" t="s">
        <v>27</v>
      </c>
      <c r="F493" s="5" t="s">
        <v>11</v>
      </c>
      <c r="G493" s="5" t="s">
        <v>11</v>
      </c>
      <c r="H493" s="5" t="s">
        <v>14</v>
      </c>
      <c r="I493" s="5" t="s">
        <v>13</v>
      </c>
      <c r="J493" s="5" t="s">
        <v>52</v>
      </c>
      <c r="K493" s="6">
        <v>16</v>
      </c>
      <c r="L493" s="15">
        <v>176</v>
      </c>
      <c r="M493" s="15">
        <f t="shared" ca="1" si="51"/>
        <v>10</v>
      </c>
      <c r="N493" s="16">
        <f t="shared" ca="1" si="49"/>
        <v>166</v>
      </c>
      <c r="O493" s="18">
        <f t="shared" ca="1" si="48"/>
        <v>0.94318181818181823</v>
      </c>
      <c r="P493" s="19">
        <f t="shared" si="50"/>
        <v>11</v>
      </c>
      <c r="Q493" s="16">
        <f>IF(COUNTIF($B$2:B493,B493)=1,SUMIF($B$2:$B$1097,B493,$L$2:$L$1097),"")</f>
        <v>429</v>
      </c>
      <c r="R493" s="16">
        <f>AVERAGE(Q473:Q493)</f>
        <v>480.33333333333331</v>
      </c>
    </row>
    <row r="494" spans="1:18" ht="12.75" x14ac:dyDescent="0.2">
      <c r="A494" s="3">
        <v>493</v>
      </c>
      <c r="B494" s="26">
        <v>45090</v>
      </c>
      <c r="C494" s="23" t="s">
        <v>30</v>
      </c>
      <c r="D494" s="4">
        <v>4</v>
      </c>
      <c r="E494" s="24" t="s">
        <v>27</v>
      </c>
      <c r="F494" s="5" t="s">
        <v>11</v>
      </c>
      <c r="G494" s="5" t="s">
        <v>11</v>
      </c>
      <c r="H494" s="5" t="s">
        <v>14</v>
      </c>
      <c r="I494" s="5" t="s">
        <v>15</v>
      </c>
      <c r="J494" s="5" t="s">
        <v>54</v>
      </c>
      <c r="K494" s="6">
        <v>6</v>
      </c>
      <c r="L494" s="15">
        <v>66</v>
      </c>
      <c r="M494" s="15">
        <f t="shared" ca="1" si="51"/>
        <v>42</v>
      </c>
      <c r="N494" s="16">
        <f t="shared" ca="1" si="49"/>
        <v>24</v>
      </c>
      <c r="O494" s="18">
        <f t="shared" ca="1" si="48"/>
        <v>0.36363636363636365</v>
      </c>
      <c r="P494" s="19">
        <f t="shared" si="50"/>
        <v>11</v>
      </c>
      <c r="Q494" s="16" t="str">
        <f>IF(COUNTIF($B$2:B494,B494)=1,SUMIF($B$2:$B$1097,B494,$L$2:$L$1097),"")</f>
        <v/>
      </c>
    </row>
    <row r="495" spans="1:18" ht="12.75" x14ac:dyDescent="0.2">
      <c r="A495" s="3">
        <v>494</v>
      </c>
      <c r="B495" s="26">
        <v>45090</v>
      </c>
      <c r="C495" s="23" t="s">
        <v>30</v>
      </c>
      <c r="D495" s="4">
        <v>4</v>
      </c>
      <c r="E495" s="24" t="s">
        <v>27</v>
      </c>
      <c r="F495" s="5" t="s">
        <v>11</v>
      </c>
      <c r="G495" s="5" t="s">
        <v>11</v>
      </c>
      <c r="H495" s="5" t="s">
        <v>14</v>
      </c>
      <c r="I495" s="5" t="s">
        <v>16</v>
      </c>
      <c r="J495" s="5" t="s">
        <v>54</v>
      </c>
      <c r="K495" s="6">
        <v>5</v>
      </c>
      <c r="L495" s="15">
        <v>55</v>
      </c>
      <c r="M495" s="15">
        <f t="shared" ca="1" si="51"/>
        <v>36</v>
      </c>
      <c r="N495" s="16">
        <f t="shared" ca="1" si="49"/>
        <v>19</v>
      </c>
      <c r="O495" s="18">
        <f t="shared" ca="1" si="48"/>
        <v>0.34545454545454546</v>
      </c>
      <c r="P495" s="19">
        <f t="shared" si="50"/>
        <v>11</v>
      </c>
      <c r="Q495" s="16" t="str">
        <f>IF(COUNTIF($B$2:B495,B495)=1,SUMIF($B$2:$B$1097,B495,$L$2:$L$1097),"")</f>
        <v/>
      </c>
    </row>
    <row r="496" spans="1:18" ht="12.75" x14ac:dyDescent="0.2">
      <c r="A496" s="3">
        <v>495</v>
      </c>
      <c r="B496" s="26">
        <v>45090</v>
      </c>
      <c r="C496" s="23" t="s">
        <v>30</v>
      </c>
      <c r="D496" s="4">
        <v>4</v>
      </c>
      <c r="E496" s="24" t="s">
        <v>27</v>
      </c>
      <c r="F496" s="5" t="s">
        <v>11</v>
      </c>
      <c r="G496" s="5" t="s">
        <v>11</v>
      </c>
      <c r="H496" s="5" t="s">
        <v>14</v>
      </c>
      <c r="I496" s="5" t="s">
        <v>17</v>
      </c>
      <c r="J496" s="5" t="s">
        <v>54</v>
      </c>
      <c r="K496" s="6">
        <v>12</v>
      </c>
      <c r="L496" s="15">
        <v>132</v>
      </c>
      <c r="M496" s="15">
        <f t="shared" ca="1" si="51"/>
        <v>40</v>
      </c>
      <c r="N496" s="16">
        <f t="shared" ca="1" si="49"/>
        <v>92</v>
      </c>
      <c r="O496" s="18">
        <f t="shared" ca="1" si="48"/>
        <v>0.69696969696969702</v>
      </c>
      <c r="P496" s="19">
        <f t="shared" si="50"/>
        <v>11</v>
      </c>
      <c r="Q496" s="16" t="str">
        <f>IF(COUNTIF($B$2:B496,B496)=1,SUMIF($B$2:$B$1097,B496,$L$2:$L$1097),"")</f>
        <v/>
      </c>
    </row>
    <row r="497" spans="1:18" ht="12.75" x14ac:dyDescent="0.2">
      <c r="A497" s="3">
        <v>496</v>
      </c>
      <c r="B497" s="26">
        <v>45091</v>
      </c>
      <c r="C497" s="23" t="s">
        <v>30</v>
      </c>
      <c r="D497" s="4">
        <v>5</v>
      </c>
      <c r="E497" s="24" t="s">
        <v>27</v>
      </c>
      <c r="F497" s="5" t="s">
        <v>11</v>
      </c>
      <c r="G497" s="5" t="s">
        <v>11</v>
      </c>
      <c r="H497" s="5" t="s">
        <v>14</v>
      </c>
      <c r="I497" s="5" t="s">
        <v>13</v>
      </c>
      <c r="J497" s="5" t="s">
        <v>56</v>
      </c>
      <c r="K497" s="6">
        <v>14</v>
      </c>
      <c r="L497" s="15">
        <v>154</v>
      </c>
      <c r="M497" s="15">
        <f t="shared" ca="1" si="51"/>
        <v>14</v>
      </c>
      <c r="N497" s="16">
        <f t="shared" ca="1" si="49"/>
        <v>140</v>
      </c>
      <c r="O497" s="18">
        <f t="shared" ca="1" si="48"/>
        <v>0.90909090909090906</v>
      </c>
      <c r="P497" s="19">
        <f t="shared" si="50"/>
        <v>11</v>
      </c>
      <c r="Q497" s="16">
        <f>IF(COUNTIF($B$2:B497,B497)=1,SUMIF($B$2:$B$1097,B497,$L$2:$L$1097),"")</f>
        <v>473</v>
      </c>
      <c r="R497" s="16">
        <f>AVERAGE(Q477:Q497)</f>
        <v>474.83333333333331</v>
      </c>
    </row>
    <row r="498" spans="1:18" ht="12.75" x14ac:dyDescent="0.2">
      <c r="A498" s="3">
        <v>497</v>
      </c>
      <c r="B498" s="26">
        <v>45091</v>
      </c>
      <c r="C498" s="23" t="s">
        <v>30</v>
      </c>
      <c r="D498" s="4">
        <v>5</v>
      </c>
      <c r="E498" s="24" t="s">
        <v>27</v>
      </c>
      <c r="F498" s="5" t="s">
        <v>11</v>
      </c>
      <c r="G498" s="5" t="s">
        <v>11</v>
      </c>
      <c r="H498" s="5" t="s">
        <v>14</v>
      </c>
      <c r="I498" s="5" t="s">
        <v>15</v>
      </c>
      <c r="J498" s="5" t="s">
        <v>56</v>
      </c>
      <c r="K498" s="6">
        <v>11</v>
      </c>
      <c r="L498" s="15">
        <v>121</v>
      </c>
      <c r="M498" s="15">
        <f t="shared" ca="1" si="51"/>
        <v>32</v>
      </c>
      <c r="N498" s="16">
        <f t="shared" ca="1" si="49"/>
        <v>89</v>
      </c>
      <c r="O498" s="18">
        <f t="shared" ca="1" si="48"/>
        <v>0.73553719008264462</v>
      </c>
      <c r="P498" s="19">
        <f t="shared" si="50"/>
        <v>11</v>
      </c>
      <c r="Q498" s="16" t="str">
        <f>IF(COUNTIF($B$2:B498,B498)=1,SUMIF($B$2:$B$1097,B498,$L$2:$L$1097),"")</f>
        <v/>
      </c>
    </row>
    <row r="499" spans="1:18" ht="12.75" x14ac:dyDescent="0.2">
      <c r="A499" s="3">
        <v>498</v>
      </c>
      <c r="B499" s="26">
        <v>45091</v>
      </c>
      <c r="C499" s="23" t="s">
        <v>30</v>
      </c>
      <c r="D499" s="4">
        <v>5</v>
      </c>
      <c r="E499" s="24" t="s">
        <v>27</v>
      </c>
      <c r="F499" s="5" t="s">
        <v>11</v>
      </c>
      <c r="G499" s="5" t="s">
        <v>11</v>
      </c>
      <c r="H499" s="5" t="s">
        <v>14</v>
      </c>
      <c r="I499" s="5" t="s">
        <v>16</v>
      </c>
      <c r="J499" s="5" t="s">
        <v>55</v>
      </c>
      <c r="K499" s="6">
        <v>5</v>
      </c>
      <c r="L499" s="15">
        <v>55</v>
      </c>
      <c r="M499" s="15">
        <f t="shared" ca="1" si="51"/>
        <v>48</v>
      </c>
      <c r="N499" s="16">
        <f t="shared" ca="1" si="49"/>
        <v>7</v>
      </c>
      <c r="O499" s="18">
        <f t="shared" ca="1" si="48"/>
        <v>0.12727272727272726</v>
      </c>
      <c r="P499" s="19">
        <f t="shared" si="50"/>
        <v>11</v>
      </c>
      <c r="Q499" s="16" t="str">
        <f>IF(COUNTIF($B$2:B499,B499)=1,SUMIF($B$2:$B$1097,B499,$L$2:$L$1097),"")</f>
        <v/>
      </c>
    </row>
    <row r="500" spans="1:18" ht="12.75" x14ac:dyDescent="0.2">
      <c r="A500" s="3">
        <v>499</v>
      </c>
      <c r="B500" s="26">
        <v>45091</v>
      </c>
      <c r="C500" s="23" t="s">
        <v>30</v>
      </c>
      <c r="D500" s="4">
        <v>5</v>
      </c>
      <c r="E500" s="24" t="s">
        <v>27</v>
      </c>
      <c r="F500" s="5" t="s">
        <v>11</v>
      </c>
      <c r="G500" s="5" t="s">
        <v>11</v>
      </c>
      <c r="H500" s="5" t="s">
        <v>14</v>
      </c>
      <c r="I500" s="5" t="s">
        <v>17</v>
      </c>
      <c r="J500" s="5" t="s">
        <v>53</v>
      </c>
      <c r="K500" s="6">
        <v>13</v>
      </c>
      <c r="L500" s="15">
        <v>143</v>
      </c>
      <c r="M500" s="15">
        <f t="shared" ca="1" si="51"/>
        <v>24</v>
      </c>
      <c r="N500" s="16">
        <f t="shared" ca="1" si="49"/>
        <v>119</v>
      </c>
      <c r="O500" s="18">
        <f t="shared" ca="1" si="48"/>
        <v>0.83216783216783219</v>
      </c>
      <c r="P500" s="19">
        <f t="shared" si="50"/>
        <v>11</v>
      </c>
      <c r="Q500" s="16" t="str">
        <f>IF(COUNTIF($B$2:B500,B500)=1,SUMIF($B$2:$B$1097,B500,$L$2:$L$1097),"")</f>
        <v/>
      </c>
    </row>
    <row r="501" spans="1:18" ht="12.75" x14ac:dyDescent="0.2">
      <c r="A501" s="3">
        <v>500</v>
      </c>
      <c r="B501" s="26">
        <v>45092</v>
      </c>
      <c r="C501" s="23" t="s">
        <v>30</v>
      </c>
      <c r="D501" s="4">
        <v>6</v>
      </c>
      <c r="E501" s="24" t="s">
        <v>27</v>
      </c>
      <c r="F501" s="5" t="s">
        <v>11</v>
      </c>
      <c r="G501" s="5" t="s">
        <v>11</v>
      </c>
      <c r="H501" s="5" t="s">
        <v>14</v>
      </c>
      <c r="I501" s="5" t="s">
        <v>13</v>
      </c>
      <c r="J501" s="5" t="s">
        <v>52</v>
      </c>
      <c r="K501" s="6">
        <v>22</v>
      </c>
      <c r="L501" s="15">
        <v>242</v>
      </c>
      <c r="M501" s="15">
        <f t="shared" ca="1" si="51"/>
        <v>10</v>
      </c>
      <c r="N501" s="16">
        <f t="shared" ca="1" si="49"/>
        <v>232</v>
      </c>
      <c r="O501" s="18">
        <f t="shared" ca="1" si="48"/>
        <v>0.95867768595041325</v>
      </c>
      <c r="P501" s="19">
        <f t="shared" si="50"/>
        <v>11</v>
      </c>
      <c r="Q501" s="16">
        <f>IF(COUNTIF($B$2:B501,B501)=1,SUMIF($B$2:$B$1097,B501,$L$2:$L$1097),"")</f>
        <v>605</v>
      </c>
      <c r="R501" s="16">
        <f>AVERAGE(Q481:Q501)</f>
        <v>473</v>
      </c>
    </row>
    <row r="502" spans="1:18" ht="12.75" x14ac:dyDescent="0.2">
      <c r="A502" s="3">
        <v>501</v>
      </c>
      <c r="B502" s="26">
        <v>45092</v>
      </c>
      <c r="C502" s="23" t="s">
        <v>30</v>
      </c>
      <c r="D502" s="4">
        <v>6</v>
      </c>
      <c r="E502" s="24" t="s">
        <v>27</v>
      </c>
      <c r="F502" s="5" t="s">
        <v>11</v>
      </c>
      <c r="G502" s="5" t="s">
        <v>11</v>
      </c>
      <c r="H502" s="5" t="s">
        <v>14</v>
      </c>
      <c r="I502" s="5" t="s">
        <v>15</v>
      </c>
      <c r="J502" s="5" t="s">
        <v>55</v>
      </c>
      <c r="K502" s="6">
        <v>10</v>
      </c>
      <c r="L502" s="15">
        <v>110</v>
      </c>
      <c r="M502" s="15">
        <f t="shared" ca="1" si="51"/>
        <v>11</v>
      </c>
      <c r="N502" s="16">
        <f t="shared" ca="1" si="49"/>
        <v>99</v>
      </c>
      <c r="O502" s="18">
        <f t="shared" ca="1" si="48"/>
        <v>0.9</v>
      </c>
      <c r="P502" s="19">
        <f t="shared" si="50"/>
        <v>11</v>
      </c>
      <c r="Q502" s="16" t="str">
        <f>IF(COUNTIF($B$2:B502,B502)=1,SUMIF($B$2:$B$1097,B502,$L$2:$L$1097),"")</f>
        <v/>
      </c>
    </row>
    <row r="503" spans="1:18" ht="12.75" x14ac:dyDescent="0.2">
      <c r="A503" s="3">
        <v>502</v>
      </c>
      <c r="B503" s="26">
        <v>45092</v>
      </c>
      <c r="C503" s="23" t="s">
        <v>30</v>
      </c>
      <c r="D503" s="4">
        <v>6</v>
      </c>
      <c r="E503" s="24" t="s">
        <v>27</v>
      </c>
      <c r="F503" s="5" t="s">
        <v>11</v>
      </c>
      <c r="G503" s="5" t="s">
        <v>11</v>
      </c>
      <c r="H503" s="5" t="s">
        <v>14</v>
      </c>
      <c r="I503" s="5" t="s">
        <v>16</v>
      </c>
      <c r="J503" s="5" t="s">
        <v>55</v>
      </c>
      <c r="K503" s="6">
        <v>8</v>
      </c>
      <c r="L503" s="15">
        <v>88</v>
      </c>
      <c r="M503" s="15">
        <f t="shared" ca="1" si="51"/>
        <v>21</v>
      </c>
      <c r="N503" s="16">
        <f t="shared" ca="1" si="49"/>
        <v>67</v>
      </c>
      <c r="O503" s="18">
        <f t="shared" ca="1" si="48"/>
        <v>0.76136363636363635</v>
      </c>
      <c r="P503" s="19">
        <f t="shared" si="50"/>
        <v>11</v>
      </c>
      <c r="Q503" s="16" t="str">
        <f>IF(COUNTIF($B$2:B503,B503)=1,SUMIF($B$2:$B$1097,B503,$L$2:$L$1097),"")</f>
        <v/>
      </c>
    </row>
    <row r="504" spans="1:18" ht="12.75" x14ac:dyDescent="0.2">
      <c r="A504" s="3">
        <v>503</v>
      </c>
      <c r="B504" s="26">
        <v>45092</v>
      </c>
      <c r="C504" s="23" t="s">
        <v>30</v>
      </c>
      <c r="D504" s="4">
        <v>6</v>
      </c>
      <c r="E504" s="24" t="s">
        <v>27</v>
      </c>
      <c r="F504" s="5" t="s">
        <v>11</v>
      </c>
      <c r="G504" s="5" t="s">
        <v>11</v>
      </c>
      <c r="H504" s="5" t="s">
        <v>14</v>
      </c>
      <c r="I504" s="5" t="s">
        <v>17</v>
      </c>
      <c r="J504" s="5" t="s">
        <v>53</v>
      </c>
      <c r="K504" s="6">
        <v>15</v>
      </c>
      <c r="L504" s="15">
        <v>165</v>
      </c>
      <c r="M504" s="15">
        <f t="shared" ca="1" si="51"/>
        <v>39</v>
      </c>
      <c r="N504" s="16">
        <f t="shared" ca="1" si="49"/>
        <v>126</v>
      </c>
      <c r="O504" s="18">
        <f t="shared" ca="1" si="48"/>
        <v>0.76363636363636367</v>
      </c>
      <c r="P504" s="19">
        <f t="shared" si="50"/>
        <v>11</v>
      </c>
      <c r="Q504" s="16" t="str">
        <f>IF(COUNTIF($B$2:B504,B504)=1,SUMIF($B$2:$B$1097,B504,$L$2:$L$1097),"")</f>
        <v/>
      </c>
    </row>
    <row r="505" spans="1:18" ht="12.75" x14ac:dyDescent="0.2">
      <c r="A505" s="3">
        <v>504</v>
      </c>
      <c r="B505" s="26">
        <v>45093</v>
      </c>
      <c r="C505" s="23" t="s">
        <v>30</v>
      </c>
      <c r="D505" s="4">
        <v>7</v>
      </c>
      <c r="E505" s="24" t="s">
        <v>27</v>
      </c>
      <c r="F505" s="5" t="s">
        <v>11</v>
      </c>
      <c r="G505" s="5" t="s">
        <v>11</v>
      </c>
      <c r="H505" s="5" t="s">
        <v>14</v>
      </c>
      <c r="I505" s="5" t="s">
        <v>13</v>
      </c>
      <c r="J505" s="5" t="s">
        <v>56</v>
      </c>
      <c r="K505" s="6">
        <v>19</v>
      </c>
      <c r="L505" s="15">
        <v>209</v>
      </c>
      <c r="M505" s="15">
        <f t="shared" ca="1" si="51"/>
        <v>7</v>
      </c>
      <c r="N505" s="16">
        <f t="shared" ca="1" si="49"/>
        <v>202</v>
      </c>
      <c r="O505" s="18">
        <f t="shared" ca="1" si="48"/>
        <v>0.96650717703349287</v>
      </c>
      <c r="P505" s="19">
        <f t="shared" si="50"/>
        <v>11</v>
      </c>
      <c r="Q505" s="16">
        <f>IF(COUNTIF($B$2:B505,B505)=1,SUMIF($B$2:$B$1097,B505,$L$2:$L$1097),"")</f>
        <v>209</v>
      </c>
      <c r="R505" s="16">
        <f t="shared" ref="R505:R506" si="54">AVERAGE(Q485:Q505)</f>
        <v>467.5</v>
      </c>
    </row>
    <row r="506" spans="1:18" ht="12.75" x14ac:dyDescent="0.2">
      <c r="A506" s="3">
        <v>505</v>
      </c>
      <c r="B506" s="26">
        <v>45095</v>
      </c>
      <c r="C506" s="23" t="s">
        <v>30</v>
      </c>
      <c r="D506" s="4">
        <v>2</v>
      </c>
      <c r="E506" s="24" t="s">
        <v>27</v>
      </c>
      <c r="F506" s="5" t="s">
        <v>11</v>
      </c>
      <c r="G506" s="5" t="s">
        <v>11</v>
      </c>
      <c r="H506" s="5" t="s">
        <v>14</v>
      </c>
      <c r="I506" s="5" t="s">
        <v>13</v>
      </c>
      <c r="J506" s="5" t="s">
        <v>52</v>
      </c>
      <c r="K506" s="6">
        <v>22</v>
      </c>
      <c r="L506" s="15">
        <v>242</v>
      </c>
      <c r="M506" s="15">
        <f t="shared" ca="1" si="51"/>
        <v>24</v>
      </c>
      <c r="N506" s="16">
        <f t="shared" ca="1" si="49"/>
        <v>218</v>
      </c>
      <c r="O506" s="18">
        <f t="shared" ca="1" si="48"/>
        <v>0.90082644628099173</v>
      </c>
      <c r="P506" s="19">
        <f t="shared" si="50"/>
        <v>11</v>
      </c>
      <c r="Q506" s="16">
        <f>IF(COUNTIF($B$2:B506,B506)=1,SUMIF($B$2:$B$1097,B506,$L$2:$L$1097),"")</f>
        <v>605</v>
      </c>
      <c r="R506" s="16">
        <f t="shared" si="54"/>
        <v>463.83333333333331</v>
      </c>
    </row>
    <row r="507" spans="1:18" ht="12.75" x14ac:dyDescent="0.2">
      <c r="A507" s="3">
        <v>506</v>
      </c>
      <c r="B507" s="26">
        <v>45095</v>
      </c>
      <c r="C507" s="23" t="s">
        <v>30</v>
      </c>
      <c r="D507" s="4">
        <v>2</v>
      </c>
      <c r="E507" s="24" t="s">
        <v>27</v>
      </c>
      <c r="F507" s="5" t="s">
        <v>11</v>
      </c>
      <c r="G507" s="5" t="s">
        <v>11</v>
      </c>
      <c r="H507" s="5" t="s">
        <v>14</v>
      </c>
      <c r="I507" s="5" t="s">
        <v>15</v>
      </c>
      <c r="J507" s="5" t="s">
        <v>54</v>
      </c>
      <c r="K507" s="6">
        <v>10</v>
      </c>
      <c r="L507" s="15">
        <v>110</v>
      </c>
      <c r="M507" s="15">
        <f t="shared" ca="1" si="51"/>
        <v>10</v>
      </c>
      <c r="N507" s="16">
        <f t="shared" ca="1" si="49"/>
        <v>100</v>
      </c>
      <c r="O507" s="18">
        <f t="shared" ca="1" si="48"/>
        <v>0.90909090909090906</v>
      </c>
      <c r="P507" s="19">
        <f t="shared" si="50"/>
        <v>11</v>
      </c>
      <c r="Q507" s="16" t="str">
        <f>IF(COUNTIF($B$2:B507,B507)=1,SUMIF($B$2:$B$1097,B507,$L$2:$L$1097),"")</f>
        <v/>
      </c>
    </row>
    <row r="508" spans="1:18" ht="12.75" x14ac:dyDescent="0.2">
      <c r="A508" s="3">
        <v>507</v>
      </c>
      <c r="B508" s="26">
        <v>45095</v>
      </c>
      <c r="C508" s="23" t="s">
        <v>30</v>
      </c>
      <c r="D508" s="4">
        <v>2</v>
      </c>
      <c r="E508" s="24" t="s">
        <v>27</v>
      </c>
      <c r="F508" s="5" t="s">
        <v>11</v>
      </c>
      <c r="G508" s="5" t="s">
        <v>11</v>
      </c>
      <c r="H508" s="5" t="s">
        <v>14</v>
      </c>
      <c r="I508" s="5" t="s">
        <v>16</v>
      </c>
      <c r="J508" s="5" t="s">
        <v>54</v>
      </c>
      <c r="K508" s="6">
        <v>8</v>
      </c>
      <c r="L508" s="15">
        <v>88</v>
      </c>
      <c r="M508" s="15">
        <f t="shared" ca="1" si="51"/>
        <v>12</v>
      </c>
      <c r="N508" s="16">
        <f t="shared" ca="1" si="49"/>
        <v>76</v>
      </c>
      <c r="O508" s="18">
        <f t="shared" ca="1" si="48"/>
        <v>0.86363636363636365</v>
      </c>
      <c r="P508" s="19">
        <f t="shared" si="50"/>
        <v>11</v>
      </c>
      <c r="Q508" s="16" t="str">
        <f>IF(COUNTIF($B$2:B508,B508)=1,SUMIF($B$2:$B$1097,B508,$L$2:$L$1097),"")</f>
        <v/>
      </c>
    </row>
    <row r="509" spans="1:18" ht="12.75" x14ac:dyDescent="0.2">
      <c r="A509" s="3">
        <v>508</v>
      </c>
      <c r="B509" s="26">
        <v>45095</v>
      </c>
      <c r="C509" s="23" t="s">
        <v>30</v>
      </c>
      <c r="D509" s="4">
        <v>2</v>
      </c>
      <c r="E509" s="24" t="s">
        <v>27</v>
      </c>
      <c r="F509" s="5" t="s">
        <v>11</v>
      </c>
      <c r="G509" s="5" t="s">
        <v>11</v>
      </c>
      <c r="H509" s="5" t="s">
        <v>14</v>
      </c>
      <c r="I509" s="5" t="s">
        <v>17</v>
      </c>
      <c r="J509" s="5" t="s">
        <v>54</v>
      </c>
      <c r="K509" s="6">
        <v>15</v>
      </c>
      <c r="L509" s="15">
        <v>165</v>
      </c>
      <c r="M509" s="15">
        <f t="shared" ca="1" si="51"/>
        <v>49</v>
      </c>
      <c r="N509" s="16">
        <f t="shared" ca="1" si="49"/>
        <v>116</v>
      </c>
      <c r="O509" s="18">
        <f t="shared" ca="1" si="48"/>
        <v>0.70303030303030301</v>
      </c>
      <c r="P509" s="19">
        <f t="shared" si="50"/>
        <v>11</v>
      </c>
      <c r="Q509" s="16" t="str">
        <f>IF(COUNTIF($B$2:B509,B509)=1,SUMIF($B$2:$B$1097,B509,$L$2:$L$1097),"")</f>
        <v/>
      </c>
    </row>
    <row r="510" spans="1:18" ht="12.75" x14ac:dyDescent="0.2">
      <c r="A510" s="3">
        <v>509</v>
      </c>
      <c r="B510" s="26">
        <v>45096</v>
      </c>
      <c r="C510" s="23" t="s">
        <v>30</v>
      </c>
      <c r="D510" s="4">
        <v>3</v>
      </c>
      <c r="E510" s="24" t="s">
        <v>27</v>
      </c>
      <c r="F510" s="5" t="s">
        <v>11</v>
      </c>
      <c r="G510" s="5" t="s">
        <v>11</v>
      </c>
      <c r="H510" s="5" t="s">
        <v>14</v>
      </c>
      <c r="I510" s="5" t="s">
        <v>13</v>
      </c>
      <c r="J510" s="5" t="s">
        <v>56</v>
      </c>
      <c r="K510" s="6">
        <v>18</v>
      </c>
      <c r="L510" s="15">
        <v>198</v>
      </c>
      <c r="M510" s="15">
        <f t="shared" ca="1" si="51"/>
        <v>29</v>
      </c>
      <c r="N510" s="16">
        <f t="shared" ca="1" si="49"/>
        <v>169</v>
      </c>
      <c r="O510" s="18">
        <f t="shared" ca="1" si="48"/>
        <v>0.85353535353535348</v>
      </c>
      <c r="P510" s="19">
        <f t="shared" si="50"/>
        <v>11</v>
      </c>
      <c r="Q510" s="16">
        <f>IF(COUNTIF($B$2:B510,B510)=1,SUMIF($B$2:$B$1097,B510,$L$2:$L$1097),"")</f>
        <v>451</v>
      </c>
      <c r="R510" s="16">
        <f>AVERAGE(Q490:Q510)</f>
        <v>462</v>
      </c>
    </row>
    <row r="511" spans="1:18" ht="12.75" x14ac:dyDescent="0.2">
      <c r="A511" s="3">
        <v>510</v>
      </c>
      <c r="B511" s="26">
        <v>45096</v>
      </c>
      <c r="C511" s="23" t="s">
        <v>30</v>
      </c>
      <c r="D511" s="4">
        <v>3</v>
      </c>
      <c r="E511" s="24" t="s">
        <v>27</v>
      </c>
      <c r="F511" s="5" t="s">
        <v>11</v>
      </c>
      <c r="G511" s="5" t="s">
        <v>11</v>
      </c>
      <c r="H511" s="5" t="s">
        <v>14</v>
      </c>
      <c r="I511" s="5" t="s">
        <v>15</v>
      </c>
      <c r="J511" s="5" t="s">
        <v>56</v>
      </c>
      <c r="K511" s="6">
        <v>8</v>
      </c>
      <c r="L511" s="15">
        <v>88</v>
      </c>
      <c r="M511" s="15">
        <f t="shared" ca="1" si="51"/>
        <v>2</v>
      </c>
      <c r="N511" s="16">
        <f t="shared" ca="1" si="49"/>
        <v>86</v>
      </c>
      <c r="O511" s="18">
        <f t="shared" ca="1" si="48"/>
        <v>0.97727272727272729</v>
      </c>
      <c r="P511" s="19">
        <f t="shared" si="50"/>
        <v>11</v>
      </c>
      <c r="Q511" s="16" t="str">
        <f>IF(COUNTIF($B$2:B511,B511)=1,SUMIF($B$2:$B$1097,B511,$L$2:$L$1097),"")</f>
        <v/>
      </c>
    </row>
    <row r="512" spans="1:18" ht="12.75" x14ac:dyDescent="0.2">
      <c r="A512" s="3">
        <v>511</v>
      </c>
      <c r="B512" s="26">
        <v>45096</v>
      </c>
      <c r="C512" s="23" t="s">
        <v>30</v>
      </c>
      <c r="D512" s="4">
        <v>3</v>
      </c>
      <c r="E512" s="24" t="s">
        <v>27</v>
      </c>
      <c r="F512" s="5" t="s">
        <v>11</v>
      </c>
      <c r="G512" s="5" t="s">
        <v>11</v>
      </c>
      <c r="H512" s="5" t="s">
        <v>14</v>
      </c>
      <c r="I512" s="5" t="s">
        <v>16</v>
      </c>
      <c r="J512" s="5" t="s">
        <v>55</v>
      </c>
      <c r="K512" s="6">
        <v>5</v>
      </c>
      <c r="L512" s="15">
        <v>55</v>
      </c>
      <c r="M512" s="15">
        <f t="shared" ca="1" si="51"/>
        <v>12</v>
      </c>
      <c r="N512" s="16">
        <f t="shared" ca="1" si="49"/>
        <v>43</v>
      </c>
      <c r="O512" s="18">
        <f t="shared" ca="1" si="48"/>
        <v>0.78181818181818186</v>
      </c>
      <c r="P512" s="19">
        <f t="shared" si="50"/>
        <v>11</v>
      </c>
      <c r="Q512" s="16" t="str">
        <f>IF(COUNTIF($B$2:B512,B512)=1,SUMIF($B$2:$B$1097,B512,$L$2:$L$1097),"")</f>
        <v/>
      </c>
    </row>
    <row r="513" spans="1:18" ht="12.75" x14ac:dyDescent="0.2">
      <c r="A513" s="3">
        <v>512</v>
      </c>
      <c r="B513" s="26">
        <v>45096</v>
      </c>
      <c r="C513" s="23" t="s">
        <v>30</v>
      </c>
      <c r="D513" s="4">
        <v>3</v>
      </c>
      <c r="E513" s="24" t="s">
        <v>27</v>
      </c>
      <c r="F513" s="5" t="s">
        <v>11</v>
      </c>
      <c r="G513" s="5" t="s">
        <v>11</v>
      </c>
      <c r="H513" s="5" t="s">
        <v>14</v>
      </c>
      <c r="I513" s="5" t="s">
        <v>17</v>
      </c>
      <c r="J513" s="5" t="s">
        <v>53</v>
      </c>
      <c r="K513" s="6">
        <v>10</v>
      </c>
      <c r="L513" s="15">
        <v>110</v>
      </c>
      <c r="M513" s="15">
        <f t="shared" ca="1" si="51"/>
        <v>16</v>
      </c>
      <c r="N513" s="16">
        <f t="shared" ca="1" si="49"/>
        <v>94</v>
      </c>
      <c r="O513" s="18">
        <f t="shared" ca="1" si="48"/>
        <v>0.8545454545454545</v>
      </c>
      <c r="P513" s="19">
        <f t="shared" si="50"/>
        <v>11</v>
      </c>
      <c r="Q513" s="16" t="str">
        <f>IF(COUNTIF($B$2:B513,B513)=1,SUMIF($B$2:$B$1097,B513,$L$2:$L$1097),"")</f>
        <v/>
      </c>
    </row>
    <row r="514" spans="1:18" ht="12.75" x14ac:dyDescent="0.2">
      <c r="A514" s="3">
        <v>513</v>
      </c>
      <c r="B514" s="26">
        <v>45097</v>
      </c>
      <c r="C514" s="23" t="s">
        <v>30</v>
      </c>
      <c r="D514" s="4">
        <v>4</v>
      </c>
      <c r="E514" s="24" t="s">
        <v>27</v>
      </c>
      <c r="F514" s="5" t="s">
        <v>11</v>
      </c>
      <c r="G514" s="5" t="s">
        <v>11</v>
      </c>
      <c r="H514" s="5" t="s">
        <v>14</v>
      </c>
      <c r="I514" s="5" t="s">
        <v>13</v>
      </c>
      <c r="J514" s="5" t="s">
        <v>52</v>
      </c>
      <c r="K514" s="6">
        <v>15</v>
      </c>
      <c r="L514" s="15">
        <v>165</v>
      </c>
      <c r="M514" s="15">
        <f t="shared" ca="1" si="51"/>
        <v>19</v>
      </c>
      <c r="N514" s="16">
        <f t="shared" ca="1" si="49"/>
        <v>146</v>
      </c>
      <c r="O514" s="18">
        <f t="shared" ref="O514:O577" ca="1" si="55">IF(L514=0, 0, N514/L514)</f>
        <v>0.88484848484848488</v>
      </c>
      <c r="P514" s="19">
        <f t="shared" si="50"/>
        <v>11</v>
      </c>
      <c r="Q514" s="16">
        <f>IF(COUNTIF($B$2:B514,B514)=1,SUMIF($B$2:$B$1097,B514,$L$2:$L$1097),"")</f>
        <v>429</v>
      </c>
      <c r="R514" s="16">
        <f>AVERAGE(Q494:Q514)</f>
        <v>462</v>
      </c>
    </row>
    <row r="515" spans="1:18" ht="12.75" x14ac:dyDescent="0.2">
      <c r="A515" s="3">
        <v>514</v>
      </c>
      <c r="B515" s="26">
        <v>45097</v>
      </c>
      <c r="C515" s="23" t="s">
        <v>30</v>
      </c>
      <c r="D515" s="4">
        <v>4</v>
      </c>
      <c r="E515" s="24" t="s">
        <v>27</v>
      </c>
      <c r="F515" s="5" t="s">
        <v>11</v>
      </c>
      <c r="G515" s="5" t="s">
        <v>11</v>
      </c>
      <c r="H515" s="5" t="s">
        <v>14</v>
      </c>
      <c r="I515" s="5" t="s">
        <v>15</v>
      </c>
      <c r="J515" s="5" t="s">
        <v>54</v>
      </c>
      <c r="K515" s="6">
        <v>8</v>
      </c>
      <c r="L515" s="15">
        <v>88</v>
      </c>
      <c r="M515" s="15">
        <f t="shared" ca="1" si="51"/>
        <v>50</v>
      </c>
      <c r="N515" s="16">
        <f t="shared" ref="N515:N578" ca="1" si="56">L515-M515</f>
        <v>38</v>
      </c>
      <c r="O515" s="18">
        <f t="shared" ca="1" si="55"/>
        <v>0.43181818181818182</v>
      </c>
      <c r="P515" s="19">
        <f t="shared" ref="P515:P578" si="57">IF(K515=0, 0, L515/K515)</f>
        <v>11</v>
      </c>
      <c r="Q515" s="16" t="str">
        <f>IF(COUNTIF($B$2:B515,B515)=1,SUMIF($B$2:$B$1097,B515,$L$2:$L$1097),"")</f>
        <v/>
      </c>
    </row>
    <row r="516" spans="1:18" ht="12.75" x14ac:dyDescent="0.2">
      <c r="A516" s="3">
        <v>515</v>
      </c>
      <c r="B516" s="26">
        <v>45097</v>
      </c>
      <c r="C516" s="23" t="s">
        <v>30</v>
      </c>
      <c r="D516" s="4">
        <v>4</v>
      </c>
      <c r="E516" s="24" t="s">
        <v>27</v>
      </c>
      <c r="F516" s="5" t="s">
        <v>11</v>
      </c>
      <c r="G516" s="5" t="s">
        <v>11</v>
      </c>
      <c r="H516" s="5" t="s">
        <v>14</v>
      </c>
      <c r="I516" s="5" t="s">
        <v>16</v>
      </c>
      <c r="J516" s="5" t="s">
        <v>54</v>
      </c>
      <c r="K516" s="6">
        <v>5</v>
      </c>
      <c r="L516" s="15">
        <v>55</v>
      </c>
      <c r="M516" s="15">
        <f t="shared" ca="1" si="51"/>
        <v>45</v>
      </c>
      <c r="N516" s="16">
        <f t="shared" ca="1" si="56"/>
        <v>10</v>
      </c>
      <c r="O516" s="18">
        <f t="shared" ca="1" si="55"/>
        <v>0.18181818181818182</v>
      </c>
      <c r="P516" s="19">
        <f t="shared" si="57"/>
        <v>11</v>
      </c>
      <c r="Q516" s="16" t="str">
        <f>IF(COUNTIF($B$2:B516,B516)=1,SUMIF($B$2:$B$1097,B516,$L$2:$L$1097),"")</f>
        <v/>
      </c>
    </row>
    <row r="517" spans="1:18" ht="12.75" x14ac:dyDescent="0.2">
      <c r="A517" s="3">
        <v>516</v>
      </c>
      <c r="B517" s="26">
        <v>45097</v>
      </c>
      <c r="C517" s="23" t="s">
        <v>30</v>
      </c>
      <c r="D517" s="4">
        <v>4</v>
      </c>
      <c r="E517" s="24" t="s">
        <v>27</v>
      </c>
      <c r="F517" s="5" t="s">
        <v>11</v>
      </c>
      <c r="G517" s="5" t="s">
        <v>11</v>
      </c>
      <c r="H517" s="5" t="s">
        <v>14</v>
      </c>
      <c r="I517" s="5" t="s">
        <v>17</v>
      </c>
      <c r="J517" s="5" t="s">
        <v>54</v>
      </c>
      <c r="K517" s="6">
        <v>11</v>
      </c>
      <c r="L517" s="15">
        <v>121</v>
      </c>
      <c r="M517" s="15">
        <f t="shared" ca="1" si="51"/>
        <v>39</v>
      </c>
      <c r="N517" s="16">
        <f t="shared" ca="1" si="56"/>
        <v>82</v>
      </c>
      <c r="O517" s="18">
        <f t="shared" ca="1" si="55"/>
        <v>0.6776859504132231</v>
      </c>
      <c r="P517" s="19">
        <f t="shared" si="57"/>
        <v>11</v>
      </c>
      <c r="Q517" s="16" t="str">
        <f>IF(COUNTIF($B$2:B517,B517)=1,SUMIF($B$2:$B$1097,B517,$L$2:$L$1097),"")</f>
        <v/>
      </c>
    </row>
    <row r="518" spans="1:18" ht="12.75" x14ac:dyDescent="0.2">
      <c r="A518" s="3">
        <v>517</v>
      </c>
      <c r="B518" s="26">
        <v>45098</v>
      </c>
      <c r="C518" s="23" t="s">
        <v>30</v>
      </c>
      <c r="D518" s="4">
        <v>5</v>
      </c>
      <c r="E518" s="24" t="s">
        <v>27</v>
      </c>
      <c r="F518" s="5" t="s">
        <v>11</v>
      </c>
      <c r="G518" s="5" t="s">
        <v>10</v>
      </c>
      <c r="H518" s="5" t="s">
        <v>31</v>
      </c>
      <c r="I518" s="5" t="s">
        <v>13</v>
      </c>
      <c r="J518" s="5" t="s">
        <v>56</v>
      </c>
      <c r="K518" s="6">
        <v>20</v>
      </c>
      <c r="L518" s="15">
        <v>172</v>
      </c>
      <c r="M518" s="15">
        <f t="shared" ca="1" si="51"/>
        <v>28</v>
      </c>
      <c r="N518" s="16">
        <f t="shared" ca="1" si="56"/>
        <v>144</v>
      </c>
      <c r="O518" s="18">
        <f t="shared" ca="1" si="55"/>
        <v>0.83720930232558144</v>
      </c>
      <c r="P518" s="19">
        <f t="shared" si="57"/>
        <v>8.6</v>
      </c>
      <c r="Q518" s="16">
        <f>IF(COUNTIF($B$2:B518,B518)=1,SUMIF($B$2:$B$1097,B518,$L$2:$L$1097),"")</f>
        <v>536</v>
      </c>
      <c r="R518" s="16">
        <f>AVERAGE(Q498:Q518)</f>
        <v>472.5</v>
      </c>
    </row>
    <row r="519" spans="1:18" ht="12.75" x14ac:dyDescent="0.2">
      <c r="A519" s="3">
        <v>518</v>
      </c>
      <c r="B519" s="26">
        <v>45098</v>
      </c>
      <c r="C519" s="23" t="s">
        <v>30</v>
      </c>
      <c r="D519" s="4">
        <v>5</v>
      </c>
      <c r="E519" s="24" t="s">
        <v>27</v>
      </c>
      <c r="F519" s="5" t="s">
        <v>11</v>
      </c>
      <c r="G519" s="5" t="s">
        <v>10</v>
      </c>
      <c r="H519" s="5" t="s">
        <v>31</v>
      </c>
      <c r="I519" s="5" t="s">
        <v>15</v>
      </c>
      <c r="J519" s="5" t="s">
        <v>56</v>
      </c>
      <c r="K519" s="6">
        <v>18</v>
      </c>
      <c r="L519" s="15">
        <v>142</v>
      </c>
      <c r="M519" s="15">
        <f t="shared" ca="1" si="51"/>
        <v>5</v>
      </c>
      <c r="N519" s="16">
        <f t="shared" ca="1" si="56"/>
        <v>137</v>
      </c>
      <c r="O519" s="18">
        <f t="shared" ca="1" si="55"/>
        <v>0.96478873239436624</v>
      </c>
      <c r="P519" s="19">
        <f t="shared" si="57"/>
        <v>7.8888888888888893</v>
      </c>
      <c r="Q519" s="16" t="str">
        <f>IF(COUNTIF($B$2:B519,B519)=1,SUMIF($B$2:$B$1097,B519,$L$2:$L$1097),"")</f>
        <v/>
      </c>
    </row>
    <row r="520" spans="1:18" ht="12.75" x14ac:dyDescent="0.2">
      <c r="A520" s="3">
        <v>519</v>
      </c>
      <c r="B520" s="26">
        <v>45098</v>
      </c>
      <c r="C520" s="23" t="s">
        <v>30</v>
      </c>
      <c r="D520" s="4">
        <v>5</v>
      </c>
      <c r="E520" s="24" t="s">
        <v>27</v>
      </c>
      <c r="F520" s="5" t="s">
        <v>11</v>
      </c>
      <c r="G520" s="5" t="s">
        <v>10</v>
      </c>
      <c r="H520" s="5" t="s">
        <v>31</v>
      </c>
      <c r="I520" s="5" t="s">
        <v>16</v>
      </c>
      <c r="J520" s="5" t="s">
        <v>55</v>
      </c>
      <c r="K520" s="6">
        <v>7</v>
      </c>
      <c r="L520" s="15">
        <v>61</v>
      </c>
      <c r="M520" s="15">
        <f t="shared" ca="1" si="51"/>
        <v>21</v>
      </c>
      <c r="N520" s="16">
        <f t="shared" ca="1" si="56"/>
        <v>40</v>
      </c>
      <c r="O520" s="18">
        <f t="shared" ca="1" si="55"/>
        <v>0.65573770491803274</v>
      </c>
      <c r="P520" s="19">
        <f t="shared" si="57"/>
        <v>8.7142857142857135</v>
      </c>
      <c r="Q520" s="16" t="str">
        <f>IF(COUNTIF($B$2:B520,B520)=1,SUMIF($B$2:$B$1097,B520,$L$2:$L$1097),"")</f>
        <v/>
      </c>
    </row>
    <row r="521" spans="1:18" ht="12.75" x14ac:dyDescent="0.2">
      <c r="A521" s="3">
        <v>520</v>
      </c>
      <c r="B521" s="26">
        <v>45098</v>
      </c>
      <c r="C521" s="23" t="s">
        <v>30</v>
      </c>
      <c r="D521" s="4">
        <v>5</v>
      </c>
      <c r="E521" s="24" t="s">
        <v>27</v>
      </c>
      <c r="F521" s="5" t="s">
        <v>11</v>
      </c>
      <c r="G521" s="5" t="s">
        <v>10</v>
      </c>
      <c r="H521" s="5" t="s">
        <v>31</v>
      </c>
      <c r="I521" s="5" t="s">
        <v>17</v>
      </c>
      <c r="J521" s="5" t="s">
        <v>53</v>
      </c>
      <c r="K521" s="6">
        <v>19</v>
      </c>
      <c r="L521" s="15">
        <v>161</v>
      </c>
      <c r="M521" s="15">
        <f t="shared" ref="M521:M584" ca="1" si="58">RANDBETWEEN(1,50)</f>
        <v>7</v>
      </c>
      <c r="N521" s="16">
        <f t="shared" ca="1" si="56"/>
        <v>154</v>
      </c>
      <c r="O521" s="18">
        <f t="shared" ca="1" si="55"/>
        <v>0.95652173913043481</v>
      </c>
      <c r="P521" s="19">
        <f t="shared" si="57"/>
        <v>8.473684210526315</v>
      </c>
      <c r="Q521" s="16" t="str">
        <f>IF(COUNTIF($B$2:B521,B521)=1,SUMIF($B$2:$B$1097,B521,$L$2:$L$1097),"")</f>
        <v/>
      </c>
    </row>
    <row r="522" spans="1:18" ht="12.75" x14ac:dyDescent="0.2">
      <c r="A522" s="3">
        <v>521</v>
      </c>
      <c r="B522" s="26">
        <v>45099</v>
      </c>
      <c r="C522" s="23" t="s">
        <v>30</v>
      </c>
      <c r="D522" s="4">
        <v>6</v>
      </c>
      <c r="E522" s="24" t="s">
        <v>27</v>
      </c>
      <c r="F522" s="5" t="s">
        <v>11</v>
      </c>
      <c r="G522" s="5" t="s">
        <v>10</v>
      </c>
      <c r="H522" s="5" t="s">
        <v>31</v>
      </c>
      <c r="I522" s="5" t="s">
        <v>13</v>
      </c>
      <c r="J522" s="5" t="s">
        <v>52</v>
      </c>
      <c r="K522" s="6">
        <v>26</v>
      </c>
      <c r="L522" s="15">
        <v>230</v>
      </c>
      <c r="M522" s="15">
        <f t="shared" ca="1" si="58"/>
        <v>42</v>
      </c>
      <c r="N522" s="16">
        <f t="shared" ca="1" si="56"/>
        <v>188</v>
      </c>
      <c r="O522" s="18">
        <f t="shared" ca="1" si="55"/>
        <v>0.81739130434782614</v>
      </c>
      <c r="P522" s="19">
        <f t="shared" si="57"/>
        <v>8.8461538461538467</v>
      </c>
      <c r="Q522" s="16">
        <f>IF(COUNTIF($B$2:B522,B522)=1,SUMIF($B$2:$B$1097,B522,$L$2:$L$1097),"")</f>
        <v>870</v>
      </c>
      <c r="R522" s="16">
        <f>AVERAGE(Q502:Q522)</f>
        <v>516.66666666666663</v>
      </c>
    </row>
    <row r="523" spans="1:18" ht="12.75" x14ac:dyDescent="0.2">
      <c r="A523" s="3">
        <v>522</v>
      </c>
      <c r="B523" s="26">
        <v>45099</v>
      </c>
      <c r="C523" s="23" t="s">
        <v>30</v>
      </c>
      <c r="D523" s="4">
        <v>6</v>
      </c>
      <c r="E523" s="24" t="s">
        <v>27</v>
      </c>
      <c r="F523" s="5" t="s">
        <v>11</v>
      </c>
      <c r="G523" s="5" t="s">
        <v>10</v>
      </c>
      <c r="H523" s="5" t="s">
        <v>31</v>
      </c>
      <c r="I523" s="5" t="s">
        <v>15</v>
      </c>
      <c r="J523" s="5" t="s">
        <v>55</v>
      </c>
      <c r="K523" s="6">
        <v>21</v>
      </c>
      <c r="L523" s="15">
        <v>215</v>
      </c>
      <c r="M523" s="15">
        <f t="shared" ca="1" si="58"/>
        <v>30</v>
      </c>
      <c r="N523" s="16">
        <f t="shared" ca="1" si="56"/>
        <v>185</v>
      </c>
      <c r="O523" s="18">
        <f t="shared" ca="1" si="55"/>
        <v>0.86046511627906974</v>
      </c>
      <c r="P523" s="19">
        <f t="shared" si="57"/>
        <v>10.238095238095237</v>
      </c>
      <c r="Q523" s="16" t="str">
        <f>IF(COUNTIF($B$2:B523,B523)=1,SUMIF($B$2:$B$1097,B523,$L$2:$L$1097),"")</f>
        <v/>
      </c>
    </row>
    <row r="524" spans="1:18" ht="12.75" x14ac:dyDescent="0.2">
      <c r="A524" s="3">
        <v>523</v>
      </c>
      <c r="B524" s="26">
        <v>45099</v>
      </c>
      <c r="C524" s="23" t="s">
        <v>30</v>
      </c>
      <c r="D524" s="4">
        <v>6</v>
      </c>
      <c r="E524" s="24" t="s">
        <v>27</v>
      </c>
      <c r="F524" s="5" t="s">
        <v>11</v>
      </c>
      <c r="G524" s="5" t="s">
        <v>10</v>
      </c>
      <c r="H524" s="5" t="s">
        <v>31</v>
      </c>
      <c r="I524" s="5" t="s">
        <v>16</v>
      </c>
      <c r="J524" s="5" t="s">
        <v>55</v>
      </c>
      <c r="K524" s="6">
        <v>23</v>
      </c>
      <c r="L524" s="15">
        <v>221</v>
      </c>
      <c r="M524" s="15">
        <f t="shared" ca="1" si="58"/>
        <v>30</v>
      </c>
      <c r="N524" s="16">
        <f t="shared" ca="1" si="56"/>
        <v>191</v>
      </c>
      <c r="O524" s="18">
        <f t="shared" ca="1" si="55"/>
        <v>0.86425339366515841</v>
      </c>
      <c r="P524" s="19">
        <f t="shared" si="57"/>
        <v>9.6086956521739122</v>
      </c>
      <c r="Q524" s="16" t="str">
        <f>IF(COUNTIF($B$2:B524,B524)=1,SUMIF($B$2:$B$1097,B524,$L$2:$L$1097),"")</f>
        <v/>
      </c>
    </row>
    <row r="525" spans="1:18" ht="12.75" x14ac:dyDescent="0.2">
      <c r="A525" s="3">
        <v>524</v>
      </c>
      <c r="B525" s="26">
        <v>45099</v>
      </c>
      <c r="C525" s="23" t="s">
        <v>30</v>
      </c>
      <c r="D525" s="4">
        <v>6</v>
      </c>
      <c r="E525" s="24" t="s">
        <v>27</v>
      </c>
      <c r="F525" s="5" t="s">
        <v>11</v>
      </c>
      <c r="G525" s="5" t="s">
        <v>10</v>
      </c>
      <c r="H525" s="5" t="s">
        <v>31</v>
      </c>
      <c r="I525" s="5" t="s">
        <v>17</v>
      </c>
      <c r="J525" s="5" t="s">
        <v>53</v>
      </c>
      <c r="K525" s="6">
        <v>20</v>
      </c>
      <c r="L525" s="15">
        <v>204</v>
      </c>
      <c r="M525" s="15">
        <f t="shared" ca="1" si="58"/>
        <v>6</v>
      </c>
      <c r="N525" s="16">
        <f t="shared" ca="1" si="56"/>
        <v>198</v>
      </c>
      <c r="O525" s="18">
        <f t="shared" ca="1" si="55"/>
        <v>0.97058823529411764</v>
      </c>
      <c r="P525" s="19">
        <f t="shared" si="57"/>
        <v>10.199999999999999</v>
      </c>
      <c r="Q525" s="16" t="str">
        <f>IF(COUNTIF($B$2:B525,B525)=1,SUMIF($B$2:$B$1097,B525,$L$2:$L$1097),"")</f>
        <v/>
      </c>
    </row>
    <row r="526" spans="1:18" ht="12.75" x14ac:dyDescent="0.2">
      <c r="A526" s="3">
        <v>525</v>
      </c>
      <c r="B526" s="26">
        <v>45100</v>
      </c>
      <c r="C526" s="23" t="s">
        <v>30</v>
      </c>
      <c r="D526" s="4">
        <v>7</v>
      </c>
      <c r="E526" s="24" t="s">
        <v>27</v>
      </c>
      <c r="F526" s="5" t="s">
        <v>11</v>
      </c>
      <c r="G526" s="5" t="s">
        <v>10</v>
      </c>
      <c r="H526" s="5" t="s">
        <v>31</v>
      </c>
      <c r="I526" s="5" t="s">
        <v>13</v>
      </c>
      <c r="J526" s="5" t="s">
        <v>56</v>
      </c>
      <c r="K526" s="6">
        <v>23</v>
      </c>
      <c r="L526" s="15">
        <v>237</v>
      </c>
      <c r="M526" s="15">
        <f t="shared" ca="1" si="58"/>
        <v>21</v>
      </c>
      <c r="N526" s="16">
        <f t="shared" ca="1" si="56"/>
        <v>216</v>
      </c>
      <c r="O526" s="18">
        <f t="shared" ca="1" si="55"/>
        <v>0.91139240506329111</v>
      </c>
      <c r="P526" s="19">
        <f t="shared" si="57"/>
        <v>10.304347826086957</v>
      </c>
      <c r="Q526" s="16">
        <f>IF(COUNTIF($B$2:B526,B526)=1,SUMIF($B$2:$B$1097,B526,$L$2:$L$1097),"")</f>
        <v>237</v>
      </c>
      <c r="R526" s="16">
        <f t="shared" ref="R526:R527" si="59">AVERAGE(Q506:Q526)</f>
        <v>521.33333333333337</v>
      </c>
    </row>
    <row r="527" spans="1:18" ht="12.75" x14ac:dyDescent="0.2">
      <c r="A527" s="3">
        <v>526</v>
      </c>
      <c r="B527" s="26">
        <v>45102</v>
      </c>
      <c r="C527" s="23" t="s">
        <v>30</v>
      </c>
      <c r="D527" s="4">
        <v>2</v>
      </c>
      <c r="E527" s="24" t="s">
        <v>27</v>
      </c>
      <c r="F527" s="5" t="s">
        <v>11</v>
      </c>
      <c r="G527" s="5" t="s">
        <v>11</v>
      </c>
      <c r="H527" s="5" t="s">
        <v>14</v>
      </c>
      <c r="I527" s="5" t="s">
        <v>13</v>
      </c>
      <c r="J527" s="5" t="s">
        <v>52</v>
      </c>
      <c r="K527" s="6">
        <v>21</v>
      </c>
      <c r="L527" s="15">
        <v>231</v>
      </c>
      <c r="M527" s="15">
        <f t="shared" ca="1" si="58"/>
        <v>39</v>
      </c>
      <c r="N527" s="16">
        <f t="shared" ca="1" si="56"/>
        <v>192</v>
      </c>
      <c r="O527" s="18">
        <f t="shared" ca="1" si="55"/>
        <v>0.83116883116883122</v>
      </c>
      <c r="P527" s="19">
        <f t="shared" si="57"/>
        <v>11</v>
      </c>
      <c r="Q527" s="16">
        <f>IF(COUNTIF($B$2:B527,B527)=1,SUMIF($B$2:$B$1097,B527,$L$2:$L$1097),"")</f>
        <v>605</v>
      </c>
      <c r="R527" s="16">
        <f t="shared" si="59"/>
        <v>521.33333333333337</v>
      </c>
    </row>
    <row r="528" spans="1:18" ht="12.75" x14ac:dyDescent="0.2">
      <c r="A528" s="3">
        <v>527</v>
      </c>
      <c r="B528" s="26">
        <v>45102</v>
      </c>
      <c r="C528" s="23" t="s">
        <v>30</v>
      </c>
      <c r="D528" s="4">
        <v>2</v>
      </c>
      <c r="E528" s="24" t="s">
        <v>27</v>
      </c>
      <c r="F528" s="5" t="s">
        <v>11</v>
      </c>
      <c r="G528" s="5" t="s">
        <v>11</v>
      </c>
      <c r="H528" s="5" t="s">
        <v>14</v>
      </c>
      <c r="I528" s="5" t="s">
        <v>15</v>
      </c>
      <c r="J528" s="5" t="s">
        <v>54</v>
      </c>
      <c r="K528" s="6">
        <v>11</v>
      </c>
      <c r="L528" s="15">
        <v>121</v>
      </c>
      <c r="M528" s="15">
        <f t="shared" ca="1" si="58"/>
        <v>35</v>
      </c>
      <c r="N528" s="16">
        <f t="shared" ca="1" si="56"/>
        <v>86</v>
      </c>
      <c r="O528" s="18">
        <f t="shared" ca="1" si="55"/>
        <v>0.71074380165289253</v>
      </c>
      <c r="P528" s="19">
        <f t="shared" si="57"/>
        <v>11</v>
      </c>
      <c r="Q528" s="16" t="str">
        <f>IF(COUNTIF($B$2:B528,B528)=1,SUMIF($B$2:$B$1097,B528,$L$2:$L$1097),"")</f>
        <v/>
      </c>
    </row>
    <row r="529" spans="1:18" ht="12.75" x14ac:dyDescent="0.2">
      <c r="A529" s="3">
        <v>528</v>
      </c>
      <c r="B529" s="26">
        <v>45102</v>
      </c>
      <c r="C529" s="23" t="s">
        <v>30</v>
      </c>
      <c r="D529" s="4">
        <v>2</v>
      </c>
      <c r="E529" s="24" t="s">
        <v>27</v>
      </c>
      <c r="F529" s="5" t="s">
        <v>11</v>
      </c>
      <c r="G529" s="5" t="s">
        <v>11</v>
      </c>
      <c r="H529" s="5" t="s">
        <v>14</v>
      </c>
      <c r="I529" s="5" t="s">
        <v>16</v>
      </c>
      <c r="J529" s="5" t="s">
        <v>54</v>
      </c>
      <c r="K529" s="6">
        <v>8</v>
      </c>
      <c r="L529" s="15">
        <v>88</v>
      </c>
      <c r="M529" s="15">
        <f t="shared" ca="1" si="58"/>
        <v>5</v>
      </c>
      <c r="N529" s="16">
        <f t="shared" ca="1" si="56"/>
        <v>83</v>
      </c>
      <c r="O529" s="18">
        <f t="shared" ca="1" si="55"/>
        <v>0.94318181818181823</v>
      </c>
      <c r="P529" s="19">
        <f t="shared" si="57"/>
        <v>11</v>
      </c>
      <c r="Q529" s="16" t="str">
        <f>IF(COUNTIF($B$2:B529,B529)=1,SUMIF($B$2:$B$1097,B529,$L$2:$L$1097),"")</f>
        <v/>
      </c>
    </row>
    <row r="530" spans="1:18" ht="12.75" x14ac:dyDescent="0.2">
      <c r="A530" s="3">
        <v>529</v>
      </c>
      <c r="B530" s="26">
        <v>45102</v>
      </c>
      <c r="C530" s="23" t="s">
        <v>30</v>
      </c>
      <c r="D530" s="4">
        <v>2</v>
      </c>
      <c r="E530" s="24" t="s">
        <v>27</v>
      </c>
      <c r="F530" s="5" t="s">
        <v>11</v>
      </c>
      <c r="G530" s="5" t="s">
        <v>11</v>
      </c>
      <c r="H530" s="5" t="s">
        <v>14</v>
      </c>
      <c r="I530" s="5" t="s">
        <v>17</v>
      </c>
      <c r="J530" s="5" t="s">
        <v>54</v>
      </c>
      <c r="K530" s="6">
        <v>15</v>
      </c>
      <c r="L530" s="15">
        <v>165</v>
      </c>
      <c r="M530" s="15">
        <f t="shared" ca="1" si="58"/>
        <v>11</v>
      </c>
      <c r="N530" s="16">
        <f t="shared" ca="1" si="56"/>
        <v>154</v>
      </c>
      <c r="O530" s="18">
        <f t="shared" ca="1" si="55"/>
        <v>0.93333333333333335</v>
      </c>
      <c r="P530" s="19">
        <f t="shared" si="57"/>
        <v>11</v>
      </c>
      <c r="Q530" s="16" t="str">
        <f>IF(COUNTIF($B$2:B530,B530)=1,SUMIF($B$2:$B$1097,B530,$L$2:$L$1097),"")</f>
        <v/>
      </c>
    </row>
    <row r="531" spans="1:18" ht="12.75" x14ac:dyDescent="0.2">
      <c r="A531" s="3">
        <v>530</v>
      </c>
      <c r="B531" s="26">
        <v>45103</v>
      </c>
      <c r="C531" s="23" t="s">
        <v>30</v>
      </c>
      <c r="D531" s="4">
        <v>3</v>
      </c>
      <c r="E531" s="24" t="s">
        <v>27</v>
      </c>
      <c r="F531" s="5" t="s">
        <v>11</v>
      </c>
      <c r="G531" s="5" t="s">
        <v>11</v>
      </c>
      <c r="H531" s="5" t="s">
        <v>14</v>
      </c>
      <c r="I531" s="5" t="s">
        <v>13</v>
      </c>
      <c r="J531" s="5" t="s">
        <v>56</v>
      </c>
      <c r="K531" s="6">
        <v>15</v>
      </c>
      <c r="L531" s="15">
        <v>165</v>
      </c>
      <c r="M531" s="15">
        <f t="shared" ca="1" si="58"/>
        <v>29</v>
      </c>
      <c r="N531" s="16">
        <f t="shared" ca="1" si="56"/>
        <v>136</v>
      </c>
      <c r="O531" s="18">
        <f t="shared" ca="1" si="55"/>
        <v>0.82424242424242422</v>
      </c>
      <c r="P531" s="19">
        <f t="shared" si="57"/>
        <v>11</v>
      </c>
      <c r="Q531" s="16">
        <f>IF(COUNTIF($B$2:B531,B531)=1,SUMIF($B$2:$B$1097,B531,$L$2:$L$1097),"")</f>
        <v>462</v>
      </c>
      <c r="R531" s="16">
        <f>AVERAGE(Q511:Q531)</f>
        <v>523.16666666666663</v>
      </c>
    </row>
    <row r="532" spans="1:18" ht="12.75" x14ac:dyDescent="0.2">
      <c r="A532" s="3">
        <v>531</v>
      </c>
      <c r="B532" s="26">
        <v>45103</v>
      </c>
      <c r="C532" s="23" t="s">
        <v>30</v>
      </c>
      <c r="D532" s="4">
        <v>3</v>
      </c>
      <c r="E532" s="24" t="s">
        <v>27</v>
      </c>
      <c r="F532" s="5" t="s">
        <v>11</v>
      </c>
      <c r="G532" s="5" t="s">
        <v>11</v>
      </c>
      <c r="H532" s="5" t="s">
        <v>14</v>
      </c>
      <c r="I532" s="5" t="s">
        <v>15</v>
      </c>
      <c r="J532" s="5" t="s">
        <v>56</v>
      </c>
      <c r="K532" s="6">
        <v>11</v>
      </c>
      <c r="L532" s="15">
        <v>121</v>
      </c>
      <c r="M532" s="15">
        <f t="shared" ca="1" si="58"/>
        <v>12</v>
      </c>
      <c r="N532" s="16">
        <f t="shared" ca="1" si="56"/>
        <v>109</v>
      </c>
      <c r="O532" s="18">
        <f t="shared" ca="1" si="55"/>
        <v>0.90082644628099173</v>
      </c>
      <c r="P532" s="19">
        <f t="shared" si="57"/>
        <v>11</v>
      </c>
      <c r="Q532" s="16" t="str">
        <f>IF(COUNTIF($B$2:B532,B532)=1,SUMIF($B$2:$B$1097,B532,$L$2:$L$1097),"")</f>
        <v/>
      </c>
    </row>
    <row r="533" spans="1:18" ht="12.75" x14ac:dyDescent="0.2">
      <c r="A533" s="3">
        <v>532</v>
      </c>
      <c r="B533" s="26">
        <v>45103</v>
      </c>
      <c r="C533" s="23" t="s">
        <v>30</v>
      </c>
      <c r="D533" s="4">
        <v>3</v>
      </c>
      <c r="E533" s="24" t="s">
        <v>27</v>
      </c>
      <c r="F533" s="5" t="s">
        <v>11</v>
      </c>
      <c r="G533" s="5" t="s">
        <v>11</v>
      </c>
      <c r="H533" s="5" t="s">
        <v>14</v>
      </c>
      <c r="I533" s="5" t="s">
        <v>16</v>
      </c>
      <c r="J533" s="5" t="s">
        <v>55</v>
      </c>
      <c r="K533" s="6">
        <v>5</v>
      </c>
      <c r="L533" s="15">
        <v>55</v>
      </c>
      <c r="M533" s="15">
        <f t="shared" ca="1" si="58"/>
        <v>13</v>
      </c>
      <c r="N533" s="16">
        <f t="shared" ca="1" si="56"/>
        <v>42</v>
      </c>
      <c r="O533" s="18">
        <f t="shared" ca="1" si="55"/>
        <v>0.76363636363636367</v>
      </c>
      <c r="P533" s="19">
        <f t="shared" si="57"/>
        <v>11</v>
      </c>
      <c r="Q533" s="16" t="str">
        <f>IF(COUNTIF($B$2:B533,B533)=1,SUMIF($B$2:$B$1097,B533,$L$2:$L$1097),"")</f>
        <v/>
      </c>
    </row>
    <row r="534" spans="1:18" ht="12.75" x14ac:dyDescent="0.2">
      <c r="A534" s="3">
        <v>533</v>
      </c>
      <c r="B534" s="26">
        <v>45103</v>
      </c>
      <c r="C534" s="23" t="s">
        <v>30</v>
      </c>
      <c r="D534" s="4">
        <v>3</v>
      </c>
      <c r="E534" s="24" t="s">
        <v>27</v>
      </c>
      <c r="F534" s="5" t="s">
        <v>11</v>
      </c>
      <c r="G534" s="5" t="s">
        <v>11</v>
      </c>
      <c r="H534" s="5" t="s">
        <v>14</v>
      </c>
      <c r="I534" s="5" t="s">
        <v>17</v>
      </c>
      <c r="J534" s="5" t="s">
        <v>53</v>
      </c>
      <c r="K534" s="6">
        <v>11</v>
      </c>
      <c r="L534" s="15">
        <v>121</v>
      </c>
      <c r="M534" s="15">
        <f t="shared" ca="1" si="58"/>
        <v>47</v>
      </c>
      <c r="N534" s="16">
        <f t="shared" ca="1" si="56"/>
        <v>74</v>
      </c>
      <c r="O534" s="18">
        <f t="shared" ca="1" si="55"/>
        <v>0.61157024793388426</v>
      </c>
      <c r="P534" s="19">
        <f t="shared" si="57"/>
        <v>11</v>
      </c>
      <c r="Q534" s="16" t="str">
        <f>IF(COUNTIF($B$2:B534,B534)=1,SUMIF($B$2:$B$1097,B534,$L$2:$L$1097),"")</f>
        <v/>
      </c>
    </row>
    <row r="535" spans="1:18" ht="12.75" x14ac:dyDescent="0.2">
      <c r="A535" s="3">
        <v>534</v>
      </c>
      <c r="B535" s="26">
        <v>45104</v>
      </c>
      <c r="C535" s="23" t="s">
        <v>30</v>
      </c>
      <c r="D535" s="4">
        <v>4</v>
      </c>
      <c r="E535" s="24" t="s">
        <v>27</v>
      </c>
      <c r="F535" s="5" t="s">
        <v>11</v>
      </c>
      <c r="G535" s="5" t="s">
        <v>11</v>
      </c>
      <c r="H535" s="5" t="s">
        <v>14</v>
      </c>
      <c r="I535" s="5" t="s">
        <v>13</v>
      </c>
      <c r="J535" s="5" t="s">
        <v>52</v>
      </c>
      <c r="K535" s="6">
        <v>16</v>
      </c>
      <c r="L535" s="15">
        <v>176</v>
      </c>
      <c r="M535" s="15">
        <f t="shared" ca="1" si="58"/>
        <v>17</v>
      </c>
      <c r="N535" s="16">
        <f t="shared" ca="1" si="56"/>
        <v>159</v>
      </c>
      <c r="O535" s="18">
        <f t="shared" ca="1" si="55"/>
        <v>0.90340909090909094</v>
      </c>
      <c r="P535" s="19">
        <f t="shared" si="57"/>
        <v>11</v>
      </c>
      <c r="Q535" s="16">
        <f>IF(COUNTIF($B$2:B535,B535)=1,SUMIF($B$2:$B$1097,B535,$L$2:$L$1097),"")</f>
        <v>440</v>
      </c>
      <c r="R535" s="16">
        <f>AVERAGE(Q515:Q535)</f>
        <v>525</v>
      </c>
    </row>
    <row r="536" spans="1:18" ht="12.75" x14ac:dyDescent="0.2">
      <c r="A536" s="3">
        <v>535</v>
      </c>
      <c r="B536" s="26">
        <v>45104</v>
      </c>
      <c r="C536" s="23" t="s">
        <v>30</v>
      </c>
      <c r="D536" s="4">
        <v>4</v>
      </c>
      <c r="E536" s="24" t="s">
        <v>27</v>
      </c>
      <c r="F536" s="5" t="s">
        <v>11</v>
      </c>
      <c r="G536" s="5" t="s">
        <v>11</v>
      </c>
      <c r="H536" s="5" t="s">
        <v>14</v>
      </c>
      <c r="I536" s="5" t="s">
        <v>15</v>
      </c>
      <c r="J536" s="5" t="s">
        <v>54</v>
      </c>
      <c r="K536" s="6">
        <v>8</v>
      </c>
      <c r="L536" s="15">
        <v>88</v>
      </c>
      <c r="M536" s="15">
        <f t="shared" ca="1" si="58"/>
        <v>37</v>
      </c>
      <c r="N536" s="16">
        <f t="shared" ca="1" si="56"/>
        <v>51</v>
      </c>
      <c r="O536" s="18">
        <f t="shared" ca="1" si="55"/>
        <v>0.57954545454545459</v>
      </c>
      <c r="P536" s="19">
        <f t="shared" si="57"/>
        <v>11</v>
      </c>
      <c r="Q536" s="16" t="str">
        <f>IF(COUNTIF($B$2:B536,B536)=1,SUMIF($B$2:$B$1097,B536,$L$2:$L$1097),"")</f>
        <v/>
      </c>
    </row>
    <row r="537" spans="1:18" ht="12.75" x14ac:dyDescent="0.2">
      <c r="A537" s="3">
        <v>536</v>
      </c>
      <c r="B537" s="26">
        <v>45104</v>
      </c>
      <c r="C537" s="23" t="s">
        <v>30</v>
      </c>
      <c r="D537" s="4">
        <v>4</v>
      </c>
      <c r="E537" s="24" t="s">
        <v>27</v>
      </c>
      <c r="F537" s="5" t="s">
        <v>11</v>
      </c>
      <c r="G537" s="5" t="s">
        <v>11</v>
      </c>
      <c r="H537" s="5" t="s">
        <v>14</v>
      </c>
      <c r="I537" s="5" t="s">
        <v>16</v>
      </c>
      <c r="J537" s="5" t="s">
        <v>54</v>
      </c>
      <c r="K537" s="6">
        <v>5</v>
      </c>
      <c r="L537" s="15">
        <v>55</v>
      </c>
      <c r="M537" s="15">
        <f t="shared" ca="1" si="58"/>
        <v>2</v>
      </c>
      <c r="N537" s="16">
        <f t="shared" ca="1" si="56"/>
        <v>53</v>
      </c>
      <c r="O537" s="18">
        <f t="shared" ca="1" si="55"/>
        <v>0.96363636363636362</v>
      </c>
      <c r="P537" s="19">
        <f t="shared" si="57"/>
        <v>11</v>
      </c>
      <c r="Q537" s="16" t="str">
        <f>IF(COUNTIF($B$2:B537,B537)=1,SUMIF($B$2:$B$1097,B537,$L$2:$L$1097),"")</f>
        <v/>
      </c>
    </row>
    <row r="538" spans="1:18" ht="12.75" x14ac:dyDescent="0.2">
      <c r="A538" s="3">
        <v>537</v>
      </c>
      <c r="B538" s="26">
        <v>45104</v>
      </c>
      <c r="C538" s="23" t="s">
        <v>30</v>
      </c>
      <c r="D538" s="4">
        <v>4</v>
      </c>
      <c r="E538" s="24" t="s">
        <v>27</v>
      </c>
      <c r="F538" s="5" t="s">
        <v>11</v>
      </c>
      <c r="G538" s="5" t="s">
        <v>11</v>
      </c>
      <c r="H538" s="5" t="s">
        <v>14</v>
      </c>
      <c r="I538" s="5" t="s">
        <v>17</v>
      </c>
      <c r="J538" s="5" t="s">
        <v>54</v>
      </c>
      <c r="K538" s="6">
        <v>11</v>
      </c>
      <c r="L538" s="15">
        <v>121</v>
      </c>
      <c r="M538" s="15">
        <f t="shared" ca="1" si="58"/>
        <v>36</v>
      </c>
      <c r="N538" s="16">
        <f t="shared" ca="1" si="56"/>
        <v>85</v>
      </c>
      <c r="O538" s="18">
        <f t="shared" ca="1" si="55"/>
        <v>0.7024793388429752</v>
      </c>
      <c r="P538" s="19">
        <f t="shared" si="57"/>
        <v>11</v>
      </c>
      <c r="Q538" s="16" t="str">
        <f>IF(COUNTIF($B$2:B538,B538)=1,SUMIF($B$2:$B$1097,B538,$L$2:$L$1097),"")</f>
        <v/>
      </c>
    </row>
    <row r="539" spans="1:18" ht="12.75" x14ac:dyDescent="0.2">
      <c r="A539" s="3">
        <v>538</v>
      </c>
      <c r="B539" s="26">
        <v>45105</v>
      </c>
      <c r="C539" s="23" t="s">
        <v>30</v>
      </c>
      <c r="D539" s="4">
        <v>5</v>
      </c>
      <c r="E539" s="24" t="s">
        <v>27</v>
      </c>
      <c r="F539" s="5" t="s">
        <v>11</v>
      </c>
      <c r="G539" s="5" t="s">
        <v>11</v>
      </c>
      <c r="H539" s="5" t="s">
        <v>14</v>
      </c>
      <c r="I539" s="5" t="s">
        <v>13</v>
      </c>
      <c r="J539" s="5" t="s">
        <v>56</v>
      </c>
      <c r="K539" s="6">
        <v>19</v>
      </c>
      <c r="L539" s="15">
        <v>209</v>
      </c>
      <c r="M539" s="15">
        <f t="shared" ca="1" si="58"/>
        <v>38</v>
      </c>
      <c r="N539" s="16">
        <f t="shared" ca="1" si="56"/>
        <v>171</v>
      </c>
      <c r="O539" s="18">
        <f t="shared" ca="1" si="55"/>
        <v>0.81818181818181823</v>
      </c>
      <c r="P539" s="19">
        <f t="shared" si="57"/>
        <v>11</v>
      </c>
      <c r="Q539" s="16">
        <f>IF(COUNTIF($B$2:B539,B539)=1,SUMIF($B$2:$B$1097,B539,$L$2:$L$1097),"")</f>
        <v>506</v>
      </c>
      <c r="R539" s="16">
        <f>AVERAGE(Q519:Q539)</f>
        <v>520</v>
      </c>
    </row>
    <row r="540" spans="1:18" ht="12.75" x14ac:dyDescent="0.2">
      <c r="A540" s="3">
        <v>539</v>
      </c>
      <c r="B540" s="26">
        <v>45105</v>
      </c>
      <c r="C540" s="23" t="s">
        <v>30</v>
      </c>
      <c r="D540" s="4">
        <v>5</v>
      </c>
      <c r="E540" s="24" t="s">
        <v>27</v>
      </c>
      <c r="F540" s="5" t="s">
        <v>11</v>
      </c>
      <c r="G540" s="5" t="s">
        <v>11</v>
      </c>
      <c r="H540" s="5" t="s">
        <v>14</v>
      </c>
      <c r="I540" s="5" t="s">
        <v>15</v>
      </c>
      <c r="J540" s="5" t="s">
        <v>56</v>
      </c>
      <c r="K540" s="6">
        <v>9</v>
      </c>
      <c r="L540" s="15">
        <v>99</v>
      </c>
      <c r="M540" s="15">
        <f t="shared" ca="1" si="58"/>
        <v>11</v>
      </c>
      <c r="N540" s="16">
        <f t="shared" ca="1" si="56"/>
        <v>88</v>
      </c>
      <c r="O540" s="18">
        <f t="shared" ca="1" si="55"/>
        <v>0.88888888888888884</v>
      </c>
      <c r="P540" s="19">
        <f t="shared" si="57"/>
        <v>11</v>
      </c>
      <c r="Q540" s="16" t="str">
        <f>IF(COUNTIF($B$2:B540,B540)=1,SUMIF($B$2:$B$1097,B540,$L$2:$L$1097),"")</f>
        <v/>
      </c>
    </row>
    <row r="541" spans="1:18" ht="12.75" x14ac:dyDescent="0.2">
      <c r="A541" s="3">
        <v>540</v>
      </c>
      <c r="B541" s="26">
        <v>45105</v>
      </c>
      <c r="C541" s="23" t="s">
        <v>30</v>
      </c>
      <c r="D541" s="4">
        <v>5</v>
      </c>
      <c r="E541" s="24" t="s">
        <v>27</v>
      </c>
      <c r="F541" s="5" t="s">
        <v>11</v>
      </c>
      <c r="G541" s="5" t="s">
        <v>11</v>
      </c>
      <c r="H541" s="5" t="s">
        <v>14</v>
      </c>
      <c r="I541" s="5" t="s">
        <v>16</v>
      </c>
      <c r="J541" s="5" t="s">
        <v>55</v>
      </c>
      <c r="K541" s="6">
        <v>5</v>
      </c>
      <c r="L541" s="15">
        <v>55</v>
      </c>
      <c r="M541" s="15">
        <f t="shared" ca="1" si="58"/>
        <v>36</v>
      </c>
      <c r="N541" s="16">
        <f t="shared" ca="1" si="56"/>
        <v>19</v>
      </c>
      <c r="O541" s="18">
        <f t="shared" ca="1" si="55"/>
        <v>0.34545454545454546</v>
      </c>
      <c r="P541" s="19">
        <f t="shared" si="57"/>
        <v>11</v>
      </c>
      <c r="Q541" s="16" t="str">
        <f>IF(COUNTIF($B$2:B541,B541)=1,SUMIF($B$2:$B$1097,B541,$L$2:$L$1097),"")</f>
        <v/>
      </c>
    </row>
    <row r="542" spans="1:18" ht="12.75" x14ac:dyDescent="0.2">
      <c r="A542" s="3">
        <v>541</v>
      </c>
      <c r="B542" s="26">
        <v>45105</v>
      </c>
      <c r="C542" s="23" t="s">
        <v>30</v>
      </c>
      <c r="D542" s="4">
        <v>5</v>
      </c>
      <c r="E542" s="24" t="s">
        <v>27</v>
      </c>
      <c r="F542" s="5" t="s">
        <v>11</v>
      </c>
      <c r="G542" s="5" t="s">
        <v>11</v>
      </c>
      <c r="H542" s="5" t="s">
        <v>14</v>
      </c>
      <c r="I542" s="5" t="s">
        <v>17</v>
      </c>
      <c r="J542" s="5" t="s">
        <v>53</v>
      </c>
      <c r="K542" s="6">
        <v>13</v>
      </c>
      <c r="L542" s="15">
        <v>143</v>
      </c>
      <c r="M542" s="15">
        <f t="shared" ca="1" si="58"/>
        <v>41</v>
      </c>
      <c r="N542" s="16">
        <f t="shared" ca="1" si="56"/>
        <v>102</v>
      </c>
      <c r="O542" s="18">
        <f t="shared" ca="1" si="55"/>
        <v>0.71328671328671334</v>
      </c>
      <c r="P542" s="19">
        <f t="shared" si="57"/>
        <v>11</v>
      </c>
      <c r="Q542" s="16" t="str">
        <f>IF(COUNTIF($B$2:B542,B542)=1,SUMIF($B$2:$B$1097,B542,$L$2:$L$1097),"")</f>
        <v/>
      </c>
    </row>
    <row r="543" spans="1:18" ht="12.75" x14ac:dyDescent="0.2">
      <c r="A543" s="3">
        <v>542</v>
      </c>
      <c r="B543" s="26">
        <v>45106</v>
      </c>
      <c r="C543" s="23" t="s">
        <v>30</v>
      </c>
      <c r="D543" s="4">
        <v>6</v>
      </c>
      <c r="E543" s="24" t="s">
        <v>27</v>
      </c>
      <c r="F543" s="5" t="s">
        <v>11</v>
      </c>
      <c r="G543" s="5" t="s">
        <v>11</v>
      </c>
      <c r="H543" s="5" t="s">
        <v>14</v>
      </c>
      <c r="I543" s="5" t="s">
        <v>13</v>
      </c>
      <c r="J543" s="5" t="s">
        <v>52</v>
      </c>
      <c r="K543" s="6">
        <v>23</v>
      </c>
      <c r="L543" s="15">
        <v>253</v>
      </c>
      <c r="M543" s="15">
        <f t="shared" ca="1" si="58"/>
        <v>43</v>
      </c>
      <c r="N543" s="16">
        <f t="shared" ca="1" si="56"/>
        <v>210</v>
      </c>
      <c r="O543" s="18">
        <f t="shared" ca="1" si="55"/>
        <v>0.83003952569169959</v>
      </c>
      <c r="P543" s="19">
        <f t="shared" si="57"/>
        <v>11</v>
      </c>
      <c r="Q543" s="16">
        <f>IF(COUNTIF($B$2:B543,B543)=1,SUMIF($B$2:$B$1097,B543,$L$2:$L$1097),"")</f>
        <v>583</v>
      </c>
      <c r="R543" s="16">
        <f>AVERAGE(Q523:Q543)</f>
        <v>472.16666666666669</v>
      </c>
    </row>
    <row r="544" spans="1:18" ht="12.75" x14ac:dyDescent="0.2">
      <c r="A544" s="3">
        <v>543</v>
      </c>
      <c r="B544" s="26">
        <v>45106</v>
      </c>
      <c r="C544" s="23" t="s">
        <v>30</v>
      </c>
      <c r="D544" s="4">
        <v>6</v>
      </c>
      <c r="E544" s="24" t="s">
        <v>27</v>
      </c>
      <c r="F544" s="5" t="s">
        <v>11</v>
      </c>
      <c r="G544" s="5" t="s">
        <v>11</v>
      </c>
      <c r="H544" s="5" t="s">
        <v>14</v>
      </c>
      <c r="I544" s="5" t="s">
        <v>15</v>
      </c>
      <c r="J544" s="5" t="s">
        <v>55</v>
      </c>
      <c r="K544" s="6">
        <v>9</v>
      </c>
      <c r="L544" s="15">
        <v>99</v>
      </c>
      <c r="M544" s="15">
        <f t="shared" ca="1" si="58"/>
        <v>10</v>
      </c>
      <c r="N544" s="16">
        <f t="shared" ca="1" si="56"/>
        <v>89</v>
      </c>
      <c r="O544" s="18">
        <f t="shared" ca="1" si="55"/>
        <v>0.89898989898989901</v>
      </c>
      <c r="P544" s="19">
        <f t="shared" si="57"/>
        <v>11</v>
      </c>
      <c r="Q544" s="16" t="str">
        <f>IF(COUNTIF($B$2:B544,B544)=1,SUMIF($B$2:$B$1097,B544,$L$2:$L$1097),"")</f>
        <v/>
      </c>
    </row>
    <row r="545" spans="1:18" ht="12.75" x14ac:dyDescent="0.2">
      <c r="A545" s="3">
        <v>544</v>
      </c>
      <c r="B545" s="26">
        <v>45106</v>
      </c>
      <c r="C545" s="23" t="s">
        <v>30</v>
      </c>
      <c r="D545" s="4">
        <v>6</v>
      </c>
      <c r="E545" s="24" t="s">
        <v>27</v>
      </c>
      <c r="F545" s="5" t="s">
        <v>11</v>
      </c>
      <c r="G545" s="5" t="s">
        <v>11</v>
      </c>
      <c r="H545" s="5" t="s">
        <v>14</v>
      </c>
      <c r="I545" s="5" t="s">
        <v>16</v>
      </c>
      <c r="J545" s="5" t="s">
        <v>55</v>
      </c>
      <c r="K545" s="6">
        <v>8</v>
      </c>
      <c r="L545" s="15">
        <v>88</v>
      </c>
      <c r="M545" s="15">
        <f t="shared" ca="1" si="58"/>
        <v>5</v>
      </c>
      <c r="N545" s="16">
        <f t="shared" ca="1" si="56"/>
        <v>83</v>
      </c>
      <c r="O545" s="18">
        <f t="shared" ca="1" si="55"/>
        <v>0.94318181818181823</v>
      </c>
      <c r="P545" s="19">
        <f t="shared" si="57"/>
        <v>11</v>
      </c>
      <c r="Q545" s="16" t="str">
        <f>IF(COUNTIF($B$2:B545,B545)=1,SUMIF($B$2:$B$1097,B545,$L$2:$L$1097),"")</f>
        <v/>
      </c>
    </row>
    <row r="546" spans="1:18" ht="12.75" x14ac:dyDescent="0.2">
      <c r="A546" s="3">
        <v>545</v>
      </c>
      <c r="B546" s="26">
        <v>45106</v>
      </c>
      <c r="C546" s="23" t="s">
        <v>30</v>
      </c>
      <c r="D546" s="4">
        <v>6</v>
      </c>
      <c r="E546" s="24" t="s">
        <v>27</v>
      </c>
      <c r="F546" s="5" t="s">
        <v>11</v>
      </c>
      <c r="G546" s="5" t="s">
        <v>11</v>
      </c>
      <c r="H546" s="5" t="s">
        <v>14</v>
      </c>
      <c r="I546" s="5" t="s">
        <v>17</v>
      </c>
      <c r="J546" s="5" t="s">
        <v>53</v>
      </c>
      <c r="K546" s="6">
        <v>13</v>
      </c>
      <c r="L546" s="15">
        <v>143</v>
      </c>
      <c r="M546" s="15">
        <f t="shared" ca="1" si="58"/>
        <v>1</v>
      </c>
      <c r="N546" s="16">
        <f t="shared" ca="1" si="56"/>
        <v>142</v>
      </c>
      <c r="O546" s="18">
        <f t="shared" ca="1" si="55"/>
        <v>0.99300699300699302</v>
      </c>
      <c r="P546" s="19">
        <f t="shared" si="57"/>
        <v>11</v>
      </c>
      <c r="Q546" s="16" t="str">
        <f>IF(COUNTIF($B$2:B546,B546)=1,SUMIF($B$2:$B$1097,B546,$L$2:$L$1097),"")</f>
        <v/>
      </c>
    </row>
    <row r="547" spans="1:18" ht="12.75" x14ac:dyDescent="0.2">
      <c r="A547" s="3">
        <v>546</v>
      </c>
      <c r="B547" s="26">
        <v>45107</v>
      </c>
      <c r="C547" s="23" t="s">
        <v>30</v>
      </c>
      <c r="D547" s="4">
        <v>7</v>
      </c>
      <c r="E547" s="24" t="s">
        <v>27</v>
      </c>
      <c r="F547" s="5" t="s">
        <v>11</v>
      </c>
      <c r="G547" s="5" t="s">
        <v>11</v>
      </c>
      <c r="H547" s="5" t="s">
        <v>14</v>
      </c>
      <c r="I547" s="5" t="s">
        <v>13</v>
      </c>
      <c r="J547" s="5" t="s">
        <v>56</v>
      </c>
      <c r="K547" s="6">
        <v>21</v>
      </c>
      <c r="L547" s="15">
        <v>231</v>
      </c>
      <c r="M547" s="15">
        <f t="shared" ca="1" si="58"/>
        <v>12</v>
      </c>
      <c r="N547" s="16">
        <f t="shared" ca="1" si="56"/>
        <v>219</v>
      </c>
      <c r="O547" s="18">
        <f t="shared" ca="1" si="55"/>
        <v>0.94805194805194803</v>
      </c>
      <c r="P547" s="19">
        <f t="shared" si="57"/>
        <v>11</v>
      </c>
      <c r="Q547" s="16">
        <f>IF(COUNTIF($B$2:B547,B547)=1,SUMIF($B$2:$B$1097,B547,$L$2:$L$1097),"")</f>
        <v>231</v>
      </c>
      <c r="R547" s="16">
        <f t="shared" ref="R547:R548" si="60">AVERAGE(Q527:Q547)</f>
        <v>471.16666666666669</v>
      </c>
    </row>
    <row r="548" spans="1:18" ht="12.75" x14ac:dyDescent="0.2">
      <c r="A548" s="3">
        <v>547</v>
      </c>
      <c r="B548" s="26">
        <v>45109</v>
      </c>
      <c r="C548" s="23" t="s">
        <v>32</v>
      </c>
      <c r="D548" s="4">
        <v>2</v>
      </c>
      <c r="E548" s="24" t="s">
        <v>33</v>
      </c>
      <c r="F548" s="5" t="s">
        <v>11</v>
      </c>
      <c r="G548" s="5" t="s">
        <v>11</v>
      </c>
      <c r="H548" s="5" t="s">
        <v>14</v>
      </c>
      <c r="I548" s="5" t="s">
        <v>13</v>
      </c>
      <c r="J548" s="5" t="s">
        <v>52</v>
      </c>
      <c r="K548" s="6">
        <v>19</v>
      </c>
      <c r="L548" s="15">
        <v>209</v>
      </c>
      <c r="M548" s="15">
        <f t="shared" ca="1" si="58"/>
        <v>32</v>
      </c>
      <c r="N548" s="16">
        <f t="shared" ca="1" si="56"/>
        <v>177</v>
      </c>
      <c r="O548" s="18">
        <f t="shared" ca="1" si="55"/>
        <v>0.84688995215311003</v>
      </c>
      <c r="P548" s="19">
        <f t="shared" si="57"/>
        <v>11</v>
      </c>
      <c r="Q548" s="16">
        <f>IF(COUNTIF($B$2:B548,B548)=1,SUMIF($B$2:$B$1097,B548,$L$2:$L$1097),"")</f>
        <v>583</v>
      </c>
      <c r="R548" s="16">
        <f t="shared" si="60"/>
        <v>467.5</v>
      </c>
    </row>
    <row r="549" spans="1:18" ht="12.75" x14ac:dyDescent="0.2">
      <c r="A549" s="3">
        <v>548</v>
      </c>
      <c r="B549" s="26">
        <v>45109</v>
      </c>
      <c r="C549" s="23" t="s">
        <v>32</v>
      </c>
      <c r="D549" s="4">
        <v>2</v>
      </c>
      <c r="E549" s="24" t="s">
        <v>33</v>
      </c>
      <c r="F549" s="5" t="s">
        <v>11</v>
      </c>
      <c r="G549" s="5" t="s">
        <v>11</v>
      </c>
      <c r="H549" s="5" t="s">
        <v>14</v>
      </c>
      <c r="I549" s="5" t="s">
        <v>15</v>
      </c>
      <c r="J549" s="5" t="s">
        <v>54</v>
      </c>
      <c r="K549" s="6">
        <v>12</v>
      </c>
      <c r="L549" s="15">
        <v>132</v>
      </c>
      <c r="M549" s="15">
        <f t="shared" ca="1" si="58"/>
        <v>31</v>
      </c>
      <c r="N549" s="16">
        <f t="shared" ca="1" si="56"/>
        <v>101</v>
      </c>
      <c r="O549" s="18">
        <f t="shared" ca="1" si="55"/>
        <v>0.76515151515151514</v>
      </c>
      <c r="P549" s="19">
        <f t="shared" si="57"/>
        <v>11</v>
      </c>
      <c r="Q549" s="16" t="str">
        <f>IF(COUNTIF($B$2:B549,B549)=1,SUMIF($B$2:$B$1097,B549,$L$2:$L$1097),"")</f>
        <v/>
      </c>
    </row>
    <row r="550" spans="1:18" ht="12.75" x14ac:dyDescent="0.2">
      <c r="A550" s="3">
        <v>549</v>
      </c>
      <c r="B550" s="26">
        <v>45109</v>
      </c>
      <c r="C550" s="23" t="s">
        <v>32</v>
      </c>
      <c r="D550" s="4">
        <v>2</v>
      </c>
      <c r="E550" s="24" t="s">
        <v>33</v>
      </c>
      <c r="F550" s="5" t="s">
        <v>11</v>
      </c>
      <c r="G550" s="5" t="s">
        <v>11</v>
      </c>
      <c r="H550" s="5" t="s">
        <v>14</v>
      </c>
      <c r="I550" s="5" t="s">
        <v>16</v>
      </c>
      <c r="J550" s="5" t="s">
        <v>54</v>
      </c>
      <c r="K550" s="6">
        <v>9</v>
      </c>
      <c r="L550" s="15">
        <v>99</v>
      </c>
      <c r="M550" s="15">
        <f t="shared" ca="1" si="58"/>
        <v>20</v>
      </c>
      <c r="N550" s="16">
        <f t="shared" ca="1" si="56"/>
        <v>79</v>
      </c>
      <c r="O550" s="18">
        <f t="shared" ca="1" si="55"/>
        <v>0.79797979797979801</v>
      </c>
      <c r="P550" s="19">
        <f t="shared" si="57"/>
        <v>11</v>
      </c>
      <c r="Q550" s="16" t="str">
        <f>IF(COUNTIF($B$2:B550,B550)=1,SUMIF($B$2:$B$1097,B550,$L$2:$L$1097),"")</f>
        <v/>
      </c>
    </row>
    <row r="551" spans="1:18" ht="12.75" x14ac:dyDescent="0.2">
      <c r="A551" s="3">
        <v>550</v>
      </c>
      <c r="B551" s="26">
        <v>45109</v>
      </c>
      <c r="C551" s="23" t="s">
        <v>32</v>
      </c>
      <c r="D551" s="4">
        <v>2</v>
      </c>
      <c r="E551" s="24" t="s">
        <v>33</v>
      </c>
      <c r="F551" s="5" t="s">
        <v>11</v>
      </c>
      <c r="G551" s="5" t="s">
        <v>11</v>
      </c>
      <c r="H551" s="5" t="s">
        <v>14</v>
      </c>
      <c r="I551" s="5" t="s">
        <v>17</v>
      </c>
      <c r="J551" s="5" t="s">
        <v>54</v>
      </c>
      <c r="K551" s="6">
        <v>13</v>
      </c>
      <c r="L551" s="15">
        <v>143</v>
      </c>
      <c r="M551" s="15">
        <f t="shared" ca="1" si="58"/>
        <v>33</v>
      </c>
      <c r="N551" s="16">
        <f t="shared" ca="1" si="56"/>
        <v>110</v>
      </c>
      <c r="O551" s="18">
        <f t="shared" ca="1" si="55"/>
        <v>0.76923076923076927</v>
      </c>
      <c r="P551" s="19">
        <f t="shared" si="57"/>
        <v>11</v>
      </c>
      <c r="Q551" s="16" t="str">
        <f>IF(COUNTIF($B$2:B551,B551)=1,SUMIF($B$2:$B$1097,B551,$L$2:$L$1097),"")</f>
        <v/>
      </c>
    </row>
    <row r="552" spans="1:18" ht="12.75" x14ac:dyDescent="0.2">
      <c r="A552" s="3">
        <v>551</v>
      </c>
      <c r="B552" s="26">
        <v>45110</v>
      </c>
      <c r="C552" s="23" t="s">
        <v>32</v>
      </c>
      <c r="D552" s="4">
        <v>3</v>
      </c>
      <c r="E552" s="24" t="s">
        <v>33</v>
      </c>
      <c r="F552" s="5" t="s">
        <v>11</v>
      </c>
      <c r="G552" s="5" t="s">
        <v>11</v>
      </c>
      <c r="H552" s="5" t="s">
        <v>14</v>
      </c>
      <c r="I552" s="5" t="s">
        <v>13</v>
      </c>
      <c r="J552" s="5" t="s">
        <v>56</v>
      </c>
      <c r="K552" s="6">
        <v>17</v>
      </c>
      <c r="L552" s="15">
        <v>187</v>
      </c>
      <c r="M552" s="15">
        <f t="shared" ca="1" si="58"/>
        <v>1</v>
      </c>
      <c r="N552" s="16">
        <f t="shared" ca="1" si="56"/>
        <v>186</v>
      </c>
      <c r="O552" s="18">
        <f t="shared" ca="1" si="55"/>
        <v>0.99465240641711228</v>
      </c>
      <c r="P552" s="19">
        <f t="shared" si="57"/>
        <v>11</v>
      </c>
      <c r="Q552" s="16">
        <f>IF(COUNTIF($B$2:B552,B552)=1,SUMIF($B$2:$B$1097,B552,$L$2:$L$1097),"")</f>
        <v>473</v>
      </c>
      <c r="R552" s="16">
        <f>AVERAGE(Q532:Q552)</f>
        <v>469.33333333333331</v>
      </c>
    </row>
    <row r="553" spans="1:18" ht="12.75" x14ac:dyDescent="0.2">
      <c r="A553" s="3">
        <v>552</v>
      </c>
      <c r="B553" s="26">
        <v>45110</v>
      </c>
      <c r="C553" s="23" t="s">
        <v>32</v>
      </c>
      <c r="D553" s="4">
        <v>3</v>
      </c>
      <c r="E553" s="24" t="s">
        <v>33</v>
      </c>
      <c r="F553" s="5" t="s">
        <v>11</v>
      </c>
      <c r="G553" s="5" t="s">
        <v>11</v>
      </c>
      <c r="H553" s="5" t="s">
        <v>14</v>
      </c>
      <c r="I553" s="5" t="s">
        <v>15</v>
      </c>
      <c r="J553" s="5" t="s">
        <v>56</v>
      </c>
      <c r="K553" s="6">
        <v>10</v>
      </c>
      <c r="L553" s="15">
        <v>110</v>
      </c>
      <c r="M553" s="15">
        <f t="shared" ca="1" si="58"/>
        <v>10</v>
      </c>
      <c r="N553" s="16">
        <f t="shared" ca="1" si="56"/>
        <v>100</v>
      </c>
      <c r="O553" s="18">
        <f t="shared" ca="1" si="55"/>
        <v>0.90909090909090906</v>
      </c>
      <c r="P553" s="19">
        <f t="shared" si="57"/>
        <v>11</v>
      </c>
      <c r="Q553" s="16" t="str">
        <f>IF(COUNTIF($B$2:B553,B553)=1,SUMIF($B$2:$B$1097,B553,$L$2:$L$1097),"")</f>
        <v/>
      </c>
    </row>
    <row r="554" spans="1:18" ht="12.75" x14ac:dyDescent="0.2">
      <c r="A554" s="3">
        <v>553</v>
      </c>
      <c r="B554" s="26">
        <v>45110</v>
      </c>
      <c r="C554" s="23" t="s">
        <v>32</v>
      </c>
      <c r="D554" s="4">
        <v>3</v>
      </c>
      <c r="E554" s="24" t="s">
        <v>33</v>
      </c>
      <c r="F554" s="5" t="s">
        <v>11</v>
      </c>
      <c r="G554" s="5" t="s">
        <v>11</v>
      </c>
      <c r="H554" s="5" t="s">
        <v>14</v>
      </c>
      <c r="I554" s="5" t="s">
        <v>16</v>
      </c>
      <c r="J554" s="5" t="s">
        <v>55</v>
      </c>
      <c r="K554" s="6">
        <v>5</v>
      </c>
      <c r="L554" s="15">
        <v>55</v>
      </c>
      <c r="M554" s="15">
        <f t="shared" ca="1" si="58"/>
        <v>2</v>
      </c>
      <c r="N554" s="16">
        <f t="shared" ca="1" si="56"/>
        <v>53</v>
      </c>
      <c r="O554" s="18">
        <f t="shared" ca="1" si="55"/>
        <v>0.96363636363636362</v>
      </c>
      <c r="P554" s="19">
        <f t="shared" si="57"/>
        <v>11</v>
      </c>
      <c r="Q554" s="16" t="str">
        <f>IF(COUNTIF($B$2:B554,B554)=1,SUMIF($B$2:$B$1097,B554,$L$2:$L$1097),"")</f>
        <v/>
      </c>
    </row>
    <row r="555" spans="1:18" ht="12.75" x14ac:dyDescent="0.2">
      <c r="A555" s="3">
        <v>554</v>
      </c>
      <c r="B555" s="26">
        <v>45110</v>
      </c>
      <c r="C555" s="23" t="s">
        <v>32</v>
      </c>
      <c r="D555" s="4">
        <v>3</v>
      </c>
      <c r="E555" s="24" t="s">
        <v>33</v>
      </c>
      <c r="F555" s="5" t="s">
        <v>11</v>
      </c>
      <c r="G555" s="5" t="s">
        <v>11</v>
      </c>
      <c r="H555" s="5" t="s">
        <v>14</v>
      </c>
      <c r="I555" s="5" t="s">
        <v>17</v>
      </c>
      <c r="J555" s="5" t="s">
        <v>53</v>
      </c>
      <c r="K555" s="6">
        <v>11</v>
      </c>
      <c r="L555" s="15">
        <v>121</v>
      </c>
      <c r="M555" s="15">
        <f t="shared" ca="1" si="58"/>
        <v>3</v>
      </c>
      <c r="N555" s="16">
        <f t="shared" ca="1" si="56"/>
        <v>118</v>
      </c>
      <c r="O555" s="18">
        <f t="shared" ca="1" si="55"/>
        <v>0.97520661157024791</v>
      </c>
      <c r="P555" s="19">
        <f t="shared" si="57"/>
        <v>11</v>
      </c>
      <c r="Q555" s="16" t="str">
        <f>IF(COUNTIF($B$2:B555,B555)=1,SUMIF($B$2:$B$1097,B555,$L$2:$L$1097),"")</f>
        <v/>
      </c>
    </row>
    <row r="556" spans="1:18" ht="12.75" x14ac:dyDescent="0.2">
      <c r="A556" s="3">
        <v>555</v>
      </c>
      <c r="B556" s="26">
        <v>45111</v>
      </c>
      <c r="C556" s="23" t="s">
        <v>32</v>
      </c>
      <c r="D556" s="4">
        <v>4</v>
      </c>
      <c r="E556" s="24" t="s">
        <v>33</v>
      </c>
      <c r="F556" s="5" t="s">
        <v>10</v>
      </c>
      <c r="G556" s="5" t="s">
        <v>11</v>
      </c>
      <c r="H556" s="5" t="s">
        <v>34</v>
      </c>
      <c r="I556" s="5" t="s">
        <v>13</v>
      </c>
      <c r="J556" s="5" t="s">
        <v>14</v>
      </c>
      <c r="K556" s="6">
        <v>0</v>
      </c>
      <c r="L556" s="15">
        <v>0</v>
      </c>
      <c r="M556" s="15">
        <v>10</v>
      </c>
      <c r="N556" s="16">
        <f t="shared" si="56"/>
        <v>-10</v>
      </c>
      <c r="O556" s="18">
        <f t="shared" si="55"/>
        <v>0</v>
      </c>
      <c r="P556" s="19">
        <f t="shared" si="57"/>
        <v>0</v>
      </c>
      <c r="Q556" s="16">
        <f>IF(COUNTIF($B$2:B556,B556)=1,SUMIF($B$2:$B$1097,B556,$L$2:$L$1097),"")</f>
        <v>0</v>
      </c>
      <c r="R556" s="16">
        <f>AVERAGE(Q536:Q556)</f>
        <v>396</v>
      </c>
    </row>
    <row r="557" spans="1:18" ht="12.75" x14ac:dyDescent="0.2">
      <c r="A557" s="3">
        <v>556</v>
      </c>
      <c r="B557" s="26">
        <v>45111</v>
      </c>
      <c r="C557" s="23" t="s">
        <v>32</v>
      </c>
      <c r="D557" s="4">
        <v>4</v>
      </c>
      <c r="E557" s="24" t="s">
        <v>33</v>
      </c>
      <c r="F557" s="5" t="s">
        <v>10</v>
      </c>
      <c r="G557" s="5" t="s">
        <v>11</v>
      </c>
      <c r="H557" s="5" t="s">
        <v>34</v>
      </c>
      <c r="I557" s="5" t="s">
        <v>15</v>
      </c>
      <c r="J557" s="5" t="s">
        <v>14</v>
      </c>
      <c r="K557" s="6">
        <v>0</v>
      </c>
      <c r="L557" s="15">
        <v>0</v>
      </c>
      <c r="M557" s="15">
        <v>10</v>
      </c>
      <c r="N557" s="16">
        <f t="shared" si="56"/>
        <v>-10</v>
      </c>
      <c r="O557" s="18">
        <f t="shared" si="55"/>
        <v>0</v>
      </c>
      <c r="P557" s="19">
        <f t="shared" si="57"/>
        <v>0</v>
      </c>
      <c r="Q557" s="16" t="str">
        <f>IF(COUNTIF($B$2:B557,B557)=1,SUMIF($B$2:$B$1097,B557,$L$2:$L$1097),"")</f>
        <v/>
      </c>
    </row>
    <row r="558" spans="1:18" ht="12.75" x14ac:dyDescent="0.2">
      <c r="A558" s="3">
        <v>557</v>
      </c>
      <c r="B558" s="26">
        <v>45111</v>
      </c>
      <c r="C558" s="23" t="s">
        <v>32</v>
      </c>
      <c r="D558" s="4">
        <v>4</v>
      </c>
      <c r="E558" s="24" t="s">
        <v>33</v>
      </c>
      <c r="F558" s="5" t="s">
        <v>10</v>
      </c>
      <c r="G558" s="5" t="s">
        <v>11</v>
      </c>
      <c r="H558" s="5" t="s">
        <v>34</v>
      </c>
      <c r="I558" s="5" t="s">
        <v>16</v>
      </c>
      <c r="J558" s="5" t="s">
        <v>14</v>
      </c>
      <c r="K558" s="6">
        <v>0</v>
      </c>
      <c r="L558" s="15">
        <v>0</v>
      </c>
      <c r="M558" s="15">
        <v>10</v>
      </c>
      <c r="N558" s="16">
        <f t="shared" si="56"/>
        <v>-10</v>
      </c>
      <c r="O558" s="18">
        <f t="shared" si="55"/>
        <v>0</v>
      </c>
      <c r="P558" s="19">
        <f t="shared" si="57"/>
        <v>0</v>
      </c>
      <c r="Q558" s="16" t="str">
        <f>IF(COUNTIF($B$2:B558,B558)=1,SUMIF($B$2:$B$1097,B558,$L$2:$L$1097),"")</f>
        <v/>
      </c>
    </row>
    <row r="559" spans="1:18" ht="12.75" x14ac:dyDescent="0.2">
      <c r="A559" s="3">
        <v>558</v>
      </c>
      <c r="B559" s="26">
        <v>45111</v>
      </c>
      <c r="C559" s="23" t="s">
        <v>32</v>
      </c>
      <c r="D559" s="4">
        <v>4</v>
      </c>
      <c r="E559" s="24" t="s">
        <v>33</v>
      </c>
      <c r="F559" s="5" t="s">
        <v>10</v>
      </c>
      <c r="G559" s="5" t="s">
        <v>11</v>
      </c>
      <c r="H559" s="5" t="s">
        <v>34</v>
      </c>
      <c r="I559" s="5" t="s">
        <v>17</v>
      </c>
      <c r="J559" s="5" t="s">
        <v>14</v>
      </c>
      <c r="K559" s="6">
        <v>0</v>
      </c>
      <c r="L559" s="15">
        <v>0</v>
      </c>
      <c r="M559" s="15">
        <v>10</v>
      </c>
      <c r="N559" s="16">
        <f t="shared" si="56"/>
        <v>-10</v>
      </c>
      <c r="O559" s="18">
        <f t="shared" si="55"/>
        <v>0</v>
      </c>
      <c r="P559" s="19">
        <f t="shared" si="57"/>
        <v>0</v>
      </c>
      <c r="Q559" s="16" t="str">
        <f>IF(COUNTIF($B$2:B559,B559)=1,SUMIF($B$2:$B$1097,B559,$L$2:$L$1097),"")</f>
        <v/>
      </c>
    </row>
    <row r="560" spans="1:18" ht="12.75" x14ac:dyDescent="0.2">
      <c r="A560" s="3">
        <v>559</v>
      </c>
      <c r="B560" s="26">
        <v>45112</v>
      </c>
      <c r="C560" s="23" t="s">
        <v>32</v>
      </c>
      <c r="D560" s="4">
        <v>5</v>
      </c>
      <c r="E560" s="24" t="s">
        <v>33</v>
      </c>
      <c r="F560" s="5" t="s">
        <v>11</v>
      </c>
      <c r="G560" s="5" t="s">
        <v>11</v>
      </c>
      <c r="H560" s="5" t="s">
        <v>14</v>
      </c>
      <c r="I560" s="5" t="s">
        <v>13</v>
      </c>
      <c r="J560" s="5" t="s">
        <v>56</v>
      </c>
      <c r="K560" s="6">
        <v>18</v>
      </c>
      <c r="L560" s="15">
        <v>198</v>
      </c>
      <c r="M560" s="15">
        <f t="shared" ca="1" si="58"/>
        <v>36</v>
      </c>
      <c r="N560" s="16">
        <f t="shared" ca="1" si="56"/>
        <v>162</v>
      </c>
      <c r="O560" s="18">
        <f t="shared" ca="1" si="55"/>
        <v>0.81818181818181823</v>
      </c>
      <c r="P560" s="19">
        <f t="shared" si="57"/>
        <v>11</v>
      </c>
      <c r="Q560" s="16">
        <f>IF(COUNTIF($B$2:B560,B560)=1,SUMIF($B$2:$B$1097,B560,$L$2:$L$1097),"")</f>
        <v>495</v>
      </c>
      <c r="R560" s="16">
        <f>AVERAGE(Q540:Q560)</f>
        <v>394.16666666666669</v>
      </c>
    </row>
    <row r="561" spans="1:18" ht="12.75" x14ac:dyDescent="0.2">
      <c r="A561" s="3">
        <v>560</v>
      </c>
      <c r="B561" s="26">
        <v>45112</v>
      </c>
      <c r="C561" s="23" t="s">
        <v>32</v>
      </c>
      <c r="D561" s="4">
        <v>5</v>
      </c>
      <c r="E561" s="24" t="s">
        <v>33</v>
      </c>
      <c r="F561" s="5" t="s">
        <v>11</v>
      </c>
      <c r="G561" s="5" t="s">
        <v>11</v>
      </c>
      <c r="H561" s="5" t="s">
        <v>14</v>
      </c>
      <c r="I561" s="5" t="s">
        <v>15</v>
      </c>
      <c r="J561" s="5" t="s">
        <v>56</v>
      </c>
      <c r="K561" s="6">
        <v>9</v>
      </c>
      <c r="L561" s="15">
        <v>99</v>
      </c>
      <c r="M561" s="15">
        <f t="shared" ca="1" si="58"/>
        <v>28</v>
      </c>
      <c r="N561" s="16">
        <f t="shared" ca="1" si="56"/>
        <v>71</v>
      </c>
      <c r="O561" s="18">
        <f t="shared" ca="1" si="55"/>
        <v>0.71717171717171713</v>
      </c>
      <c r="P561" s="19">
        <f t="shared" si="57"/>
        <v>11</v>
      </c>
      <c r="Q561" s="16" t="str">
        <f>IF(COUNTIF($B$2:B561,B561)=1,SUMIF($B$2:$B$1097,B561,$L$2:$L$1097),"")</f>
        <v/>
      </c>
    </row>
    <row r="562" spans="1:18" ht="12.75" x14ac:dyDescent="0.2">
      <c r="A562" s="3">
        <v>561</v>
      </c>
      <c r="B562" s="26">
        <v>45112</v>
      </c>
      <c r="C562" s="23" t="s">
        <v>32</v>
      </c>
      <c r="D562" s="4">
        <v>5</v>
      </c>
      <c r="E562" s="24" t="s">
        <v>33</v>
      </c>
      <c r="F562" s="5" t="s">
        <v>11</v>
      </c>
      <c r="G562" s="5" t="s">
        <v>11</v>
      </c>
      <c r="H562" s="5" t="s">
        <v>14</v>
      </c>
      <c r="I562" s="5" t="s">
        <v>16</v>
      </c>
      <c r="J562" s="5" t="s">
        <v>55</v>
      </c>
      <c r="K562" s="6">
        <v>5</v>
      </c>
      <c r="L562" s="15">
        <v>55</v>
      </c>
      <c r="M562" s="15">
        <f t="shared" ca="1" si="58"/>
        <v>15</v>
      </c>
      <c r="N562" s="16">
        <f t="shared" ca="1" si="56"/>
        <v>40</v>
      </c>
      <c r="O562" s="18">
        <f t="shared" ca="1" si="55"/>
        <v>0.72727272727272729</v>
      </c>
      <c r="P562" s="19">
        <f t="shared" si="57"/>
        <v>11</v>
      </c>
      <c r="Q562" s="16" t="str">
        <f>IF(COUNTIF($B$2:B562,B562)=1,SUMIF($B$2:$B$1097,B562,$L$2:$L$1097),"")</f>
        <v/>
      </c>
    </row>
    <row r="563" spans="1:18" ht="12.75" x14ac:dyDescent="0.2">
      <c r="A563" s="3">
        <v>562</v>
      </c>
      <c r="B563" s="26">
        <v>45112</v>
      </c>
      <c r="C563" s="23" t="s">
        <v>32</v>
      </c>
      <c r="D563" s="4">
        <v>5</v>
      </c>
      <c r="E563" s="24" t="s">
        <v>33</v>
      </c>
      <c r="F563" s="5" t="s">
        <v>11</v>
      </c>
      <c r="G563" s="5" t="s">
        <v>11</v>
      </c>
      <c r="H563" s="5" t="s">
        <v>14</v>
      </c>
      <c r="I563" s="5" t="s">
        <v>17</v>
      </c>
      <c r="J563" s="5" t="s">
        <v>53</v>
      </c>
      <c r="K563" s="6">
        <v>13</v>
      </c>
      <c r="L563" s="15">
        <v>143</v>
      </c>
      <c r="M563" s="15">
        <f t="shared" ca="1" si="58"/>
        <v>4</v>
      </c>
      <c r="N563" s="16">
        <f t="shared" ca="1" si="56"/>
        <v>139</v>
      </c>
      <c r="O563" s="18">
        <f t="shared" ca="1" si="55"/>
        <v>0.97202797202797198</v>
      </c>
      <c r="P563" s="19">
        <f t="shared" si="57"/>
        <v>11</v>
      </c>
      <c r="Q563" s="16" t="str">
        <f>IF(COUNTIF($B$2:B563,B563)=1,SUMIF($B$2:$B$1097,B563,$L$2:$L$1097),"")</f>
        <v/>
      </c>
    </row>
    <row r="564" spans="1:18" ht="12.75" x14ac:dyDescent="0.2">
      <c r="A564" s="3">
        <v>563</v>
      </c>
      <c r="B564" s="26">
        <v>45113</v>
      </c>
      <c r="C564" s="23" t="s">
        <v>32</v>
      </c>
      <c r="D564" s="4">
        <v>6</v>
      </c>
      <c r="E564" s="24" t="s">
        <v>33</v>
      </c>
      <c r="F564" s="5" t="s">
        <v>11</v>
      </c>
      <c r="G564" s="5" t="s">
        <v>11</v>
      </c>
      <c r="H564" s="5" t="s">
        <v>14</v>
      </c>
      <c r="I564" s="5" t="s">
        <v>13</v>
      </c>
      <c r="J564" s="5" t="s">
        <v>52</v>
      </c>
      <c r="K564" s="6">
        <v>19</v>
      </c>
      <c r="L564" s="15">
        <v>209</v>
      </c>
      <c r="M564" s="15">
        <f t="shared" ca="1" si="58"/>
        <v>27</v>
      </c>
      <c r="N564" s="16">
        <f t="shared" ca="1" si="56"/>
        <v>182</v>
      </c>
      <c r="O564" s="18">
        <f t="shared" ca="1" si="55"/>
        <v>0.87081339712918659</v>
      </c>
      <c r="P564" s="19">
        <f t="shared" si="57"/>
        <v>11</v>
      </c>
      <c r="Q564" s="16">
        <f>IF(COUNTIF($B$2:B564,B564)=1,SUMIF($B$2:$B$1097,B564,$L$2:$L$1097),"")</f>
        <v>605</v>
      </c>
      <c r="R564" s="16">
        <f>AVERAGE(Q544:Q564)</f>
        <v>397.83333333333331</v>
      </c>
    </row>
    <row r="565" spans="1:18" ht="12.75" x14ac:dyDescent="0.2">
      <c r="A565" s="3">
        <v>564</v>
      </c>
      <c r="B565" s="26">
        <v>45113</v>
      </c>
      <c r="C565" s="23" t="s">
        <v>32</v>
      </c>
      <c r="D565" s="4">
        <v>6</v>
      </c>
      <c r="E565" s="24" t="s">
        <v>33</v>
      </c>
      <c r="F565" s="5" t="s">
        <v>11</v>
      </c>
      <c r="G565" s="5" t="s">
        <v>11</v>
      </c>
      <c r="H565" s="5" t="s">
        <v>14</v>
      </c>
      <c r="I565" s="5" t="s">
        <v>15</v>
      </c>
      <c r="J565" s="5" t="s">
        <v>55</v>
      </c>
      <c r="K565" s="6">
        <v>12</v>
      </c>
      <c r="L565" s="15">
        <v>132</v>
      </c>
      <c r="M565" s="15">
        <f t="shared" ca="1" si="58"/>
        <v>11</v>
      </c>
      <c r="N565" s="16">
        <f t="shared" ca="1" si="56"/>
        <v>121</v>
      </c>
      <c r="O565" s="18">
        <f t="shared" ca="1" si="55"/>
        <v>0.91666666666666663</v>
      </c>
      <c r="P565" s="19">
        <f t="shared" si="57"/>
        <v>11</v>
      </c>
      <c r="Q565" s="16" t="str">
        <f>IF(COUNTIF($B$2:B565,B565)=1,SUMIF($B$2:$B$1097,B565,$L$2:$L$1097),"")</f>
        <v/>
      </c>
    </row>
    <row r="566" spans="1:18" ht="12.75" x14ac:dyDescent="0.2">
      <c r="A566" s="3">
        <v>565</v>
      </c>
      <c r="B566" s="26">
        <v>45113</v>
      </c>
      <c r="C566" s="23" t="s">
        <v>32</v>
      </c>
      <c r="D566" s="4">
        <v>6</v>
      </c>
      <c r="E566" s="24" t="s">
        <v>33</v>
      </c>
      <c r="F566" s="5" t="s">
        <v>11</v>
      </c>
      <c r="G566" s="5" t="s">
        <v>11</v>
      </c>
      <c r="H566" s="5" t="s">
        <v>14</v>
      </c>
      <c r="I566" s="5" t="s">
        <v>16</v>
      </c>
      <c r="J566" s="5" t="s">
        <v>55</v>
      </c>
      <c r="K566" s="6">
        <v>9</v>
      </c>
      <c r="L566" s="15">
        <v>99</v>
      </c>
      <c r="M566" s="15">
        <f t="shared" ca="1" si="58"/>
        <v>24</v>
      </c>
      <c r="N566" s="16">
        <f t="shared" ca="1" si="56"/>
        <v>75</v>
      </c>
      <c r="O566" s="18">
        <f t="shared" ca="1" si="55"/>
        <v>0.75757575757575757</v>
      </c>
      <c r="P566" s="19">
        <f t="shared" si="57"/>
        <v>11</v>
      </c>
      <c r="Q566" s="16" t="str">
        <f>IF(COUNTIF($B$2:B566,B566)=1,SUMIF($B$2:$B$1097,B566,$L$2:$L$1097),"")</f>
        <v/>
      </c>
    </row>
    <row r="567" spans="1:18" ht="12.75" x14ac:dyDescent="0.2">
      <c r="A567" s="3">
        <v>566</v>
      </c>
      <c r="B567" s="26">
        <v>45113</v>
      </c>
      <c r="C567" s="23" t="s">
        <v>32</v>
      </c>
      <c r="D567" s="4">
        <v>6</v>
      </c>
      <c r="E567" s="24" t="s">
        <v>33</v>
      </c>
      <c r="F567" s="5" t="s">
        <v>11</v>
      </c>
      <c r="G567" s="5" t="s">
        <v>11</v>
      </c>
      <c r="H567" s="5" t="s">
        <v>14</v>
      </c>
      <c r="I567" s="5" t="s">
        <v>17</v>
      </c>
      <c r="J567" s="5" t="s">
        <v>53</v>
      </c>
      <c r="K567" s="6">
        <v>15</v>
      </c>
      <c r="L567" s="15">
        <v>165</v>
      </c>
      <c r="M567" s="15">
        <f t="shared" ca="1" si="58"/>
        <v>5</v>
      </c>
      <c r="N567" s="16">
        <f t="shared" ca="1" si="56"/>
        <v>160</v>
      </c>
      <c r="O567" s="18">
        <f t="shared" ca="1" si="55"/>
        <v>0.96969696969696972</v>
      </c>
      <c r="P567" s="19">
        <f t="shared" si="57"/>
        <v>11</v>
      </c>
      <c r="Q567" s="16" t="str">
        <f>IF(COUNTIF($B$2:B567,B567)=1,SUMIF($B$2:$B$1097,B567,$L$2:$L$1097),"")</f>
        <v/>
      </c>
    </row>
    <row r="568" spans="1:18" ht="12.75" x14ac:dyDescent="0.2">
      <c r="A568" s="3">
        <v>567</v>
      </c>
      <c r="B568" s="26">
        <v>45114</v>
      </c>
      <c r="C568" s="23" t="s">
        <v>32</v>
      </c>
      <c r="D568" s="4">
        <v>7</v>
      </c>
      <c r="E568" s="24" t="s">
        <v>33</v>
      </c>
      <c r="F568" s="5" t="s">
        <v>11</v>
      </c>
      <c r="G568" s="5" t="s">
        <v>11</v>
      </c>
      <c r="H568" s="5" t="s">
        <v>14</v>
      </c>
      <c r="I568" s="5" t="s">
        <v>13</v>
      </c>
      <c r="J568" s="5" t="s">
        <v>56</v>
      </c>
      <c r="K568" s="6">
        <v>23</v>
      </c>
      <c r="L568" s="15">
        <v>253</v>
      </c>
      <c r="M568" s="15">
        <f t="shared" ca="1" si="58"/>
        <v>18</v>
      </c>
      <c r="N568" s="16">
        <f t="shared" ca="1" si="56"/>
        <v>235</v>
      </c>
      <c r="O568" s="18">
        <f t="shared" ca="1" si="55"/>
        <v>0.92885375494071143</v>
      </c>
      <c r="P568" s="19">
        <f t="shared" si="57"/>
        <v>11</v>
      </c>
      <c r="Q568" s="16">
        <f>IF(COUNTIF($B$2:B568,B568)=1,SUMIF($B$2:$B$1097,B568,$L$2:$L$1097),"")</f>
        <v>253</v>
      </c>
      <c r="R568" s="16">
        <f t="shared" ref="R568:R569" si="61">AVERAGE(Q548:Q568)</f>
        <v>401.5</v>
      </c>
    </row>
    <row r="569" spans="1:18" ht="12.75" x14ac:dyDescent="0.2">
      <c r="A569" s="3">
        <v>568</v>
      </c>
      <c r="B569" s="26">
        <v>45116</v>
      </c>
      <c r="C569" s="23" t="s">
        <v>32</v>
      </c>
      <c r="D569" s="4">
        <v>2</v>
      </c>
      <c r="E569" s="24" t="s">
        <v>33</v>
      </c>
      <c r="F569" s="5" t="s">
        <v>11</v>
      </c>
      <c r="G569" s="5" t="s">
        <v>11</v>
      </c>
      <c r="H569" s="5" t="s">
        <v>14</v>
      </c>
      <c r="I569" s="5" t="s">
        <v>13</v>
      </c>
      <c r="J569" s="5" t="s">
        <v>52</v>
      </c>
      <c r="K569" s="6">
        <v>20</v>
      </c>
      <c r="L569" s="15">
        <v>220</v>
      </c>
      <c r="M569" s="15">
        <f t="shared" ca="1" si="58"/>
        <v>6</v>
      </c>
      <c r="N569" s="16">
        <f t="shared" ca="1" si="56"/>
        <v>214</v>
      </c>
      <c r="O569" s="18">
        <f t="shared" ca="1" si="55"/>
        <v>0.97272727272727277</v>
      </c>
      <c r="P569" s="19">
        <f t="shared" si="57"/>
        <v>11</v>
      </c>
      <c r="Q569" s="16">
        <f>IF(COUNTIF($B$2:B569,B569)=1,SUMIF($B$2:$B$1097,B569,$L$2:$L$1097),"")</f>
        <v>627</v>
      </c>
      <c r="R569" s="16">
        <f t="shared" si="61"/>
        <v>408.83333333333331</v>
      </c>
    </row>
    <row r="570" spans="1:18" ht="12.75" x14ac:dyDescent="0.2">
      <c r="A570" s="3">
        <v>569</v>
      </c>
      <c r="B570" s="26">
        <v>45116</v>
      </c>
      <c r="C570" s="23" t="s">
        <v>32</v>
      </c>
      <c r="D570" s="4">
        <v>2</v>
      </c>
      <c r="E570" s="24" t="s">
        <v>33</v>
      </c>
      <c r="F570" s="5" t="s">
        <v>11</v>
      </c>
      <c r="G570" s="5" t="s">
        <v>11</v>
      </c>
      <c r="H570" s="5" t="s">
        <v>14</v>
      </c>
      <c r="I570" s="5" t="s">
        <v>15</v>
      </c>
      <c r="J570" s="5" t="s">
        <v>54</v>
      </c>
      <c r="K570" s="6">
        <v>12</v>
      </c>
      <c r="L570" s="15">
        <v>132</v>
      </c>
      <c r="M570" s="15">
        <f t="shared" ca="1" si="58"/>
        <v>41</v>
      </c>
      <c r="N570" s="16">
        <f t="shared" ca="1" si="56"/>
        <v>91</v>
      </c>
      <c r="O570" s="18">
        <f t="shared" ca="1" si="55"/>
        <v>0.68939393939393945</v>
      </c>
      <c r="P570" s="19">
        <f t="shared" si="57"/>
        <v>11</v>
      </c>
      <c r="Q570" s="16" t="str">
        <f>IF(COUNTIF($B$2:B570,B570)=1,SUMIF($B$2:$B$1097,B570,$L$2:$L$1097),"")</f>
        <v/>
      </c>
    </row>
    <row r="571" spans="1:18" ht="12.75" x14ac:dyDescent="0.2">
      <c r="A571" s="3">
        <v>570</v>
      </c>
      <c r="B571" s="26">
        <v>45116</v>
      </c>
      <c r="C571" s="23" t="s">
        <v>32</v>
      </c>
      <c r="D571" s="4">
        <v>2</v>
      </c>
      <c r="E571" s="24" t="s">
        <v>33</v>
      </c>
      <c r="F571" s="5" t="s">
        <v>11</v>
      </c>
      <c r="G571" s="5" t="s">
        <v>11</v>
      </c>
      <c r="H571" s="5" t="s">
        <v>14</v>
      </c>
      <c r="I571" s="5" t="s">
        <v>16</v>
      </c>
      <c r="J571" s="5" t="s">
        <v>54</v>
      </c>
      <c r="K571" s="6">
        <v>10</v>
      </c>
      <c r="L571" s="15">
        <v>110</v>
      </c>
      <c r="M571" s="15">
        <f t="shared" ca="1" si="58"/>
        <v>32</v>
      </c>
      <c r="N571" s="16">
        <f t="shared" ca="1" si="56"/>
        <v>78</v>
      </c>
      <c r="O571" s="18">
        <f t="shared" ca="1" si="55"/>
        <v>0.70909090909090911</v>
      </c>
      <c r="P571" s="19">
        <f t="shared" si="57"/>
        <v>11</v>
      </c>
      <c r="Q571" s="16" t="str">
        <f>IF(COUNTIF($B$2:B571,B571)=1,SUMIF($B$2:$B$1097,B571,$L$2:$L$1097),"")</f>
        <v/>
      </c>
    </row>
    <row r="572" spans="1:18" ht="12.75" x14ac:dyDescent="0.2">
      <c r="A572" s="3">
        <v>571</v>
      </c>
      <c r="B572" s="26">
        <v>45116</v>
      </c>
      <c r="C572" s="23" t="s">
        <v>32</v>
      </c>
      <c r="D572" s="4">
        <v>2</v>
      </c>
      <c r="E572" s="24" t="s">
        <v>33</v>
      </c>
      <c r="F572" s="5" t="s">
        <v>11</v>
      </c>
      <c r="G572" s="5" t="s">
        <v>11</v>
      </c>
      <c r="H572" s="5" t="s">
        <v>14</v>
      </c>
      <c r="I572" s="5" t="s">
        <v>17</v>
      </c>
      <c r="J572" s="5" t="s">
        <v>54</v>
      </c>
      <c r="K572" s="6">
        <v>15</v>
      </c>
      <c r="L572" s="15">
        <v>165</v>
      </c>
      <c r="M572" s="15">
        <f t="shared" ca="1" si="58"/>
        <v>44</v>
      </c>
      <c r="N572" s="16">
        <f t="shared" ca="1" si="56"/>
        <v>121</v>
      </c>
      <c r="O572" s="18">
        <f t="shared" ca="1" si="55"/>
        <v>0.73333333333333328</v>
      </c>
      <c r="P572" s="19">
        <f t="shared" si="57"/>
        <v>11</v>
      </c>
      <c r="Q572" s="16" t="str">
        <f>IF(COUNTIF($B$2:B572,B572)=1,SUMIF($B$2:$B$1097,B572,$L$2:$L$1097),"")</f>
        <v/>
      </c>
    </row>
    <row r="573" spans="1:18" ht="12.75" x14ac:dyDescent="0.2">
      <c r="A573" s="3">
        <v>572</v>
      </c>
      <c r="B573" s="26">
        <v>45117</v>
      </c>
      <c r="C573" s="23" t="s">
        <v>32</v>
      </c>
      <c r="D573" s="4">
        <v>3</v>
      </c>
      <c r="E573" s="24" t="s">
        <v>33</v>
      </c>
      <c r="F573" s="5" t="s">
        <v>11</v>
      </c>
      <c r="G573" s="5" t="s">
        <v>11</v>
      </c>
      <c r="H573" s="5" t="s">
        <v>14</v>
      </c>
      <c r="I573" s="5" t="s">
        <v>13</v>
      </c>
      <c r="J573" s="5" t="s">
        <v>56</v>
      </c>
      <c r="K573" s="6">
        <v>15</v>
      </c>
      <c r="L573" s="15">
        <v>165</v>
      </c>
      <c r="M573" s="15">
        <f t="shared" ca="1" si="58"/>
        <v>44</v>
      </c>
      <c r="N573" s="16">
        <f t="shared" ca="1" si="56"/>
        <v>121</v>
      </c>
      <c r="O573" s="18">
        <f t="shared" ca="1" si="55"/>
        <v>0.73333333333333328</v>
      </c>
      <c r="P573" s="19">
        <f t="shared" si="57"/>
        <v>11</v>
      </c>
      <c r="Q573" s="16">
        <f>IF(COUNTIF($B$2:B573,B573)=1,SUMIF($B$2:$B$1097,B573,$L$2:$L$1097),"")</f>
        <v>462</v>
      </c>
      <c r="R573" s="16">
        <f>AVERAGE(Q553:Q573)</f>
        <v>407</v>
      </c>
    </row>
    <row r="574" spans="1:18" ht="12.75" x14ac:dyDescent="0.2">
      <c r="A574" s="3">
        <v>573</v>
      </c>
      <c r="B574" s="26">
        <v>45117</v>
      </c>
      <c r="C574" s="23" t="s">
        <v>32</v>
      </c>
      <c r="D574" s="4">
        <v>3</v>
      </c>
      <c r="E574" s="24" t="s">
        <v>33</v>
      </c>
      <c r="F574" s="5" t="s">
        <v>11</v>
      </c>
      <c r="G574" s="5" t="s">
        <v>11</v>
      </c>
      <c r="H574" s="5" t="s">
        <v>14</v>
      </c>
      <c r="I574" s="5" t="s">
        <v>15</v>
      </c>
      <c r="J574" s="5" t="s">
        <v>56</v>
      </c>
      <c r="K574" s="6">
        <v>11</v>
      </c>
      <c r="L574" s="15">
        <v>121</v>
      </c>
      <c r="M574" s="15">
        <f t="shared" ca="1" si="58"/>
        <v>24</v>
      </c>
      <c r="N574" s="16">
        <f t="shared" ca="1" si="56"/>
        <v>97</v>
      </c>
      <c r="O574" s="18">
        <f t="shared" ca="1" si="55"/>
        <v>0.80165289256198347</v>
      </c>
      <c r="P574" s="19">
        <f t="shared" si="57"/>
        <v>11</v>
      </c>
      <c r="Q574" s="16" t="str">
        <f>IF(COUNTIF($B$2:B574,B574)=1,SUMIF($B$2:$B$1097,B574,$L$2:$L$1097),"")</f>
        <v/>
      </c>
    </row>
    <row r="575" spans="1:18" ht="12.75" x14ac:dyDescent="0.2">
      <c r="A575" s="3">
        <v>574</v>
      </c>
      <c r="B575" s="26">
        <v>45117</v>
      </c>
      <c r="C575" s="23" t="s">
        <v>32</v>
      </c>
      <c r="D575" s="4">
        <v>3</v>
      </c>
      <c r="E575" s="24" t="s">
        <v>33</v>
      </c>
      <c r="F575" s="5" t="s">
        <v>11</v>
      </c>
      <c r="G575" s="5" t="s">
        <v>11</v>
      </c>
      <c r="H575" s="5" t="s">
        <v>14</v>
      </c>
      <c r="I575" s="5" t="s">
        <v>16</v>
      </c>
      <c r="J575" s="5" t="s">
        <v>55</v>
      </c>
      <c r="K575" s="6">
        <v>5</v>
      </c>
      <c r="L575" s="15">
        <v>55</v>
      </c>
      <c r="M575" s="15">
        <f t="shared" ca="1" si="58"/>
        <v>8</v>
      </c>
      <c r="N575" s="16">
        <f t="shared" ca="1" si="56"/>
        <v>47</v>
      </c>
      <c r="O575" s="18">
        <f t="shared" ca="1" si="55"/>
        <v>0.8545454545454545</v>
      </c>
      <c r="P575" s="19">
        <f t="shared" si="57"/>
        <v>11</v>
      </c>
      <c r="Q575" s="16" t="str">
        <f>IF(COUNTIF($B$2:B575,B575)=1,SUMIF($B$2:$B$1097,B575,$L$2:$L$1097),"")</f>
        <v/>
      </c>
    </row>
    <row r="576" spans="1:18" ht="12.75" x14ac:dyDescent="0.2">
      <c r="A576" s="3">
        <v>575</v>
      </c>
      <c r="B576" s="26">
        <v>45117</v>
      </c>
      <c r="C576" s="23" t="s">
        <v>32</v>
      </c>
      <c r="D576" s="4">
        <v>3</v>
      </c>
      <c r="E576" s="24" t="s">
        <v>33</v>
      </c>
      <c r="F576" s="5" t="s">
        <v>11</v>
      </c>
      <c r="G576" s="5" t="s">
        <v>11</v>
      </c>
      <c r="H576" s="5" t="s">
        <v>14</v>
      </c>
      <c r="I576" s="5" t="s">
        <v>17</v>
      </c>
      <c r="J576" s="5" t="s">
        <v>53</v>
      </c>
      <c r="K576" s="6">
        <v>11</v>
      </c>
      <c r="L576" s="15">
        <v>121</v>
      </c>
      <c r="M576" s="15">
        <f t="shared" ca="1" si="58"/>
        <v>23</v>
      </c>
      <c r="N576" s="16">
        <f t="shared" ca="1" si="56"/>
        <v>98</v>
      </c>
      <c r="O576" s="18">
        <f t="shared" ca="1" si="55"/>
        <v>0.80991735537190079</v>
      </c>
      <c r="P576" s="19">
        <f t="shared" si="57"/>
        <v>11</v>
      </c>
      <c r="Q576" s="16" t="str">
        <f>IF(COUNTIF($B$2:B576,B576)=1,SUMIF($B$2:$B$1097,B576,$L$2:$L$1097),"")</f>
        <v/>
      </c>
    </row>
    <row r="577" spans="1:18" ht="12.75" x14ac:dyDescent="0.2">
      <c r="A577" s="3">
        <v>576</v>
      </c>
      <c r="B577" s="26">
        <v>45118</v>
      </c>
      <c r="C577" s="23" t="s">
        <v>32</v>
      </c>
      <c r="D577" s="4">
        <v>4</v>
      </c>
      <c r="E577" s="24" t="s">
        <v>33</v>
      </c>
      <c r="F577" s="5" t="s">
        <v>11</v>
      </c>
      <c r="G577" s="5" t="s">
        <v>11</v>
      </c>
      <c r="H577" s="5" t="s">
        <v>14</v>
      </c>
      <c r="I577" s="5" t="s">
        <v>13</v>
      </c>
      <c r="J577" s="5" t="s">
        <v>52</v>
      </c>
      <c r="K577" s="6">
        <v>16</v>
      </c>
      <c r="L577" s="15">
        <v>176</v>
      </c>
      <c r="M577" s="15">
        <f t="shared" ca="1" si="58"/>
        <v>42</v>
      </c>
      <c r="N577" s="16">
        <f t="shared" ca="1" si="56"/>
        <v>134</v>
      </c>
      <c r="O577" s="18">
        <f t="shared" ca="1" si="55"/>
        <v>0.76136363636363635</v>
      </c>
      <c r="P577" s="19">
        <f t="shared" si="57"/>
        <v>11</v>
      </c>
      <c r="Q577" s="16">
        <f>IF(COUNTIF($B$2:B577,B577)=1,SUMIF($B$2:$B$1097,B577,$L$2:$L$1097),"")</f>
        <v>396</v>
      </c>
      <c r="R577" s="16">
        <f>AVERAGE(Q557:Q577)</f>
        <v>473</v>
      </c>
    </row>
    <row r="578" spans="1:18" ht="12.75" x14ac:dyDescent="0.2">
      <c r="A578" s="3">
        <v>577</v>
      </c>
      <c r="B578" s="26">
        <v>45118</v>
      </c>
      <c r="C578" s="23" t="s">
        <v>32</v>
      </c>
      <c r="D578" s="4">
        <v>4</v>
      </c>
      <c r="E578" s="24" t="s">
        <v>33</v>
      </c>
      <c r="F578" s="5" t="s">
        <v>11</v>
      </c>
      <c r="G578" s="5" t="s">
        <v>11</v>
      </c>
      <c r="H578" s="5" t="s">
        <v>14</v>
      </c>
      <c r="I578" s="5" t="s">
        <v>15</v>
      </c>
      <c r="J578" s="5" t="s">
        <v>54</v>
      </c>
      <c r="K578" s="6">
        <v>5</v>
      </c>
      <c r="L578" s="15">
        <v>55</v>
      </c>
      <c r="M578" s="15">
        <f t="shared" ca="1" si="58"/>
        <v>7</v>
      </c>
      <c r="N578" s="16">
        <f t="shared" ca="1" si="56"/>
        <v>48</v>
      </c>
      <c r="O578" s="18">
        <f t="shared" ref="O578:O641" ca="1" si="62">IF(L578=0, 0, N578/L578)</f>
        <v>0.87272727272727268</v>
      </c>
      <c r="P578" s="19">
        <f t="shared" si="57"/>
        <v>11</v>
      </c>
      <c r="Q578" s="16" t="str">
        <f>IF(COUNTIF($B$2:B578,B578)=1,SUMIF($B$2:$B$1097,B578,$L$2:$L$1097),"")</f>
        <v/>
      </c>
    </row>
    <row r="579" spans="1:18" ht="12.75" x14ac:dyDescent="0.2">
      <c r="A579" s="3">
        <v>578</v>
      </c>
      <c r="B579" s="26">
        <v>45118</v>
      </c>
      <c r="C579" s="23" t="s">
        <v>32</v>
      </c>
      <c r="D579" s="4">
        <v>4</v>
      </c>
      <c r="E579" s="24" t="s">
        <v>33</v>
      </c>
      <c r="F579" s="5" t="s">
        <v>11</v>
      </c>
      <c r="G579" s="5" t="s">
        <v>11</v>
      </c>
      <c r="H579" s="5" t="s">
        <v>14</v>
      </c>
      <c r="I579" s="5" t="s">
        <v>16</v>
      </c>
      <c r="J579" s="5" t="s">
        <v>54</v>
      </c>
      <c r="K579" s="6">
        <v>5</v>
      </c>
      <c r="L579" s="15">
        <v>55</v>
      </c>
      <c r="M579" s="15">
        <f t="shared" ca="1" si="58"/>
        <v>40</v>
      </c>
      <c r="N579" s="16">
        <f t="shared" ref="N579:N642" ca="1" si="63">L579-M579</f>
        <v>15</v>
      </c>
      <c r="O579" s="18">
        <f t="shared" ca="1" si="62"/>
        <v>0.27272727272727271</v>
      </c>
      <c r="P579" s="19">
        <f t="shared" ref="P579:P642" si="64">IF(K579=0, 0, L579/K579)</f>
        <v>11</v>
      </c>
      <c r="Q579" s="16" t="str">
        <f>IF(COUNTIF($B$2:B579,B579)=1,SUMIF($B$2:$B$1097,B579,$L$2:$L$1097),"")</f>
        <v/>
      </c>
    </row>
    <row r="580" spans="1:18" ht="12.75" x14ac:dyDescent="0.2">
      <c r="A580" s="3">
        <v>579</v>
      </c>
      <c r="B580" s="26">
        <v>45118</v>
      </c>
      <c r="C580" s="23" t="s">
        <v>32</v>
      </c>
      <c r="D580" s="4">
        <v>4</v>
      </c>
      <c r="E580" s="24" t="s">
        <v>33</v>
      </c>
      <c r="F580" s="5" t="s">
        <v>11</v>
      </c>
      <c r="G580" s="5" t="s">
        <v>11</v>
      </c>
      <c r="H580" s="5" t="s">
        <v>14</v>
      </c>
      <c r="I580" s="5" t="s">
        <v>17</v>
      </c>
      <c r="J580" s="5" t="s">
        <v>54</v>
      </c>
      <c r="K580" s="6">
        <v>10</v>
      </c>
      <c r="L580" s="15">
        <v>110</v>
      </c>
      <c r="M580" s="15">
        <f t="shared" ca="1" si="58"/>
        <v>49</v>
      </c>
      <c r="N580" s="16">
        <f t="shared" ca="1" si="63"/>
        <v>61</v>
      </c>
      <c r="O580" s="18">
        <f t="shared" ca="1" si="62"/>
        <v>0.55454545454545456</v>
      </c>
      <c r="P580" s="19">
        <f t="shared" si="64"/>
        <v>11</v>
      </c>
      <c r="Q580" s="16" t="str">
        <f>IF(COUNTIF($B$2:B580,B580)=1,SUMIF($B$2:$B$1097,B580,$L$2:$L$1097),"")</f>
        <v/>
      </c>
    </row>
    <row r="581" spans="1:18" ht="12.75" x14ac:dyDescent="0.2">
      <c r="A581" s="3">
        <v>580</v>
      </c>
      <c r="B581" s="26">
        <v>45119</v>
      </c>
      <c r="C581" s="23" t="s">
        <v>32</v>
      </c>
      <c r="D581" s="4">
        <v>5</v>
      </c>
      <c r="E581" s="24" t="s">
        <v>33</v>
      </c>
      <c r="F581" s="5" t="s">
        <v>11</v>
      </c>
      <c r="G581" s="5" t="s">
        <v>11</v>
      </c>
      <c r="H581" s="5" t="s">
        <v>14</v>
      </c>
      <c r="I581" s="5" t="s">
        <v>13</v>
      </c>
      <c r="J581" s="5" t="s">
        <v>56</v>
      </c>
      <c r="K581" s="6">
        <v>16</v>
      </c>
      <c r="L581" s="15">
        <v>176</v>
      </c>
      <c r="M581" s="15">
        <f t="shared" ca="1" si="58"/>
        <v>33</v>
      </c>
      <c r="N581" s="16">
        <f t="shared" ca="1" si="63"/>
        <v>143</v>
      </c>
      <c r="O581" s="18">
        <f t="shared" ca="1" si="62"/>
        <v>0.8125</v>
      </c>
      <c r="P581" s="19">
        <f t="shared" si="64"/>
        <v>11</v>
      </c>
      <c r="Q581" s="16">
        <f>IF(COUNTIF($B$2:B581,B581)=1,SUMIF($B$2:$B$1097,B581,$L$2:$L$1097),"")</f>
        <v>506</v>
      </c>
      <c r="R581" s="16">
        <f>AVERAGE(Q561:Q581)</f>
        <v>474.83333333333331</v>
      </c>
    </row>
    <row r="582" spans="1:18" ht="12.75" x14ac:dyDescent="0.2">
      <c r="A582" s="3">
        <v>581</v>
      </c>
      <c r="B582" s="26">
        <v>45119</v>
      </c>
      <c r="C582" s="23" t="s">
        <v>32</v>
      </c>
      <c r="D582" s="4">
        <v>5</v>
      </c>
      <c r="E582" s="24" t="s">
        <v>33</v>
      </c>
      <c r="F582" s="5" t="s">
        <v>11</v>
      </c>
      <c r="G582" s="5" t="s">
        <v>11</v>
      </c>
      <c r="H582" s="5" t="s">
        <v>14</v>
      </c>
      <c r="I582" s="5" t="s">
        <v>15</v>
      </c>
      <c r="J582" s="5" t="s">
        <v>56</v>
      </c>
      <c r="K582" s="6">
        <v>12</v>
      </c>
      <c r="L582" s="15">
        <v>132</v>
      </c>
      <c r="M582" s="15">
        <f t="shared" ca="1" si="58"/>
        <v>44</v>
      </c>
      <c r="N582" s="16">
        <f t="shared" ca="1" si="63"/>
        <v>88</v>
      </c>
      <c r="O582" s="18">
        <f t="shared" ca="1" si="62"/>
        <v>0.66666666666666663</v>
      </c>
      <c r="P582" s="19">
        <f t="shared" si="64"/>
        <v>11</v>
      </c>
      <c r="Q582" s="16" t="str">
        <f>IF(COUNTIF($B$2:B582,B582)=1,SUMIF($B$2:$B$1097,B582,$L$2:$L$1097),"")</f>
        <v/>
      </c>
    </row>
    <row r="583" spans="1:18" ht="12.75" x14ac:dyDescent="0.2">
      <c r="A583" s="3">
        <v>582</v>
      </c>
      <c r="B583" s="26">
        <v>45119</v>
      </c>
      <c r="C583" s="23" t="s">
        <v>32</v>
      </c>
      <c r="D583" s="4">
        <v>5</v>
      </c>
      <c r="E583" s="24" t="s">
        <v>33</v>
      </c>
      <c r="F583" s="5" t="s">
        <v>11</v>
      </c>
      <c r="G583" s="5" t="s">
        <v>11</v>
      </c>
      <c r="H583" s="5" t="s">
        <v>14</v>
      </c>
      <c r="I583" s="5" t="s">
        <v>16</v>
      </c>
      <c r="J583" s="5" t="s">
        <v>55</v>
      </c>
      <c r="K583" s="6">
        <v>5</v>
      </c>
      <c r="L583" s="15">
        <v>55</v>
      </c>
      <c r="M583" s="15">
        <f t="shared" ca="1" si="58"/>
        <v>32</v>
      </c>
      <c r="N583" s="16">
        <f t="shared" ca="1" si="63"/>
        <v>23</v>
      </c>
      <c r="O583" s="18">
        <f t="shared" ca="1" si="62"/>
        <v>0.41818181818181815</v>
      </c>
      <c r="P583" s="19">
        <f t="shared" si="64"/>
        <v>11</v>
      </c>
      <c r="Q583" s="16" t="str">
        <f>IF(COUNTIF($B$2:B583,B583)=1,SUMIF($B$2:$B$1097,B583,$L$2:$L$1097),"")</f>
        <v/>
      </c>
    </row>
    <row r="584" spans="1:18" ht="12.75" x14ac:dyDescent="0.2">
      <c r="A584" s="3">
        <v>583</v>
      </c>
      <c r="B584" s="26">
        <v>45119</v>
      </c>
      <c r="C584" s="23" t="s">
        <v>32</v>
      </c>
      <c r="D584" s="4">
        <v>5</v>
      </c>
      <c r="E584" s="24" t="s">
        <v>33</v>
      </c>
      <c r="F584" s="5" t="s">
        <v>11</v>
      </c>
      <c r="G584" s="5" t="s">
        <v>11</v>
      </c>
      <c r="H584" s="5" t="s">
        <v>14</v>
      </c>
      <c r="I584" s="5" t="s">
        <v>17</v>
      </c>
      <c r="J584" s="5" t="s">
        <v>53</v>
      </c>
      <c r="K584" s="6">
        <v>13</v>
      </c>
      <c r="L584" s="15">
        <v>143</v>
      </c>
      <c r="M584" s="15">
        <f t="shared" ca="1" si="58"/>
        <v>24</v>
      </c>
      <c r="N584" s="16">
        <f t="shared" ca="1" si="63"/>
        <v>119</v>
      </c>
      <c r="O584" s="18">
        <f t="shared" ca="1" si="62"/>
        <v>0.83216783216783219</v>
      </c>
      <c r="P584" s="19">
        <f t="shared" si="64"/>
        <v>11</v>
      </c>
      <c r="Q584" s="16" t="str">
        <f>IF(COUNTIF($B$2:B584,B584)=1,SUMIF($B$2:$B$1097,B584,$L$2:$L$1097),"")</f>
        <v/>
      </c>
    </row>
    <row r="585" spans="1:18" ht="12.75" x14ac:dyDescent="0.2">
      <c r="A585" s="3">
        <v>584</v>
      </c>
      <c r="B585" s="26">
        <v>45120</v>
      </c>
      <c r="C585" s="23" t="s">
        <v>32</v>
      </c>
      <c r="D585" s="4">
        <v>6</v>
      </c>
      <c r="E585" s="24" t="s">
        <v>33</v>
      </c>
      <c r="F585" s="5" t="s">
        <v>11</v>
      </c>
      <c r="G585" s="5" t="s">
        <v>11</v>
      </c>
      <c r="H585" s="5" t="s">
        <v>14</v>
      </c>
      <c r="I585" s="5" t="s">
        <v>13</v>
      </c>
      <c r="J585" s="5" t="s">
        <v>52</v>
      </c>
      <c r="K585" s="6">
        <v>20</v>
      </c>
      <c r="L585" s="15">
        <v>220</v>
      </c>
      <c r="M585" s="15">
        <f t="shared" ref="M585:M648" ca="1" si="65">RANDBETWEEN(1,50)</f>
        <v>32</v>
      </c>
      <c r="N585" s="16">
        <f t="shared" ca="1" si="63"/>
        <v>188</v>
      </c>
      <c r="O585" s="18">
        <f t="shared" ca="1" si="62"/>
        <v>0.8545454545454545</v>
      </c>
      <c r="P585" s="19">
        <f t="shared" si="64"/>
        <v>11</v>
      </c>
      <c r="Q585" s="16">
        <f>IF(COUNTIF($B$2:B585,B585)=1,SUMIF($B$2:$B$1097,B585,$L$2:$L$1097),"")</f>
        <v>594</v>
      </c>
      <c r="R585" s="16">
        <f>AVERAGE(Q565:Q585)</f>
        <v>473</v>
      </c>
    </row>
    <row r="586" spans="1:18" ht="12.75" x14ac:dyDescent="0.2">
      <c r="A586" s="3">
        <v>585</v>
      </c>
      <c r="B586" s="26">
        <v>45120</v>
      </c>
      <c r="C586" s="23" t="s">
        <v>32</v>
      </c>
      <c r="D586" s="4">
        <v>6</v>
      </c>
      <c r="E586" s="24" t="s">
        <v>33</v>
      </c>
      <c r="F586" s="5" t="s">
        <v>11</v>
      </c>
      <c r="G586" s="5" t="s">
        <v>11</v>
      </c>
      <c r="H586" s="5" t="s">
        <v>14</v>
      </c>
      <c r="I586" s="5" t="s">
        <v>15</v>
      </c>
      <c r="J586" s="5" t="s">
        <v>55</v>
      </c>
      <c r="K586" s="6">
        <v>9</v>
      </c>
      <c r="L586" s="15">
        <v>99</v>
      </c>
      <c r="M586" s="15">
        <f t="shared" ca="1" si="65"/>
        <v>35</v>
      </c>
      <c r="N586" s="16">
        <f t="shared" ca="1" si="63"/>
        <v>64</v>
      </c>
      <c r="O586" s="18">
        <f t="shared" ca="1" si="62"/>
        <v>0.64646464646464652</v>
      </c>
      <c r="P586" s="19">
        <f t="shared" si="64"/>
        <v>11</v>
      </c>
      <c r="Q586" s="16" t="str">
        <f>IF(COUNTIF($B$2:B586,B586)=1,SUMIF($B$2:$B$1097,B586,$L$2:$L$1097),"")</f>
        <v/>
      </c>
    </row>
    <row r="587" spans="1:18" ht="12.75" x14ac:dyDescent="0.2">
      <c r="A587" s="3">
        <v>586</v>
      </c>
      <c r="B587" s="26">
        <v>45120</v>
      </c>
      <c r="C587" s="23" t="s">
        <v>32</v>
      </c>
      <c r="D587" s="4">
        <v>6</v>
      </c>
      <c r="E587" s="24" t="s">
        <v>33</v>
      </c>
      <c r="F587" s="5" t="s">
        <v>11</v>
      </c>
      <c r="G587" s="5" t="s">
        <v>11</v>
      </c>
      <c r="H587" s="5" t="s">
        <v>14</v>
      </c>
      <c r="I587" s="5" t="s">
        <v>16</v>
      </c>
      <c r="J587" s="5" t="s">
        <v>55</v>
      </c>
      <c r="K587" s="6">
        <v>10</v>
      </c>
      <c r="L587" s="15">
        <v>110</v>
      </c>
      <c r="M587" s="15">
        <f t="shared" ca="1" si="65"/>
        <v>29</v>
      </c>
      <c r="N587" s="16">
        <f t="shared" ca="1" si="63"/>
        <v>81</v>
      </c>
      <c r="O587" s="18">
        <f t="shared" ca="1" si="62"/>
        <v>0.73636363636363633</v>
      </c>
      <c r="P587" s="19">
        <f t="shared" si="64"/>
        <v>11</v>
      </c>
      <c r="Q587" s="16" t="str">
        <f>IF(COUNTIF($B$2:B587,B587)=1,SUMIF($B$2:$B$1097,B587,$L$2:$L$1097),"")</f>
        <v/>
      </c>
    </row>
    <row r="588" spans="1:18" ht="12.75" x14ac:dyDescent="0.2">
      <c r="A588" s="3">
        <v>587</v>
      </c>
      <c r="B588" s="26">
        <v>45120</v>
      </c>
      <c r="C588" s="23" t="s">
        <v>32</v>
      </c>
      <c r="D588" s="4">
        <v>6</v>
      </c>
      <c r="E588" s="24" t="s">
        <v>33</v>
      </c>
      <c r="F588" s="5" t="s">
        <v>11</v>
      </c>
      <c r="G588" s="5" t="s">
        <v>11</v>
      </c>
      <c r="H588" s="5" t="s">
        <v>14</v>
      </c>
      <c r="I588" s="5" t="s">
        <v>17</v>
      </c>
      <c r="J588" s="5" t="s">
        <v>53</v>
      </c>
      <c r="K588" s="6">
        <v>15</v>
      </c>
      <c r="L588" s="15">
        <v>165</v>
      </c>
      <c r="M588" s="15">
        <f t="shared" ca="1" si="65"/>
        <v>13</v>
      </c>
      <c r="N588" s="16">
        <f t="shared" ca="1" si="63"/>
        <v>152</v>
      </c>
      <c r="O588" s="18">
        <f t="shared" ca="1" si="62"/>
        <v>0.92121212121212126</v>
      </c>
      <c r="P588" s="19">
        <f t="shared" si="64"/>
        <v>11</v>
      </c>
      <c r="Q588" s="16" t="str">
        <f>IF(COUNTIF($B$2:B588,B588)=1,SUMIF($B$2:$B$1097,B588,$L$2:$L$1097),"")</f>
        <v/>
      </c>
    </row>
    <row r="589" spans="1:18" ht="12.75" x14ac:dyDescent="0.2">
      <c r="A589" s="3">
        <v>588</v>
      </c>
      <c r="B589" s="26">
        <v>45121</v>
      </c>
      <c r="C589" s="23" t="s">
        <v>32</v>
      </c>
      <c r="D589" s="4">
        <v>7</v>
      </c>
      <c r="E589" s="24" t="s">
        <v>33</v>
      </c>
      <c r="F589" s="5" t="s">
        <v>11</v>
      </c>
      <c r="G589" s="5" t="s">
        <v>11</v>
      </c>
      <c r="H589" s="5" t="s">
        <v>14</v>
      </c>
      <c r="I589" s="5" t="s">
        <v>13</v>
      </c>
      <c r="J589" s="5" t="s">
        <v>56</v>
      </c>
      <c r="K589" s="6">
        <v>21</v>
      </c>
      <c r="L589" s="15">
        <v>231</v>
      </c>
      <c r="M589" s="15">
        <f t="shared" ca="1" si="65"/>
        <v>33</v>
      </c>
      <c r="N589" s="16">
        <f t="shared" ca="1" si="63"/>
        <v>198</v>
      </c>
      <c r="O589" s="18">
        <f t="shared" ca="1" si="62"/>
        <v>0.8571428571428571</v>
      </c>
      <c r="P589" s="19">
        <f t="shared" si="64"/>
        <v>11</v>
      </c>
      <c r="Q589" s="16">
        <f>IF(COUNTIF($B$2:B589,B589)=1,SUMIF($B$2:$B$1097,B589,$L$2:$L$1097),"")</f>
        <v>231</v>
      </c>
      <c r="R589" s="16">
        <f t="shared" ref="R589:R590" si="66">AVERAGE(Q569:Q589)</f>
        <v>469.33333333333331</v>
      </c>
    </row>
    <row r="590" spans="1:18" ht="12.75" x14ac:dyDescent="0.2">
      <c r="A590" s="3">
        <v>589</v>
      </c>
      <c r="B590" s="26">
        <v>45123</v>
      </c>
      <c r="C590" s="23" t="s">
        <v>32</v>
      </c>
      <c r="D590" s="4">
        <v>2</v>
      </c>
      <c r="E590" s="24" t="s">
        <v>33</v>
      </c>
      <c r="F590" s="5" t="s">
        <v>11</v>
      </c>
      <c r="G590" s="5" t="s">
        <v>11</v>
      </c>
      <c r="H590" s="5" t="s">
        <v>14</v>
      </c>
      <c r="I590" s="5" t="s">
        <v>13</v>
      </c>
      <c r="J590" s="5" t="s">
        <v>52</v>
      </c>
      <c r="K590" s="6">
        <v>17</v>
      </c>
      <c r="L590" s="15">
        <v>187</v>
      </c>
      <c r="M590" s="15">
        <f t="shared" ca="1" si="65"/>
        <v>12</v>
      </c>
      <c r="N590" s="16">
        <f t="shared" ca="1" si="63"/>
        <v>175</v>
      </c>
      <c r="O590" s="18">
        <f t="shared" ca="1" si="62"/>
        <v>0.93582887700534756</v>
      </c>
      <c r="P590" s="19">
        <f t="shared" si="64"/>
        <v>11</v>
      </c>
      <c r="Q590" s="16">
        <f>IF(COUNTIF($B$2:B590,B590)=1,SUMIF($B$2:$B$1097,B590,$L$2:$L$1097),"")</f>
        <v>572</v>
      </c>
      <c r="R590" s="16">
        <f t="shared" si="66"/>
        <v>460.16666666666669</v>
      </c>
    </row>
    <row r="591" spans="1:18" ht="12.75" x14ac:dyDescent="0.2">
      <c r="A591" s="3">
        <v>590</v>
      </c>
      <c r="B591" s="26">
        <v>45123</v>
      </c>
      <c r="C591" s="23" t="s">
        <v>32</v>
      </c>
      <c r="D591" s="4">
        <v>2</v>
      </c>
      <c r="E591" s="24" t="s">
        <v>33</v>
      </c>
      <c r="F591" s="5" t="s">
        <v>11</v>
      </c>
      <c r="G591" s="5" t="s">
        <v>11</v>
      </c>
      <c r="H591" s="5" t="s">
        <v>14</v>
      </c>
      <c r="I591" s="5" t="s">
        <v>15</v>
      </c>
      <c r="J591" s="5" t="s">
        <v>54</v>
      </c>
      <c r="K591" s="6">
        <v>12</v>
      </c>
      <c r="L591" s="15">
        <v>132</v>
      </c>
      <c r="M591" s="15">
        <f t="shared" ca="1" si="65"/>
        <v>47</v>
      </c>
      <c r="N591" s="16">
        <f t="shared" ca="1" si="63"/>
        <v>85</v>
      </c>
      <c r="O591" s="18">
        <f t="shared" ca="1" si="62"/>
        <v>0.64393939393939392</v>
      </c>
      <c r="P591" s="19">
        <f t="shared" si="64"/>
        <v>11</v>
      </c>
      <c r="Q591" s="16" t="str">
        <f>IF(COUNTIF($B$2:B591,B591)=1,SUMIF($B$2:$B$1097,B591,$L$2:$L$1097),"")</f>
        <v/>
      </c>
    </row>
    <row r="592" spans="1:18" ht="12.75" x14ac:dyDescent="0.2">
      <c r="A592" s="3">
        <v>591</v>
      </c>
      <c r="B592" s="26">
        <v>45123</v>
      </c>
      <c r="C592" s="23" t="s">
        <v>32</v>
      </c>
      <c r="D592" s="4">
        <v>2</v>
      </c>
      <c r="E592" s="24" t="s">
        <v>33</v>
      </c>
      <c r="F592" s="5" t="s">
        <v>11</v>
      </c>
      <c r="G592" s="5" t="s">
        <v>11</v>
      </c>
      <c r="H592" s="5" t="s">
        <v>14</v>
      </c>
      <c r="I592" s="5" t="s">
        <v>16</v>
      </c>
      <c r="J592" s="5" t="s">
        <v>54</v>
      </c>
      <c r="K592" s="6">
        <v>9</v>
      </c>
      <c r="L592" s="15">
        <v>99</v>
      </c>
      <c r="M592" s="15">
        <f t="shared" ca="1" si="65"/>
        <v>43</v>
      </c>
      <c r="N592" s="16">
        <f t="shared" ca="1" si="63"/>
        <v>56</v>
      </c>
      <c r="O592" s="18">
        <f t="shared" ca="1" si="62"/>
        <v>0.56565656565656564</v>
      </c>
      <c r="P592" s="19">
        <f t="shared" si="64"/>
        <v>11</v>
      </c>
      <c r="Q592" s="16" t="str">
        <f>IF(COUNTIF($B$2:B592,B592)=1,SUMIF($B$2:$B$1097,B592,$L$2:$L$1097),"")</f>
        <v/>
      </c>
    </row>
    <row r="593" spans="1:18" ht="12.75" x14ac:dyDescent="0.2">
      <c r="A593" s="3">
        <v>592</v>
      </c>
      <c r="B593" s="26">
        <v>45123</v>
      </c>
      <c r="C593" s="23" t="s">
        <v>32</v>
      </c>
      <c r="D593" s="4">
        <v>2</v>
      </c>
      <c r="E593" s="24" t="s">
        <v>33</v>
      </c>
      <c r="F593" s="5" t="s">
        <v>11</v>
      </c>
      <c r="G593" s="5" t="s">
        <v>11</v>
      </c>
      <c r="H593" s="5" t="s">
        <v>14</v>
      </c>
      <c r="I593" s="5" t="s">
        <v>17</v>
      </c>
      <c r="J593" s="5" t="s">
        <v>54</v>
      </c>
      <c r="K593" s="6">
        <v>14</v>
      </c>
      <c r="L593" s="15">
        <v>154</v>
      </c>
      <c r="M593" s="15">
        <f t="shared" ca="1" si="65"/>
        <v>44</v>
      </c>
      <c r="N593" s="16">
        <f t="shared" ca="1" si="63"/>
        <v>110</v>
      </c>
      <c r="O593" s="18">
        <f t="shared" ca="1" si="62"/>
        <v>0.7142857142857143</v>
      </c>
      <c r="P593" s="19">
        <f t="shared" si="64"/>
        <v>11</v>
      </c>
      <c r="Q593" s="16" t="str">
        <f>IF(COUNTIF($B$2:B593,B593)=1,SUMIF($B$2:$B$1097,B593,$L$2:$L$1097),"")</f>
        <v/>
      </c>
    </row>
    <row r="594" spans="1:18" ht="12.75" x14ac:dyDescent="0.2">
      <c r="A594" s="3">
        <v>593</v>
      </c>
      <c r="B594" s="26">
        <v>45124</v>
      </c>
      <c r="C594" s="23" t="s">
        <v>32</v>
      </c>
      <c r="D594" s="4">
        <v>3</v>
      </c>
      <c r="E594" s="24" t="s">
        <v>33</v>
      </c>
      <c r="F594" s="5" t="s">
        <v>11</v>
      </c>
      <c r="G594" s="5" t="s">
        <v>11</v>
      </c>
      <c r="H594" s="5" t="s">
        <v>14</v>
      </c>
      <c r="I594" s="5" t="s">
        <v>13</v>
      </c>
      <c r="J594" s="5" t="s">
        <v>56</v>
      </c>
      <c r="K594" s="6">
        <v>16</v>
      </c>
      <c r="L594" s="15">
        <v>176</v>
      </c>
      <c r="M594" s="15">
        <f t="shared" ca="1" si="65"/>
        <v>41</v>
      </c>
      <c r="N594" s="16">
        <f t="shared" ca="1" si="63"/>
        <v>135</v>
      </c>
      <c r="O594" s="18">
        <f t="shared" ca="1" si="62"/>
        <v>0.76704545454545459</v>
      </c>
      <c r="P594" s="19">
        <f t="shared" si="64"/>
        <v>11</v>
      </c>
      <c r="Q594" s="16">
        <f>IF(COUNTIF($B$2:B594,B594)=1,SUMIF($B$2:$B$1097,B594,$L$2:$L$1097),"")</f>
        <v>495</v>
      </c>
      <c r="R594" s="16">
        <f>AVERAGE(Q574:Q594)</f>
        <v>465.66666666666669</v>
      </c>
    </row>
    <row r="595" spans="1:18" ht="12.75" x14ac:dyDescent="0.2">
      <c r="A595" s="3">
        <v>594</v>
      </c>
      <c r="B595" s="26">
        <v>45124</v>
      </c>
      <c r="C595" s="23" t="s">
        <v>32</v>
      </c>
      <c r="D595" s="4">
        <v>3</v>
      </c>
      <c r="E595" s="24" t="s">
        <v>33</v>
      </c>
      <c r="F595" s="5" t="s">
        <v>11</v>
      </c>
      <c r="G595" s="5" t="s">
        <v>11</v>
      </c>
      <c r="H595" s="5" t="s">
        <v>14</v>
      </c>
      <c r="I595" s="5" t="s">
        <v>15</v>
      </c>
      <c r="J595" s="5" t="s">
        <v>56</v>
      </c>
      <c r="K595" s="6">
        <v>10</v>
      </c>
      <c r="L595" s="15">
        <v>110</v>
      </c>
      <c r="M595" s="15">
        <f t="shared" ca="1" si="65"/>
        <v>8</v>
      </c>
      <c r="N595" s="16">
        <f t="shared" ca="1" si="63"/>
        <v>102</v>
      </c>
      <c r="O595" s="18">
        <f t="shared" ca="1" si="62"/>
        <v>0.92727272727272725</v>
      </c>
      <c r="P595" s="19">
        <f t="shared" si="64"/>
        <v>11</v>
      </c>
      <c r="Q595" s="16" t="str">
        <f>IF(COUNTIF($B$2:B595,B595)=1,SUMIF($B$2:$B$1097,B595,$L$2:$L$1097),"")</f>
        <v/>
      </c>
    </row>
    <row r="596" spans="1:18" ht="12.75" x14ac:dyDescent="0.2">
      <c r="A596" s="3">
        <v>595</v>
      </c>
      <c r="B596" s="26">
        <v>45124</v>
      </c>
      <c r="C596" s="23" t="s">
        <v>32</v>
      </c>
      <c r="D596" s="4">
        <v>3</v>
      </c>
      <c r="E596" s="24" t="s">
        <v>33</v>
      </c>
      <c r="F596" s="5" t="s">
        <v>11</v>
      </c>
      <c r="G596" s="5" t="s">
        <v>11</v>
      </c>
      <c r="H596" s="5" t="s">
        <v>14</v>
      </c>
      <c r="I596" s="5" t="s">
        <v>16</v>
      </c>
      <c r="J596" s="5" t="s">
        <v>55</v>
      </c>
      <c r="K596" s="6">
        <v>5</v>
      </c>
      <c r="L596" s="15">
        <v>55</v>
      </c>
      <c r="M596" s="15">
        <f t="shared" ca="1" si="65"/>
        <v>27</v>
      </c>
      <c r="N596" s="16">
        <f t="shared" ca="1" si="63"/>
        <v>28</v>
      </c>
      <c r="O596" s="18">
        <f t="shared" ca="1" si="62"/>
        <v>0.50909090909090904</v>
      </c>
      <c r="P596" s="19">
        <f t="shared" si="64"/>
        <v>11</v>
      </c>
      <c r="Q596" s="16" t="str">
        <f>IF(COUNTIF($B$2:B596,B596)=1,SUMIF($B$2:$B$1097,B596,$L$2:$L$1097),"")</f>
        <v/>
      </c>
    </row>
    <row r="597" spans="1:18" ht="12.75" x14ac:dyDescent="0.2">
      <c r="A597" s="3">
        <v>596</v>
      </c>
      <c r="B597" s="26">
        <v>45124</v>
      </c>
      <c r="C597" s="23" t="s">
        <v>32</v>
      </c>
      <c r="D597" s="4">
        <v>3</v>
      </c>
      <c r="E597" s="24" t="s">
        <v>33</v>
      </c>
      <c r="F597" s="5" t="s">
        <v>11</v>
      </c>
      <c r="G597" s="5" t="s">
        <v>11</v>
      </c>
      <c r="H597" s="5" t="s">
        <v>14</v>
      </c>
      <c r="I597" s="5" t="s">
        <v>17</v>
      </c>
      <c r="J597" s="5" t="s">
        <v>53</v>
      </c>
      <c r="K597" s="6">
        <v>14</v>
      </c>
      <c r="L597" s="15">
        <v>154</v>
      </c>
      <c r="M597" s="15">
        <f t="shared" ca="1" si="65"/>
        <v>7</v>
      </c>
      <c r="N597" s="16">
        <f t="shared" ca="1" si="63"/>
        <v>147</v>
      </c>
      <c r="O597" s="18">
        <f t="shared" ca="1" si="62"/>
        <v>0.95454545454545459</v>
      </c>
      <c r="P597" s="19">
        <f t="shared" si="64"/>
        <v>11</v>
      </c>
      <c r="Q597" s="16" t="str">
        <f>IF(COUNTIF($B$2:B597,B597)=1,SUMIF($B$2:$B$1097,B597,$L$2:$L$1097),"")</f>
        <v/>
      </c>
    </row>
    <row r="598" spans="1:18" ht="12.75" x14ac:dyDescent="0.2">
      <c r="A598" s="3">
        <v>597</v>
      </c>
      <c r="B598" s="26">
        <v>45125</v>
      </c>
      <c r="C598" s="23" t="s">
        <v>32</v>
      </c>
      <c r="D598" s="4">
        <v>4</v>
      </c>
      <c r="E598" s="24" t="s">
        <v>33</v>
      </c>
      <c r="F598" s="5" t="s">
        <v>11</v>
      </c>
      <c r="G598" s="5" t="s">
        <v>11</v>
      </c>
      <c r="H598" s="5" t="s">
        <v>14</v>
      </c>
      <c r="I598" s="5" t="s">
        <v>13</v>
      </c>
      <c r="J598" s="5" t="s">
        <v>52</v>
      </c>
      <c r="K598" s="6">
        <v>17</v>
      </c>
      <c r="L598" s="15">
        <v>187</v>
      </c>
      <c r="M598" s="15">
        <f t="shared" ca="1" si="65"/>
        <v>7</v>
      </c>
      <c r="N598" s="16">
        <f t="shared" ca="1" si="63"/>
        <v>180</v>
      </c>
      <c r="O598" s="18">
        <f t="shared" ca="1" si="62"/>
        <v>0.96256684491978606</v>
      </c>
      <c r="P598" s="19">
        <f t="shared" si="64"/>
        <v>11</v>
      </c>
      <c r="Q598" s="16">
        <f>IF(COUNTIF($B$2:B598,B598)=1,SUMIF($B$2:$B$1097,B598,$L$2:$L$1097),"")</f>
        <v>418</v>
      </c>
      <c r="R598" s="16">
        <f>AVERAGE(Q578:Q598)</f>
        <v>469.33333333333331</v>
      </c>
    </row>
    <row r="599" spans="1:18" ht="12.75" x14ac:dyDescent="0.2">
      <c r="A599" s="3">
        <v>598</v>
      </c>
      <c r="B599" s="26">
        <v>45125</v>
      </c>
      <c r="C599" s="23" t="s">
        <v>32</v>
      </c>
      <c r="D599" s="4">
        <v>4</v>
      </c>
      <c r="E599" s="24" t="s">
        <v>33</v>
      </c>
      <c r="F599" s="5" t="s">
        <v>11</v>
      </c>
      <c r="G599" s="5" t="s">
        <v>11</v>
      </c>
      <c r="H599" s="5" t="s">
        <v>14</v>
      </c>
      <c r="I599" s="5" t="s">
        <v>15</v>
      </c>
      <c r="J599" s="5" t="s">
        <v>54</v>
      </c>
      <c r="K599" s="6">
        <v>7</v>
      </c>
      <c r="L599" s="15">
        <v>77</v>
      </c>
      <c r="M599" s="15">
        <f t="shared" ca="1" si="65"/>
        <v>1</v>
      </c>
      <c r="N599" s="16">
        <f t="shared" ca="1" si="63"/>
        <v>76</v>
      </c>
      <c r="O599" s="18">
        <f t="shared" ca="1" si="62"/>
        <v>0.98701298701298701</v>
      </c>
      <c r="P599" s="19">
        <f t="shared" si="64"/>
        <v>11</v>
      </c>
      <c r="Q599" s="16" t="str">
        <f>IF(COUNTIF($B$2:B599,B599)=1,SUMIF($B$2:$B$1097,B599,$L$2:$L$1097),"")</f>
        <v/>
      </c>
    </row>
    <row r="600" spans="1:18" ht="12.75" x14ac:dyDescent="0.2">
      <c r="A600" s="3">
        <v>599</v>
      </c>
      <c r="B600" s="26">
        <v>45125</v>
      </c>
      <c r="C600" s="23" t="s">
        <v>32</v>
      </c>
      <c r="D600" s="4">
        <v>4</v>
      </c>
      <c r="E600" s="24" t="s">
        <v>33</v>
      </c>
      <c r="F600" s="5" t="s">
        <v>11</v>
      </c>
      <c r="G600" s="5" t="s">
        <v>11</v>
      </c>
      <c r="H600" s="5" t="s">
        <v>14</v>
      </c>
      <c r="I600" s="5" t="s">
        <v>16</v>
      </c>
      <c r="J600" s="5" t="s">
        <v>54</v>
      </c>
      <c r="K600" s="6">
        <v>5</v>
      </c>
      <c r="L600" s="15">
        <v>55</v>
      </c>
      <c r="M600" s="15">
        <f t="shared" ca="1" si="65"/>
        <v>42</v>
      </c>
      <c r="N600" s="16">
        <f t="shared" ca="1" si="63"/>
        <v>13</v>
      </c>
      <c r="O600" s="18">
        <f t="shared" ca="1" si="62"/>
        <v>0.23636363636363636</v>
      </c>
      <c r="P600" s="19">
        <f t="shared" si="64"/>
        <v>11</v>
      </c>
      <c r="Q600" s="16" t="str">
        <f>IF(COUNTIF($B$2:B600,B600)=1,SUMIF($B$2:$B$1097,B600,$L$2:$L$1097),"")</f>
        <v/>
      </c>
    </row>
    <row r="601" spans="1:18" ht="12.75" x14ac:dyDescent="0.2">
      <c r="A601" s="3">
        <v>600</v>
      </c>
      <c r="B601" s="26">
        <v>45125</v>
      </c>
      <c r="C601" s="23" t="s">
        <v>32</v>
      </c>
      <c r="D601" s="4">
        <v>4</v>
      </c>
      <c r="E601" s="24" t="s">
        <v>33</v>
      </c>
      <c r="F601" s="5" t="s">
        <v>11</v>
      </c>
      <c r="G601" s="5" t="s">
        <v>11</v>
      </c>
      <c r="H601" s="5" t="s">
        <v>14</v>
      </c>
      <c r="I601" s="5" t="s">
        <v>17</v>
      </c>
      <c r="J601" s="5" t="s">
        <v>54</v>
      </c>
      <c r="K601" s="6">
        <v>9</v>
      </c>
      <c r="L601" s="15">
        <v>99</v>
      </c>
      <c r="M601" s="15">
        <f t="shared" ca="1" si="65"/>
        <v>23</v>
      </c>
      <c r="N601" s="16">
        <f t="shared" ca="1" si="63"/>
        <v>76</v>
      </c>
      <c r="O601" s="18">
        <f t="shared" ca="1" si="62"/>
        <v>0.76767676767676762</v>
      </c>
      <c r="P601" s="19">
        <f t="shared" si="64"/>
        <v>11</v>
      </c>
      <c r="Q601" s="16" t="str">
        <f>IF(COUNTIF($B$2:B601,B601)=1,SUMIF($B$2:$B$1097,B601,$L$2:$L$1097),"")</f>
        <v/>
      </c>
    </row>
    <row r="602" spans="1:18" ht="12.75" x14ac:dyDescent="0.2">
      <c r="A602" s="3">
        <v>601</v>
      </c>
      <c r="B602" s="26">
        <v>45126</v>
      </c>
      <c r="C602" s="23" t="s">
        <v>32</v>
      </c>
      <c r="D602" s="4">
        <v>5</v>
      </c>
      <c r="E602" s="24" t="s">
        <v>33</v>
      </c>
      <c r="F602" s="5" t="s">
        <v>11</v>
      </c>
      <c r="G602" s="5" t="s">
        <v>11</v>
      </c>
      <c r="H602" s="5" t="s">
        <v>14</v>
      </c>
      <c r="I602" s="5" t="s">
        <v>13</v>
      </c>
      <c r="J602" s="5" t="s">
        <v>56</v>
      </c>
      <c r="K602" s="6">
        <v>16</v>
      </c>
      <c r="L602" s="15">
        <v>176</v>
      </c>
      <c r="M602" s="15">
        <f t="shared" ca="1" si="65"/>
        <v>22</v>
      </c>
      <c r="N602" s="16">
        <f t="shared" ca="1" si="63"/>
        <v>154</v>
      </c>
      <c r="O602" s="18">
        <f t="shared" ca="1" si="62"/>
        <v>0.875</v>
      </c>
      <c r="P602" s="19">
        <f t="shared" si="64"/>
        <v>11</v>
      </c>
      <c r="Q602" s="16">
        <f>IF(COUNTIF($B$2:B602,B602)=1,SUMIF($B$2:$B$1097,B602,$L$2:$L$1097),"")</f>
        <v>495</v>
      </c>
      <c r="R602" s="16">
        <f>AVERAGE(Q582:Q602)</f>
        <v>467.5</v>
      </c>
    </row>
    <row r="603" spans="1:18" ht="12.75" x14ac:dyDescent="0.2">
      <c r="A603" s="3">
        <v>602</v>
      </c>
      <c r="B603" s="26">
        <v>45126</v>
      </c>
      <c r="C603" s="23" t="s">
        <v>32</v>
      </c>
      <c r="D603" s="4">
        <v>5</v>
      </c>
      <c r="E603" s="24" t="s">
        <v>33</v>
      </c>
      <c r="F603" s="5" t="s">
        <v>11</v>
      </c>
      <c r="G603" s="5" t="s">
        <v>11</v>
      </c>
      <c r="H603" s="5" t="s">
        <v>14</v>
      </c>
      <c r="I603" s="5" t="s">
        <v>15</v>
      </c>
      <c r="J603" s="5" t="s">
        <v>56</v>
      </c>
      <c r="K603" s="6">
        <v>11</v>
      </c>
      <c r="L603" s="15">
        <v>121</v>
      </c>
      <c r="M603" s="15">
        <f t="shared" ca="1" si="65"/>
        <v>10</v>
      </c>
      <c r="N603" s="16">
        <f t="shared" ca="1" si="63"/>
        <v>111</v>
      </c>
      <c r="O603" s="18">
        <f t="shared" ca="1" si="62"/>
        <v>0.9173553719008265</v>
      </c>
      <c r="P603" s="19">
        <f t="shared" si="64"/>
        <v>11</v>
      </c>
      <c r="Q603" s="16" t="str">
        <f>IF(COUNTIF($B$2:B603,B603)=1,SUMIF($B$2:$B$1097,B603,$L$2:$L$1097),"")</f>
        <v/>
      </c>
    </row>
    <row r="604" spans="1:18" ht="12.75" x14ac:dyDescent="0.2">
      <c r="A604" s="3">
        <v>603</v>
      </c>
      <c r="B604" s="26">
        <v>45126</v>
      </c>
      <c r="C604" s="23" t="s">
        <v>32</v>
      </c>
      <c r="D604" s="4">
        <v>5</v>
      </c>
      <c r="E604" s="24" t="s">
        <v>33</v>
      </c>
      <c r="F604" s="5" t="s">
        <v>11</v>
      </c>
      <c r="G604" s="5" t="s">
        <v>11</v>
      </c>
      <c r="H604" s="5" t="s">
        <v>14</v>
      </c>
      <c r="I604" s="5" t="s">
        <v>16</v>
      </c>
      <c r="J604" s="5" t="s">
        <v>55</v>
      </c>
      <c r="K604" s="6">
        <v>5</v>
      </c>
      <c r="L604" s="15">
        <v>55</v>
      </c>
      <c r="M604" s="15">
        <f t="shared" ca="1" si="65"/>
        <v>2</v>
      </c>
      <c r="N604" s="16">
        <f t="shared" ca="1" si="63"/>
        <v>53</v>
      </c>
      <c r="O604" s="18">
        <f t="shared" ca="1" si="62"/>
        <v>0.96363636363636362</v>
      </c>
      <c r="P604" s="19">
        <f t="shared" si="64"/>
        <v>11</v>
      </c>
      <c r="Q604" s="16" t="str">
        <f>IF(COUNTIF($B$2:B604,B604)=1,SUMIF($B$2:$B$1097,B604,$L$2:$L$1097),"")</f>
        <v/>
      </c>
    </row>
    <row r="605" spans="1:18" ht="12.75" x14ac:dyDescent="0.2">
      <c r="A605" s="3">
        <v>604</v>
      </c>
      <c r="B605" s="26">
        <v>45126</v>
      </c>
      <c r="C605" s="23" t="s">
        <v>32</v>
      </c>
      <c r="D605" s="4">
        <v>5</v>
      </c>
      <c r="E605" s="24" t="s">
        <v>33</v>
      </c>
      <c r="F605" s="5" t="s">
        <v>11</v>
      </c>
      <c r="G605" s="5" t="s">
        <v>11</v>
      </c>
      <c r="H605" s="5" t="s">
        <v>14</v>
      </c>
      <c r="I605" s="5" t="s">
        <v>17</v>
      </c>
      <c r="J605" s="5" t="s">
        <v>53</v>
      </c>
      <c r="K605" s="6">
        <v>13</v>
      </c>
      <c r="L605" s="15">
        <v>143</v>
      </c>
      <c r="M605" s="15">
        <f t="shared" ca="1" si="65"/>
        <v>4</v>
      </c>
      <c r="N605" s="16">
        <f t="shared" ca="1" si="63"/>
        <v>139</v>
      </c>
      <c r="O605" s="18">
        <f t="shared" ca="1" si="62"/>
        <v>0.97202797202797198</v>
      </c>
      <c r="P605" s="19">
        <f t="shared" si="64"/>
        <v>11</v>
      </c>
      <c r="Q605" s="16" t="str">
        <f>IF(COUNTIF($B$2:B605,B605)=1,SUMIF($B$2:$B$1097,B605,$L$2:$L$1097),"")</f>
        <v/>
      </c>
    </row>
    <row r="606" spans="1:18" ht="12.75" x14ac:dyDescent="0.2">
      <c r="A606" s="3">
        <v>605</v>
      </c>
      <c r="B606" s="26">
        <v>45127</v>
      </c>
      <c r="C606" s="23" t="s">
        <v>32</v>
      </c>
      <c r="D606" s="4">
        <v>6</v>
      </c>
      <c r="E606" s="24" t="s">
        <v>33</v>
      </c>
      <c r="F606" s="5" t="s">
        <v>11</v>
      </c>
      <c r="G606" s="5" t="s">
        <v>11</v>
      </c>
      <c r="H606" s="5" t="s">
        <v>14</v>
      </c>
      <c r="I606" s="5" t="s">
        <v>13</v>
      </c>
      <c r="J606" s="5" t="s">
        <v>52</v>
      </c>
      <c r="K606" s="6">
        <v>23</v>
      </c>
      <c r="L606" s="15">
        <v>253</v>
      </c>
      <c r="M606" s="15">
        <f t="shared" ca="1" si="65"/>
        <v>6</v>
      </c>
      <c r="N606" s="16">
        <f t="shared" ca="1" si="63"/>
        <v>247</v>
      </c>
      <c r="O606" s="18">
        <f t="shared" ca="1" si="62"/>
        <v>0.97628458498023718</v>
      </c>
      <c r="P606" s="19">
        <f t="shared" si="64"/>
        <v>11</v>
      </c>
      <c r="Q606" s="16">
        <f>IF(COUNTIF($B$2:B606,B606)=1,SUMIF($B$2:$B$1097,B606,$L$2:$L$1097),"")</f>
        <v>693</v>
      </c>
      <c r="R606" s="16">
        <f>AVERAGE(Q586:Q606)</f>
        <v>484</v>
      </c>
    </row>
    <row r="607" spans="1:18" ht="12.75" x14ac:dyDescent="0.2">
      <c r="A607" s="3">
        <v>606</v>
      </c>
      <c r="B607" s="26">
        <v>45127</v>
      </c>
      <c r="C607" s="23" t="s">
        <v>32</v>
      </c>
      <c r="D607" s="4">
        <v>6</v>
      </c>
      <c r="E607" s="24" t="s">
        <v>33</v>
      </c>
      <c r="F607" s="5" t="s">
        <v>11</v>
      </c>
      <c r="G607" s="5" t="s">
        <v>11</v>
      </c>
      <c r="H607" s="5" t="s">
        <v>14</v>
      </c>
      <c r="I607" s="5" t="s">
        <v>15</v>
      </c>
      <c r="J607" s="5" t="s">
        <v>55</v>
      </c>
      <c r="K607" s="6">
        <v>12</v>
      </c>
      <c r="L607" s="15">
        <v>132</v>
      </c>
      <c r="M607" s="15">
        <f t="shared" ca="1" si="65"/>
        <v>15</v>
      </c>
      <c r="N607" s="16">
        <f t="shared" ca="1" si="63"/>
        <v>117</v>
      </c>
      <c r="O607" s="18">
        <f t="shared" ca="1" si="62"/>
        <v>0.88636363636363635</v>
      </c>
      <c r="P607" s="19">
        <f t="shared" si="64"/>
        <v>11</v>
      </c>
      <c r="Q607" s="16" t="str">
        <f>IF(COUNTIF($B$2:B607,B607)=1,SUMIF($B$2:$B$1097,B607,$L$2:$L$1097),"")</f>
        <v/>
      </c>
    </row>
    <row r="608" spans="1:18" ht="12.75" x14ac:dyDescent="0.2">
      <c r="A608" s="3">
        <v>607</v>
      </c>
      <c r="B608" s="26">
        <v>45127</v>
      </c>
      <c r="C608" s="23" t="s">
        <v>32</v>
      </c>
      <c r="D608" s="4">
        <v>6</v>
      </c>
      <c r="E608" s="24" t="s">
        <v>33</v>
      </c>
      <c r="F608" s="5" t="s">
        <v>11</v>
      </c>
      <c r="G608" s="5" t="s">
        <v>11</v>
      </c>
      <c r="H608" s="5" t="s">
        <v>14</v>
      </c>
      <c r="I608" s="5" t="s">
        <v>16</v>
      </c>
      <c r="J608" s="5" t="s">
        <v>55</v>
      </c>
      <c r="K608" s="6">
        <v>9</v>
      </c>
      <c r="L608" s="15">
        <v>99</v>
      </c>
      <c r="M608" s="15">
        <f t="shared" ca="1" si="65"/>
        <v>17</v>
      </c>
      <c r="N608" s="16">
        <f t="shared" ca="1" si="63"/>
        <v>82</v>
      </c>
      <c r="O608" s="18">
        <f t="shared" ca="1" si="62"/>
        <v>0.82828282828282829</v>
      </c>
      <c r="P608" s="19">
        <f t="shared" si="64"/>
        <v>11</v>
      </c>
      <c r="Q608" s="16" t="str">
        <f>IF(COUNTIF($B$2:B608,B608)=1,SUMIF($B$2:$B$1097,B608,$L$2:$L$1097),"")</f>
        <v/>
      </c>
    </row>
    <row r="609" spans="1:18" ht="12.75" x14ac:dyDescent="0.2">
      <c r="A609" s="3">
        <v>608</v>
      </c>
      <c r="B609" s="26">
        <v>45127</v>
      </c>
      <c r="C609" s="23" t="s">
        <v>32</v>
      </c>
      <c r="D609" s="4">
        <v>6</v>
      </c>
      <c r="E609" s="24" t="s">
        <v>33</v>
      </c>
      <c r="F609" s="5" t="s">
        <v>11</v>
      </c>
      <c r="G609" s="5" t="s">
        <v>11</v>
      </c>
      <c r="H609" s="5" t="s">
        <v>14</v>
      </c>
      <c r="I609" s="5" t="s">
        <v>17</v>
      </c>
      <c r="J609" s="5" t="s">
        <v>53</v>
      </c>
      <c r="K609" s="6">
        <v>19</v>
      </c>
      <c r="L609" s="15">
        <v>209</v>
      </c>
      <c r="M609" s="15">
        <f t="shared" ca="1" si="65"/>
        <v>8</v>
      </c>
      <c r="N609" s="16">
        <f t="shared" ca="1" si="63"/>
        <v>201</v>
      </c>
      <c r="O609" s="18">
        <f t="shared" ca="1" si="62"/>
        <v>0.96172248803827753</v>
      </c>
      <c r="P609" s="19">
        <f t="shared" si="64"/>
        <v>11</v>
      </c>
      <c r="Q609" s="16" t="str">
        <f>IF(COUNTIF($B$2:B609,B609)=1,SUMIF($B$2:$B$1097,B609,$L$2:$L$1097),"")</f>
        <v/>
      </c>
    </row>
    <row r="610" spans="1:18" ht="12.75" x14ac:dyDescent="0.2">
      <c r="A610" s="3">
        <v>609</v>
      </c>
      <c r="B610" s="26">
        <v>45128</v>
      </c>
      <c r="C610" s="23" t="s">
        <v>32</v>
      </c>
      <c r="D610" s="4">
        <v>7</v>
      </c>
      <c r="E610" s="24" t="s">
        <v>33</v>
      </c>
      <c r="F610" s="5" t="s">
        <v>11</v>
      </c>
      <c r="G610" s="5" t="s">
        <v>11</v>
      </c>
      <c r="H610" s="5" t="s">
        <v>14</v>
      </c>
      <c r="I610" s="5" t="s">
        <v>13</v>
      </c>
      <c r="J610" s="5" t="s">
        <v>56</v>
      </c>
      <c r="K610" s="6">
        <v>22</v>
      </c>
      <c r="L610" s="15">
        <v>242</v>
      </c>
      <c r="M610" s="15">
        <f t="shared" ca="1" si="65"/>
        <v>33</v>
      </c>
      <c r="N610" s="16">
        <f t="shared" ca="1" si="63"/>
        <v>209</v>
      </c>
      <c r="O610" s="18">
        <f t="shared" ca="1" si="62"/>
        <v>0.86363636363636365</v>
      </c>
      <c r="P610" s="19">
        <f t="shared" si="64"/>
        <v>11</v>
      </c>
      <c r="Q610" s="16">
        <f>IF(COUNTIF($B$2:B610,B610)=1,SUMIF($B$2:$B$1097,B610,$L$2:$L$1097),"")</f>
        <v>242</v>
      </c>
      <c r="R610" s="16">
        <f t="shared" ref="R610:R611" si="67">AVERAGE(Q590:Q610)</f>
        <v>485.83333333333331</v>
      </c>
    </row>
    <row r="611" spans="1:18" ht="12.75" x14ac:dyDescent="0.2">
      <c r="A611" s="3">
        <v>610</v>
      </c>
      <c r="B611" s="26">
        <v>45130</v>
      </c>
      <c r="C611" s="23" t="s">
        <v>32</v>
      </c>
      <c r="D611" s="4">
        <v>2</v>
      </c>
      <c r="E611" s="24" t="s">
        <v>33</v>
      </c>
      <c r="F611" s="5" t="s">
        <v>11</v>
      </c>
      <c r="G611" s="5" t="s">
        <v>11</v>
      </c>
      <c r="H611" s="5" t="s">
        <v>14</v>
      </c>
      <c r="I611" s="5" t="s">
        <v>13</v>
      </c>
      <c r="J611" s="5" t="s">
        <v>52</v>
      </c>
      <c r="K611" s="6">
        <v>22</v>
      </c>
      <c r="L611" s="15">
        <v>242</v>
      </c>
      <c r="M611" s="15">
        <f t="shared" ca="1" si="65"/>
        <v>32</v>
      </c>
      <c r="N611" s="16">
        <f t="shared" ca="1" si="63"/>
        <v>210</v>
      </c>
      <c r="O611" s="18">
        <f t="shared" ca="1" si="62"/>
        <v>0.86776859504132231</v>
      </c>
      <c r="P611" s="19">
        <f t="shared" si="64"/>
        <v>11</v>
      </c>
      <c r="Q611" s="16">
        <f>IF(COUNTIF($B$2:B611,B611)=1,SUMIF($B$2:$B$1097,B611,$L$2:$L$1097),"")</f>
        <v>638</v>
      </c>
      <c r="R611" s="16">
        <f t="shared" si="67"/>
        <v>496.83333333333331</v>
      </c>
    </row>
    <row r="612" spans="1:18" ht="12.75" x14ac:dyDescent="0.2">
      <c r="A612" s="3">
        <v>611</v>
      </c>
      <c r="B612" s="26">
        <v>45130</v>
      </c>
      <c r="C612" s="23" t="s">
        <v>32</v>
      </c>
      <c r="D612" s="4">
        <v>2</v>
      </c>
      <c r="E612" s="24" t="s">
        <v>33</v>
      </c>
      <c r="F612" s="5" t="s">
        <v>11</v>
      </c>
      <c r="G612" s="5" t="s">
        <v>11</v>
      </c>
      <c r="H612" s="5" t="s">
        <v>14</v>
      </c>
      <c r="I612" s="5" t="s">
        <v>15</v>
      </c>
      <c r="J612" s="5" t="s">
        <v>54</v>
      </c>
      <c r="K612" s="6">
        <v>10</v>
      </c>
      <c r="L612" s="15">
        <v>110</v>
      </c>
      <c r="M612" s="15">
        <f t="shared" ca="1" si="65"/>
        <v>9</v>
      </c>
      <c r="N612" s="16">
        <f t="shared" ca="1" si="63"/>
        <v>101</v>
      </c>
      <c r="O612" s="18">
        <f t="shared" ca="1" si="62"/>
        <v>0.91818181818181821</v>
      </c>
      <c r="P612" s="19">
        <f t="shared" si="64"/>
        <v>11</v>
      </c>
      <c r="Q612" s="16" t="str">
        <f>IF(COUNTIF($B$2:B612,B612)=1,SUMIF($B$2:$B$1097,B612,$L$2:$L$1097),"")</f>
        <v/>
      </c>
    </row>
    <row r="613" spans="1:18" ht="12.75" x14ac:dyDescent="0.2">
      <c r="A613" s="3">
        <v>612</v>
      </c>
      <c r="B613" s="26">
        <v>45130</v>
      </c>
      <c r="C613" s="23" t="s">
        <v>32</v>
      </c>
      <c r="D613" s="4">
        <v>2</v>
      </c>
      <c r="E613" s="24" t="s">
        <v>33</v>
      </c>
      <c r="F613" s="5" t="s">
        <v>11</v>
      </c>
      <c r="G613" s="5" t="s">
        <v>11</v>
      </c>
      <c r="H613" s="5" t="s">
        <v>14</v>
      </c>
      <c r="I613" s="5" t="s">
        <v>16</v>
      </c>
      <c r="J613" s="5" t="s">
        <v>54</v>
      </c>
      <c r="K613" s="6">
        <v>10</v>
      </c>
      <c r="L613" s="15">
        <v>110</v>
      </c>
      <c r="M613" s="15">
        <f t="shared" ca="1" si="65"/>
        <v>27</v>
      </c>
      <c r="N613" s="16">
        <f t="shared" ca="1" si="63"/>
        <v>83</v>
      </c>
      <c r="O613" s="18">
        <f t="shared" ca="1" si="62"/>
        <v>0.75454545454545452</v>
      </c>
      <c r="P613" s="19">
        <f t="shared" si="64"/>
        <v>11</v>
      </c>
      <c r="Q613" s="16" t="str">
        <f>IF(COUNTIF($B$2:B613,B613)=1,SUMIF($B$2:$B$1097,B613,$L$2:$L$1097),"")</f>
        <v/>
      </c>
    </row>
    <row r="614" spans="1:18" ht="12.75" x14ac:dyDescent="0.2">
      <c r="A614" s="3">
        <v>613</v>
      </c>
      <c r="B614" s="26">
        <v>45130</v>
      </c>
      <c r="C614" s="23" t="s">
        <v>32</v>
      </c>
      <c r="D614" s="4">
        <v>2</v>
      </c>
      <c r="E614" s="24" t="s">
        <v>33</v>
      </c>
      <c r="F614" s="5" t="s">
        <v>11</v>
      </c>
      <c r="G614" s="5" t="s">
        <v>11</v>
      </c>
      <c r="H614" s="5" t="s">
        <v>14</v>
      </c>
      <c r="I614" s="5" t="s">
        <v>17</v>
      </c>
      <c r="J614" s="5" t="s">
        <v>54</v>
      </c>
      <c r="K614" s="6">
        <v>16</v>
      </c>
      <c r="L614" s="15">
        <v>176</v>
      </c>
      <c r="M614" s="15">
        <f t="shared" ca="1" si="65"/>
        <v>42</v>
      </c>
      <c r="N614" s="16">
        <f t="shared" ca="1" si="63"/>
        <v>134</v>
      </c>
      <c r="O614" s="18">
        <f t="shared" ca="1" si="62"/>
        <v>0.76136363636363635</v>
      </c>
      <c r="P614" s="19">
        <f t="shared" si="64"/>
        <v>11</v>
      </c>
      <c r="Q614" s="16" t="str">
        <f>IF(COUNTIF($B$2:B614,B614)=1,SUMIF($B$2:$B$1097,B614,$L$2:$L$1097),"")</f>
        <v/>
      </c>
    </row>
    <row r="615" spans="1:18" ht="12.75" x14ac:dyDescent="0.2">
      <c r="A615" s="3">
        <v>614</v>
      </c>
      <c r="B615" s="26">
        <v>45131</v>
      </c>
      <c r="C615" s="23" t="s">
        <v>32</v>
      </c>
      <c r="D615" s="4">
        <v>3</v>
      </c>
      <c r="E615" s="24" t="s">
        <v>33</v>
      </c>
      <c r="F615" s="5" t="s">
        <v>11</v>
      </c>
      <c r="G615" s="5" t="s">
        <v>11</v>
      </c>
      <c r="H615" s="5" t="s">
        <v>14</v>
      </c>
      <c r="I615" s="5" t="s">
        <v>13</v>
      </c>
      <c r="J615" s="5" t="s">
        <v>56</v>
      </c>
      <c r="K615" s="6">
        <v>14</v>
      </c>
      <c r="L615" s="15">
        <v>154</v>
      </c>
      <c r="M615" s="15">
        <f t="shared" ca="1" si="65"/>
        <v>7</v>
      </c>
      <c r="N615" s="16">
        <f t="shared" ca="1" si="63"/>
        <v>147</v>
      </c>
      <c r="O615" s="18">
        <f t="shared" ca="1" si="62"/>
        <v>0.95454545454545459</v>
      </c>
      <c r="P615" s="19">
        <f t="shared" si="64"/>
        <v>11</v>
      </c>
      <c r="Q615" s="16">
        <f>IF(COUNTIF($B$2:B615,B615)=1,SUMIF($B$2:$B$1097,B615,$L$2:$L$1097),"")</f>
        <v>440</v>
      </c>
      <c r="R615" s="16">
        <f>AVERAGE(Q595:Q615)</f>
        <v>487.66666666666669</v>
      </c>
    </row>
    <row r="616" spans="1:18" ht="12.75" x14ac:dyDescent="0.2">
      <c r="A616" s="3">
        <v>615</v>
      </c>
      <c r="B616" s="26">
        <v>45131</v>
      </c>
      <c r="C616" s="23" t="s">
        <v>32</v>
      </c>
      <c r="D616" s="4">
        <v>3</v>
      </c>
      <c r="E616" s="24" t="s">
        <v>33</v>
      </c>
      <c r="F616" s="5" t="s">
        <v>11</v>
      </c>
      <c r="G616" s="5" t="s">
        <v>11</v>
      </c>
      <c r="H616" s="5" t="s">
        <v>14</v>
      </c>
      <c r="I616" s="5" t="s">
        <v>15</v>
      </c>
      <c r="J616" s="5" t="s">
        <v>56</v>
      </c>
      <c r="K616" s="6">
        <v>10</v>
      </c>
      <c r="L616" s="15">
        <v>110</v>
      </c>
      <c r="M616" s="15">
        <f t="shared" ca="1" si="65"/>
        <v>10</v>
      </c>
      <c r="N616" s="16">
        <f t="shared" ca="1" si="63"/>
        <v>100</v>
      </c>
      <c r="O616" s="18">
        <f t="shared" ca="1" si="62"/>
        <v>0.90909090909090906</v>
      </c>
      <c r="P616" s="19">
        <f t="shared" si="64"/>
        <v>11</v>
      </c>
      <c r="Q616" s="16" t="str">
        <f>IF(COUNTIF($B$2:B616,B616)=1,SUMIF($B$2:$B$1097,B616,$L$2:$L$1097),"")</f>
        <v/>
      </c>
    </row>
    <row r="617" spans="1:18" ht="12.75" x14ac:dyDescent="0.2">
      <c r="A617" s="3">
        <v>616</v>
      </c>
      <c r="B617" s="26">
        <v>45131</v>
      </c>
      <c r="C617" s="23" t="s">
        <v>32</v>
      </c>
      <c r="D617" s="4">
        <v>3</v>
      </c>
      <c r="E617" s="24" t="s">
        <v>33</v>
      </c>
      <c r="F617" s="5" t="s">
        <v>11</v>
      </c>
      <c r="G617" s="5" t="s">
        <v>11</v>
      </c>
      <c r="H617" s="5" t="s">
        <v>14</v>
      </c>
      <c r="I617" s="5" t="s">
        <v>16</v>
      </c>
      <c r="J617" s="5" t="s">
        <v>55</v>
      </c>
      <c r="K617" s="6">
        <v>5</v>
      </c>
      <c r="L617" s="15">
        <v>55</v>
      </c>
      <c r="M617" s="15">
        <f t="shared" ca="1" si="65"/>
        <v>13</v>
      </c>
      <c r="N617" s="16">
        <f t="shared" ca="1" si="63"/>
        <v>42</v>
      </c>
      <c r="O617" s="18">
        <f t="shared" ca="1" si="62"/>
        <v>0.76363636363636367</v>
      </c>
      <c r="P617" s="19">
        <f t="shared" si="64"/>
        <v>11</v>
      </c>
      <c r="Q617" s="16" t="str">
        <f>IF(COUNTIF($B$2:B617,B617)=1,SUMIF($B$2:$B$1097,B617,$L$2:$L$1097),"")</f>
        <v/>
      </c>
    </row>
    <row r="618" spans="1:18" ht="12.75" x14ac:dyDescent="0.2">
      <c r="A618" s="3">
        <v>617</v>
      </c>
      <c r="B618" s="26">
        <v>45131</v>
      </c>
      <c r="C618" s="23" t="s">
        <v>32</v>
      </c>
      <c r="D618" s="4">
        <v>3</v>
      </c>
      <c r="E618" s="24" t="s">
        <v>33</v>
      </c>
      <c r="F618" s="5" t="s">
        <v>11</v>
      </c>
      <c r="G618" s="5" t="s">
        <v>11</v>
      </c>
      <c r="H618" s="5" t="s">
        <v>14</v>
      </c>
      <c r="I618" s="5" t="s">
        <v>17</v>
      </c>
      <c r="J618" s="5" t="s">
        <v>53</v>
      </c>
      <c r="K618" s="6">
        <v>11</v>
      </c>
      <c r="L618" s="15">
        <v>121</v>
      </c>
      <c r="M618" s="15">
        <f t="shared" ca="1" si="65"/>
        <v>1</v>
      </c>
      <c r="N618" s="16">
        <f t="shared" ca="1" si="63"/>
        <v>120</v>
      </c>
      <c r="O618" s="18">
        <f t="shared" ca="1" si="62"/>
        <v>0.99173553719008267</v>
      </c>
      <c r="P618" s="19">
        <f t="shared" si="64"/>
        <v>11</v>
      </c>
      <c r="Q618" s="16" t="str">
        <f>IF(COUNTIF($B$2:B618,B618)=1,SUMIF($B$2:$B$1097,B618,$L$2:$L$1097),"")</f>
        <v/>
      </c>
    </row>
    <row r="619" spans="1:18" ht="12.75" x14ac:dyDescent="0.2">
      <c r="A619" s="3">
        <v>618</v>
      </c>
      <c r="B619" s="26">
        <v>45132</v>
      </c>
      <c r="C619" s="23" t="s">
        <v>32</v>
      </c>
      <c r="D619" s="4">
        <v>4</v>
      </c>
      <c r="E619" s="24" t="s">
        <v>33</v>
      </c>
      <c r="F619" s="5" t="s">
        <v>11</v>
      </c>
      <c r="G619" s="5" t="s">
        <v>11</v>
      </c>
      <c r="H619" s="5" t="s">
        <v>14</v>
      </c>
      <c r="I619" s="5" t="s">
        <v>13</v>
      </c>
      <c r="J619" s="5" t="s">
        <v>52</v>
      </c>
      <c r="K619" s="6">
        <v>16</v>
      </c>
      <c r="L619" s="15">
        <v>176</v>
      </c>
      <c r="M619" s="15">
        <f t="shared" ca="1" si="65"/>
        <v>45</v>
      </c>
      <c r="N619" s="16">
        <f t="shared" ca="1" si="63"/>
        <v>131</v>
      </c>
      <c r="O619" s="18">
        <f t="shared" ca="1" si="62"/>
        <v>0.74431818181818177</v>
      </c>
      <c r="P619" s="19">
        <f t="shared" si="64"/>
        <v>11</v>
      </c>
      <c r="Q619" s="16">
        <f>IF(COUNTIF($B$2:B619,B619)=1,SUMIF($B$2:$B$1097,B619,$L$2:$L$1097),"")</f>
        <v>440</v>
      </c>
      <c r="R619" s="16">
        <f>AVERAGE(Q599:Q619)</f>
        <v>491.33333333333331</v>
      </c>
    </row>
    <row r="620" spans="1:18" ht="12.75" x14ac:dyDescent="0.2">
      <c r="A620" s="3">
        <v>619</v>
      </c>
      <c r="B620" s="26">
        <v>45132</v>
      </c>
      <c r="C620" s="23" t="s">
        <v>32</v>
      </c>
      <c r="D620" s="4">
        <v>4</v>
      </c>
      <c r="E620" s="24" t="s">
        <v>33</v>
      </c>
      <c r="F620" s="5" t="s">
        <v>11</v>
      </c>
      <c r="G620" s="5" t="s">
        <v>11</v>
      </c>
      <c r="H620" s="5" t="s">
        <v>14</v>
      </c>
      <c r="I620" s="5" t="s">
        <v>15</v>
      </c>
      <c r="J620" s="5" t="s">
        <v>54</v>
      </c>
      <c r="K620" s="6">
        <v>7</v>
      </c>
      <c r="L620" s="15">
        <v>77</v>
      </c>
      <c r="M620" s="15">
        <f t="shared" ca="1" si="65"/>
        <v>43</v>
      </c>
      <c r="N620" s="16">
        <f t="shared" ca="1" si="63"/>
        <v>34</v>
      </c>
      <c r="O620" s="18">
        <f t="shared" ca="1" si="62"/>
        <v>0.44155844155844154</v>
      </c>
      <c r="P620" s="19">
        <f t="shared" si="64"/>
        <v>11</v>
      </c>
      <c r="Q620" s="16" t="str">
        <f>IF(COUNTIF($B$2:B620,B620)=1,SUMIF($B$2:$B$1097,B620,$L$2:$L$1097),"")</f>
        <v/>
      </c>
    </row>
    <row r="621" spans="1:18" ht="12.75" x14ac:dyDescent="0.2">
      <c r="A621" s="3">
        <v>620</v>
      </c>
      <c r="B621" s="26">
        <v>45132</v>
      </c>
      <c r="C621" s="23" t="s">
        <v>32</v>
      </c>
      <c r="D621" s="4">
        <v>4</v>
      </c>
      <c r="E621" s="24" t="s">
        <v>33</v>
      </c>
      <c r="F621" s="5" t="s">
        <v>11</v>
      </c>
      <c r="G621" s="5" t="s">
        <v>11</v>
      </c>
      <c r="H621" s="5" t="s">
        <v>14</v>
      </c>
      <c r="I621" s="5" t="s">
        <v>16</v>
      </c>
      <c r="J621" s="5" t="s">
        <v>54</v>
      </c>
      <c r="K621" s="6">
        <v>5</v>
      </c>
      <c r="L621" s="15">
        <v>55</v>
      </c>
      <c r="M621" s="15">
        <f t="shared" ca="1" si="65"/>
        <v>18</v>
      </c>
      <c r="N621" s="16">
        <f t="shared" ca="1" si="63"/>
        <v>37</v>
      </c>
      <c r="O621" s="18">
        <f t="shared" ca="1" si="62"/>
        <v>0.67272727272727273</v>
      </c>
      <c r="P621" s="19">
        <f t="shared" si="64"/>
        <v>11</v>
      </c>
      <c r="Q621" s="16" t="str">
        <f>IF(COUNTIF($B$2:B621,B621)=1,SUMIF($B$2:$B$1097,B621,$L$2:$L$1097),"")</f>
        <v/>
      </c>
    </row>
    <row r="622" spans="1:18" ht="12.75" x14ac:dyDescent="0.2">
      <c r="A622" s="3">
        <v>621</v>
      </c>
      <c r="B622" s="26">
        <v>45132</v>
      </c>
      <c r="C622" s="23" t="s">
        <v>32</v>
      </c>
      <c r="D622" s="4">
        <v>4</v>
      </c>
      <c r="E622" s="24" t="s">
        <v>33</v>
      </c>
      <c r="F622" s="5" t="s">
        <v>11</v>
      </c>
      <c r="G622" s="5" t="s">
        <v>11</v>
      </c>
      <c r="H622" s="5" t="s">
        <v>14</v>
      </c>
      <c r="I622" s="5" t="s">
        <v>17</v>
      </c>
      <c r="J622" s="5" t="s">
        <v>54</v>
      </c>
      <c r="K622" s="6">
        <v>12</v>
      </c>
      <c r="L622" s="15">
        <v>132</v>
      </c>
      <c r="M622" s="15">
        <f t="shared" ca="1" si="65"/>
        <v>19</v>
      </c>
      <c r="N622" s="16">
        <f t="shared" ca="1" si="63"/>
        <v>113</v>
      </c>
      <c r="O622" s="18">
        <f t="shared" ca="1" si="62"/>
        <v>0.85606060606060608</v>
      </c>
      <c r="P622" s="19">
        <f t="shared" si="64"/>
        <v>11</v>
      </c>
      <c r="Q622" s="16" t="str">
        <f>IF(COUNTIF($B$2:B622,B622)=1,SUMIF($B$2:$B$1097,B622,$L$2:$L$1097),"")</f>
        <v/>
      </c>
    </row>
    <row r="623" spans="1:18" ht="12.75" x14ac:dyDescent="0.2">
      <c r="A623" s="3">
        <v>622</v>
      </c>
      <c r="B623" s="26">
        <v>45133</v>
      </c>
      <c r="C623" s="23" t="s">
        <v>32</v>
      </c>
      <c r="D623" s="4">
        <v>5</v>
      </c>
      <c r="E623" s="24" t="s">
        <v>33</v>
      </c>
      <c r="F623" s="5" t="s">
        <v>11</v>
      </c>
      <c r="G623" s="5" t="s">
        <v>11</v>
      </c>
      <c r="H623" s="5" t="s">
        <v>14</v>
      </c>
      <c r="I623" s="5" t="s">
        <v>13</v>
      </c>
      <c r="J623" s="5" t="s">
        <v>56</v>
      </c>
      <c r="K623" s="6">
        <v>16</v>
      </c>
      <c r="L623" s="15">
        <v>176</v>
      </c>
      <c r="M623" s="15">
        <f t="shared" ca="1" si="65"/>
        <v>15</v>
      </c>
      <c r="N623" s="16">
        <f t="shared" ca="1" si="63"/>
        <v>161</v>
      </c>
      <c r="O623" s="18">
        <f t="shared" ca="1" si="62"/>
        <v>0.91477272727272729</v>
      </c>
      <c r="P623" s="19">
        <f t="shared" si="64"/>
        <v>11</v>
      </c>
      <c r="Q623" s="16">
        <f>IF(COUNTIF($B$2:B623,B623)=1,SUMIF($B$2:$B$1097,B623,$L$2:$L$1097),"")</f>
        <v>495</v>
      </c>
      <c r="R623" s="16">
        <f>AVERAGE(Q603:Q623)</f>
        <v>491.33333333333331</v>
      </c>
    </row>
    <row r="624" spans="1:18" ht="12.75" x14ac:dyDescent="0.2">
      <c r="A624" s="3">
        <v>623</v>
      </c>
      <c r="B624" s="26">
        <v>45133</v>
      </c>
      <c r="C624" s="23" t="s">
        <v>32</v>
      </c>
      <c r="D624" s="4">
        <v>5</v>
      </c>
      <c r="E624" s="24" t="s">
        <v>33</v>
      </c>
      <c r="F624" s="5" t="s">
        <v>11</v>
      </c>
      <c r="G624" s="5" t="s">
        <v>11</v>
      </c>
      <c r="H624" s="5" t="s">
        <v>14</v>
      </c>
      <c r="I624" s="5" t="s">
        <v>15</v>
      </c>
      <c r="J624" s="5" t="s">
        <v>56</v>
      </c>
      <c r="K624" s="6">
        <v>11</v>
      </c>
      <c r="L624" s="15">
        <v>121</v>
      </c>
      <c r="M624" s="15">
        <f t="shared" ca="1" si="65"/>
        <v>22</v>
      </c>
      <c r="N624" s="16">
        <f t="shared" ca="1" si="63"/>
        <v>99</v>
      </c>
      <c r="O624" s="18">
        <f t="shared" ca="1" si="62"/>
        <v>0.81818181818181823</v>
      </c>
      <c r="P624" s="19">
        <f t="shared" si="64"/>
        <v>11</v>
      </c>
      <c r="Q624" s="16" t="str">
        <f>IF(COUNTIF($B$2:B624,B624)=1,SUMIF($B$2:$B$1097,B624,$L$2:$L$1097),"")</f>
        <v/>
      </c>
    </row>
    <row r="625" spans="1:18" ht="12.75" x14ac:dyDescent="0.2">
      <c r="A625" s="3">
        <v>624</v>
      </c>
      <c r="B625" s="26">
        <v>45133</v>
      </c>
      <c r="C625" s="23" t="s">
        <v>32</v>
      </c>
      <c r="D625" s="4">
        <v>5</v>
      </c>
      <c r="E625" s="24" t="s">
        <v>33</v>
      </c>
      <c r="F625" s="5" t="s">
        <v>11</v>
      </c>
      <c r="G625" s="5" t="s">
        <v>11</v>
      </c>
      <c r="H625" s="5" t="s">
        <v>14</v>
      </c>
      <c r="I625" s="5" t="s">
        <v>16</v>
      </c>
      <c r="J625" s="5" t="s">
        <v>55</v>
      </c>
      <c r="K625" s="6">
        <v>5</v>
      </c>
      <c r="L625" s="15">
        <v>55</v>
      </c>
      <c r="M625" s="15">
        <f t="shared" ca="1" si="65"/>
        <v>38</v>
      </c>
      <c r="N625" s="16">
        <f t="shared" ca="1" si="63"/>
        <v>17</v>
      </c>
      <c r="O625" s="18">
        <f t="shared" ca="1" si="62"/>
        <v>0.30909090909090908</v>
      </c>
      <c r="P625" s="19">
        <f t="shared" si="64"/>
        <v>11</v>
      </c>
      <c r="Q625" s="16" t="str">
        <f>IF(COUNTIF($B$2:B625,B625)=1,SUMIF($B$2:$B$1097,B625,$L$2:$L$1097),"")</f>
        <v/>
      </c>
    </row>
    <row r="626" spans="1:18" ht="12.75" x14ac:dyDescent="0.2">
      <c r="A626" s="3">
        <v>625</v>
      </c>
      <c r="B626" s="26">
        <v>45133</v>
      </c>
      <c r="C626" s="23" t="s">
        <v>32</v>
      </c>
      <c r="D626" s="4">
        <v>5</v>
      </c>
      <c r="E626" s="24" t="s">
        <v>33</v>
      </c>
      <c r="F626" s="5" t="s">
        <v>11</v>
      </c>
      <c r="G626" s="5" t="s">
        <v>11</v>
      </c>
      <c r="H626" s="5" t="s">
        <v>14</v>
      </c>
      <c r="I626" s="5" t="s">
        <v>17</v>
      </c>
      <c r="J626" s="5" t="s">
        <v>53</v>
      </c>
      <c r="K626" s="6">
        <v>13</v>
      </c>
      <c r="L626" s="15">
        <v>143</v>
      </c>
      <c r="M626" s="15">
        <f t="shared" ca="1" si="65"/>
        <v>41</v>
      </c>
      <c r="N626" s="16">
        <f t="shared" ca="1" si="63"/>
        <v>102</v>
      </c>
      <c r="O626" s="18">
        <f t="shared" ca="1" si="62"/>
        <v>0.71328671328671334</v>
      </c>
      <c r="P626" s="19">
        <f t="shared" si="64"/>
        <v>11</v>
      </c>
      <c r="Q626" s="16" t="str">
        <f>IF(COUNTIF($B$2:B626,B626)=1,SUMIF($B$2:$B$1097,B626,$L$2:$L$1097),"")</f>
        <v/>
      </c>
    </row>
    <row r="627" spans="1:18" ht="12.75" x14ac:dyDescent="0.2">
      <c r="A627" s="3">
        <v>626</v>
      </c>
      <c r="B627" s="26">
        <v>45134</v>
      </c>
      <c r="C627" s="23" t="s">
        <v>32</v>
      </c>
      <c r="D627" s="4">
        <v>6</v>
      </c>
      <c r="E627" s="24" t="s">
        <v>33</v>
      </c>
      <c r="F627" s="5" t="s">
        <v>11</v>
      </c>
      <c r="G627" s="5" t="s">
        <v>11</v>
      </c>
      <c r="H627" s="5" t="s">
        <v>14</v>
      </c>
      <c r="I627" s="5" t="s">
        <v>13</v>
      </c>
      <c r="J627" s="5" t="s">
        <v>52</v>
      </c>
      <c r="K627" s="6">
        <v>22</v>
      </c>
      <c r="L627" s="15">
        <v>242</v>
      </c>
      <c r="M627" s="15">
        <f t="shared" ca="1" si="65"/>
        <v>31</v>
      </c>
      <c r="N627" s="16">
        <f t="shared" ca="1" si="63"/>
        <v>211</v>
      </c>
      <c r="O627" s="18">
        <f t="shared" ca="1" si="62"/>
        <v>0.87190082644628097</v>
      </c>
      <c r="P627" s="19">
        <f t="shared" si="64"/>
        <v>11</v>
      </c>
      <c r="Q627" s="16">
        <f>IF(COUNTIF($B$2:B627,B627)=1,SUMIF($B$2:$B$1097,B627,$L$2:$L$1097),"")</f>
        <v>627</v>
      </c>
      <c r="R627" s="16">
        <f>AVERAGE(Q607:Q627)</f>
        <v>480.33333333333331</v>
      </c>
    </row>
    <row r="628" spans="1:18" ht="12.75" x14ac:dyDescent="0.2">
      <c r="A628" s="3">
        <v>627</v>
      </c>
      <c r="B628" s="26">
        <v>45134</v>
      </c>
      <c r="C628" s="23" t="s">
        <v>32</v>
      </c>
      <c r="D628" s="4">
        <v>6</v>
      </c>
      <c r="E628" s="24" t="s">
        <v>33</v>
      </c>
      <c r="F628" s="5" t="s">
        <v>11</v>
      </c>
      <c r="G628" s="5" t="s">
        <v>11</v>
      </c>
      <c r="H628" s="5" t="s">
        <v>14</v>
      </c>
      <c r="I628" s="5" t="s">
        <v>15</v>
      </c>
      <c r="J628" s="5" t="s">
        <v>55</v>
      </c>
      <c r="K628" s="6">
        <v>10</v>
      </c>
      <c r="L628" s="15">
        <v>110</v>
      </c>
      <c r="M628" s="15">
        <f t="shared" ca="1" si="65"/>
        <v>44</v>
      </c>
      <c r="N628" s="16">
        <f t="shared" ca="1" si="63"/>
        <v>66</v>
      </c>
      <c r="O628" s="18">
        <f t="shared" ca="1" si="62"/>
        <v>0.6</v>
      </c>
      <c r="P628" s="19">
        <f t="shared" si="64"/>
        <v>11</v>
      </c>
      <c r="Q628" s="16" t="str">
        <f>IF(COUNTIF($B$2:B628,B628)=1,SUMIF($B$2:$B$1097,B628,$L$2:$L$1097),"")</f>
        <v/>
      </c>
    </row>
    <row r="629" spans="1:18" ht="12.75" x14ac:dyDescent="0.2">
      <c r="A629" s="3">
        <v>628</v>
      </c>
      <c r="B629" s="26">
        <v>45134</v>
      </c>
      <c r="C629" s="23" t="s">
        <v>32</v>
      </c>
      <c r="D629" s="4">
        <v>6</v>
      </c>
      <c r="E629" s="24" t="s">
        <v>33</v>
      </c>
      <c r="F629" s="5" t="s">
        <v>11</v>
      </c>
      <c r="G629" s="5" t="s">
        <v>11</v>
      </c>
      <c r="H629" s="5" t="s">
        <v>14</v>
      </c>
      <c r="I629" s="5" t="s">
        <v>16</v>
      </c>
      <c r="J629" s="5" t="s">
        <v>55</v>
      </c>
      <c r="K629" s="6">
        <v>9</v>
      </c>
      <c r="L629" s="15">
        <v>99</v>
      </c>
      <c r="M629" s="15">
        <f t="shared" ca="1" si="65"/>
        <v>9</v>
      </c>
      <c r="N629" s="16">
        <f t="shared" ca="1" si="63"/>
        <v>90</v>
      </c>
      <c r="O629" s="18">
        <f t="shared" ca="1" si="62"/>
        <v>0.90909090909090906</v>
      </c>
      <c r="P629" s="19">
        <f t="shared" si="64"/>
        <v>11</v>
      </c>
      <c r="Q629" s="16" t="str">
        <f>IF(COUNTIF($B$2:B629,B629)=1,SUMIF($B$2:$B$1097,B629,$L$2:$L$1097),"")</f>
        <v/>
      </c>
    </row>
    <row r="630" spans="1:18" ht="12.75" x14ac:dyDescent="0.2">
      <c r="A630" s="3">
        <v>629</v>
      </c>
      <c r="B630" s="26">
        <v>45134</v>
      </c>
      <c r="C630" s="23" t="s">
        <v>32</v>
      </c>
      <c r="D630" s="4">
        <v>6</v>
      </c>
      <c r="E630" s="24" t="s">
        <v>33</v>
      </c>
      <c r="F630" s="5" t="s">
        <v>11</v>
      </c>
      <c r="G630" s="5" t="s">
        <v>11</v>
      </c>
      <c r="H630" s="5" t="s">
        <v>14</v>
      </c>
      <c r="I630" s="5" t="s">
        <v>17</v>
      </c>
      <c r="J630" s="5" t="s">
        <v>53</v>
      </c>
      <c r="K630" s="6">
        <v>16</v>
      </c>
      <c r="L630" s="15">
        <v>176</v>
      </c>
      <c r="M630" s="15">
        <f t="shared" ca="1" si="65"/>
        <v>4</v>
      </c>
      <c r="N630" s="16">
        <f t="shared" ca="1" si="63"/>
        <v>172</v>
      </c>
      <c r="O630" s="18">
        <f t="shared" ca="1" si="62"/>
        <v>0.97727272727272729</v>
      </c>
      <c r="P630" s="19">
        <f t="shared" si="64"/>
        <v>11</v>
      </c>
      <c r="Q630" s="16" t="str">
        <f>IF(COUNTIF($B$2:B630,B630)=1,SUMIF($B$2:$B$1097,B630,$L$2:$L$1097),"")</f>
        <v/>
      </c>
    </row>
    <row r="631" spans="1:18" ht="12.75" x14ac:dyDescent="0.2">
      <c r="A631" s="3">
        <v>630</v>
      </c>
      <c r="B631" s="26">
        <v>45135</v>
      </c>
      <c r="C631" s="23" t="s">
        <v>32</v>
      </c>
      <c r="D631" s="4">
        <v>7</v>
      </c>
      <c r="E631" s="24" t="s">
        <v>33</v>
      </c>
      <c r="F631" s="5" t="s">
        <v>11</v>
      </c>
      <c r="G631" s="5" t="s">
        <v>11</v>
      </c>
      <c r="H631" s="5" t="s">
        <v>14</v>
      </c>
      <c r="I631" s="5" t="s">
        <v>13</v>
      </c>
      <c r="J631" s="5" t="s">
        <v>56</v>
      </c>
      <c r="K631" s="6">
        <v>23</v>
      </c>
      <c r="L631" s="15">
        <v>253</v>
      </c>
      <c r="M631" s="15">
        <f t="shared" ca="1" si="65"/>
        <v>40</v>
      </c>
      <c r="N631" s="16">
        <f t="shared" ca="1" si="63"/>
        <v>213</v>
      </c>
      <c r="O631" s="18">
        <f t="shared" ca="1" si="62"/>
        <v>0.84189723320158105</v>
      </c>
      <c r="P631" s="19">
        <f t="shared" si="64"/>
        <v>11</v>
      </c>
      <c r="Q631" s="16">
        <f>IF(COUNTIF($B$2:B631,B631)=1,SUMIF($B$2:$B$1097,B631,$L$2:$L$1097),"")</f>
        <v>253</v>
      </c>
      <c r="R631" s="16">
        <f t="shared" ref="R631:R632" si="68">AVERAGE(Q611:Q631)</f>
        <v>482.16666666666669</v>
      </c>
    </row>
    <row r="632" spans="1:18" ht="12.75" x14ac:dyDescent="0.2">
      <c r="A632" s="3">
        <v>631</v>
      </c>
      <c r="B632" s="26">
        <v>45137</v>
      </c>
      <c r="C632" s="23" t="s">
        <v>32</v>
      </c>
      <c r="D632" s="4">
        <v>2</v>
      </c>
      <c r="E632" s="24" t="s">
        <v>33</v>
      </c>
      <c r="F632" s="5" t="s">
        <v>11</v>
      </c>
      <c r="G632" s="5" t="s">
        <v>11</v>
      </c>
      <c r="H632" s="5" t="s">
        <v>14</v>
      </c>
      <c r="I632" s="5" t="s">
        <v>13</v>
      </c>
      <c r="J632" s="5" t="s">
        <v>52</v>
      </c>
      <c r="K632" s="6">
        <v>19</v>
      </c>
      <c r="L632" s="15">
        <v>209</v>
      </c>
      <c r="M632" s="15">
        <f t="shared" ca="1" si="65"/>
        <v>23</v>
      </c>
      <c r="N632" s="16">
        <f t="shared" ca="1" si="63"/>
        <v>186</v>
      </c>
      <c r="O632" s="18">
        <f t="shared" ca="1" si="62"/>
        <v>0.88995215311004783</v>
      </c>
      <c r="P632" s="19">
        <f t="shared" si="64"/>
        <v>11</v>
      </c>
      <c r="Q632" s="16">
        <f>IF(COUNTIF($B$2:B632,B632)=1,SUMIF($B$2:$B$1097,B632,$L$2:$L$1097),"")</f>
        <v>539</v>
      </c>
      <c r="R632" s="16">
        <f t="shared" si="68"/>
        <v>465.66666666666669</v>
      </c>
    </row>
    <row r="633" spans="1:18" ht="12.75" x14ac:dyDescent="0.2">
      <c r="A633" s="3">
        <v>632</v>
      </c>
      <c r="B633" s="26">
        <v>45137</v>
      </c>
      <c r="C633" s="23" t="s">
        <v>32</v>
      </c>
      <c r="D633" s="4">
        <v>2</v>
      </c>
      <c r="E633" s="24" t="s">
        <v>33</v>
      </c>
      <c r="F633" s="5" t="s">
        <v>11</v>
      </c>
      <c r="G633" s="5" t="s">
        <v>11</v>
      </c>
      <c r="H633" s="5" t="s">
        <v>14</v>
      </c>
      <c r="I633" s="5" t="s">
        <v>15</v>
      </c>
      <c r="J633" s="5" t="s">
        <v>54</v>
      </c>
      <c r="K633" s="6">
        <v>9</v>
      </c>
      <c r="L633" s="15">
        <v>99</v>
      </c>
      <c r="M633" s="15">
        <f t="shared" ca="1" si="65"/>
        <v>5</v>
      </c>
      <c r="N633" s="16">
        <f t="shared" ca="1" si="63"/>
        <v>94</v>
      </c>
      <c r="O633" s="18">
        <f t="shared" ca="1" si="62"/>
        <v>0.9494949494949495</v>
      </c>
      <c r="P633" s="19">
        <f t="shared" si="64"/>
        <v>11</v>
      </c>
      <c r="Q633" s="16" t="str">
        <f>IF(COUNTIF($B$2:B633,B633)=1,SUMIF($B$2:$B$1097,B633,$L$2:$L$1097),"")</f>
        <v/>
      </c>
    </row>
    <row r="634" spans="1:18" ht="12.75" x14ac:dyDescent="0.2">
      <c r="A634" s="3">
        <v>633</v>
      </c>
      <c r="B634" s="26">
        <v>45137</v>
      </c>
      <c r="C634" s="23" t="s">
        <v>32</v>
      </c>
      <c r="D634" s="4">
        <v>2</v>
      </c>
      <c r="E634" s="24" t="s">
        <v>33</v>
      </c>
      <c r="F634" s="5" t="s">
        <v>11</v>
      </c>
      <c r="G634" s="5" t="s">
        <v>11</v>
      </c>
      <c r="H634" s="5" t="s">
        <v>14</v>
      </c>
      <c r="I634" s="5" t="s">
        <v>16</v>
      </c>
      <c r="J634" s="5" t="s">
        <v>54</v>
      </c>
      <c r="K634" s="6">
        <v>8</v>
      </c>
      <c r="L634" s="15">
        <v>88</v>
      </c>
      <c r="M634" s="15">
        <f t="shared" ca="1" si="65"/>
        <v>41</v>
      </c>
      <c r="N634" s="16">
        <f t="shared" ca="1" si="63"/>
        <v>47</v>
      </c>
      <c r="O634" s="18">
        <f t="shared" ca="1" si="62"/>
        <v>0.53409090909090906</v>
      </c>
      <c r="P634" s="19">
        <f t="shared" si="64"/>
        <v>11</v>
      </c>
      <c r="Q634" s="16" t="str">
        <f>IF(COUNTIF($B$2:B634,B634)=1,SUMIF($B$2:$B$1097,B634,$L$2:$L$1097),"")</f>
        <v/>
      </c>
    </row>
    <row r="635" spans="1:18" ht="12.75" x14ac:dyDescent="0.2">
      <c r="A635" s="3">
        <v>634</v>
      </c>
      <c r="B635" s="26">
        <v>45137</v>
      </c>
      <c r="C635" s="23" t="s">
        <v>32</v>
      </c>
      <c r="D635" s="4">
        <v>2</v>
      </c>
      <c r="E635" s="24" t="s">
        <v>33</v>
      </c>
      <c r="F635" s="5" t="s">
        <v>11</v>
      </c>
      <c r="G635" s="5" t="s">
        <v>11</v>
      </c>
      <c r="H635" s="5" t="s">
        <v>14</v>
      </c>
      <c r="I635" s="5" t="s">
        <v>17</v>
      </c>
      <c r="J635" s="5" t="s">
        <v>54</v>
      </c>
      <c r="K635" s="6">
        <v>13</v>
      </c>
      <c r="L635" s="15">
        <v>143</v>
      </c>
      <c r="M635" s="15">
        <f t="shared" ca="1" si="65"/>
        <v>32</v>
      </c>
      <c r="N635" s="16">
        <f t="shared" ca="1" si="63"/>
        <v>111</v>
      </c>
      <c r="O635" s="18">
        <f t="shared" ca="1" si="62"/>
        <v>0.77622377622377625</v>
      </c>
      <c r="P635" s="19">
        <f t="shared" si="64"/>
        <v>11</v>
      </c>
      <c r="Q635" s="16" t="str">
        <f>IF(COUNTIF($B$2:B635,B635)=1,SUMIF($B$2:$B$1097,B635,$L$2:$L$1097),"")</f>
        <v/>
      </c>
    </row>
    <row r="636" spans="1:18" ht="12.75" x14ac:dyDescent="0.2">
      <c r="A636" s="3">
        <v>635</v>
      </c>
      <c r="B636" s="26">
        <v>45138</v>
      </c>
      <c r="C636" s="23" t="s">
        <v>32</v>
      </c>
      <c r="D636" s="4">
        <v>3</v>
      </c>
      <c r="E636" s="24" t="s">
        <v>33</v>
      </c>
      <c r="F636" s="5" t="s">
        <v>11</v>
      </c>
      <c r="G636" s="5" t="s">
        <v>11</v>
      </c>
      <c r="H636" s="5" t="s">
        <v>14</v>
      </c>
      <c r="I636" s="5" t="s">
        <v>13</v>
      </c>
      <c r="J636" s="5" t="s">
        <v>56</v>
      </c>
      <c r="K636" s="6">
        <v>17</v>
      </c>
      <c r="L636" s="15">
        <v>187</v>
      </c>
      <c r="M636" s="15">
        <f t="shared" ca="1" si="65"/>
        <v>5</v>
      </c>
      <c r="N636" s="16">
        <f t="shared" ca="1" si="63"/>
        <v>182</v>
      </c>
      <c r="O636" s="18">
        <f t="shared" ca="1" si="62"/>
        <v>0.9732620320855615</v>
      </c>
      <c r="P636" s="19">
        <f t="shared" si="64"/>
        <v>11</v>
      </c>
      <c r="Q636" s="16">
        <f>IF(COUNTIF($B$2:B636,B636)=1,SUMIF($B$2:$B$1097,B636,$L$2:$L$1097),"")</f>
        <v>517</v>
      </c>
      <c r="R636" s="16">
        <f>AVERAGE(Q616:Q636)</f>
        <v>478.5</v>
      </c>
    </row>
    <row r="637" spans="1:18" ht="12.75" x14ac:dyDescent="0.2">
      <c r="A637" s="3">
        <v>636</v>
      </c>
      <c r="B637" s="26">
        <v>45138</v>
      </c>
      <c r="C637" s="23" t="s">
        <v>32</v>
      </c>
      <c r="D637" s="4">
        <v>3</v>
      </c>
      <c r="E637" s="24" t="s">
        <v>33</v>
      </c>
      <c r="F637" s="5" t="s">
        <v>11</v>
      </c>
      <c r="G637" s="5" t="s">
        <v>11</v>
      </c>
      <c r="H637" s="5" t="s">
        <v>14</v>
      </c>
      <c r="I637" s="5" t="s">
        <v>15</v>
      </c>
      <c r="J637" s="5" t="s">
        <v>56</v>
      </c>
      <c r="K637" s="6">
        <v>12</v>
      </c>
      <c r="L637" s="15">
        <v>132</v>
      </c>
      <c r="M637" s="15">
        <f t="shared" ca="1" si="65"/>
        <v>3</v>
      </c>
      <c r="N637" s="16">
        <f t="shared" ca="1" si="63"/>
        <v>129</v>
      </c>
      <c r="O637" s="18">
        <f t="shared" ca="1" si="62"/>
        <v>0.97727272727272729</v>
      </c>
      <c r="P637" s="19">
        <f t="shared" si="64"/>
        <v>11</v>
      </c>
      <c r="Q637" s="16" t="str">
        <f>IF(COUNTIF($B$2:B637,B637)=1,SUMIF($B$2:$B$1097,B637,$L$2:$L$1097),"")</f>
        <v/>
      </c>
    </row>
    <row r="638" spans="1:18" ht="12.75" x14ac:dyDescent="0.2">
      <c r="A638" s="3">
        <v>637</v>
      </c>
      <c r="B638" s="26">
        <v>45138</v>
      </c>
      <c r="C638" s="23" t="s">
        <v>32</v>
      </c>
      <c r="D638" s="4">
        <v>3</v>
      </c>
      <c r="E638" s="24" t="s">
        <v>33</v>
      </c>
      <c r="F638" s="5" t="s">
        <v>11</v>
      </c>
      <c r="G638" s="5" t="s">
        <v>11</v>
      </c>
      <c r="H638" s="5" t="s">
        <v>14</v>
      </c>
      <c r="I638" s="5" t="s">
        <v>16</v>
      </c>
      <c r="J638" s="5" t="s">
        <v>55</v>
      </c>
      <c r="K638" s="6">
        <v>5</v>
      </c>
      <c r="L638" s="15">
        <v>55</v>
      </c>
      <c r="M638" s="15">
        <f t="shared" ca="1" si="65"/>
        <v>6</v>
      </c>
      <c r="N638" s="16">
        <f t="shared" ca="1" si="63"/>
        <v>49</v>
      </c>
      <c r="O638" s="18">
        <f t="shared" ca="1" si="62"/>
        <v>0.89090909090909087</v>
      </c>
      <c r="P638" s="19">
        <f t="shared" si="64"/>
        <v>11</v>
      </c>
      <c r="Q638" s="16" t="str">
        <f>IF(COUNTIF($B$2:B638,B638)=1,SUMIF($B$2:$B$1097,B638,$L$2:$L$1097),"")</f>
        <v/>
      </c>
    </row>
    <row r="639" spans="1:18" ht="12.75" x14ac:dyDescent="0.2">
      <c r="A639" s="3">
        <v>638</v>
      </c>
      <c r="B639" s="26">
        <v>45138</v>
      </c>
      <c r="C639" s="23" t="s">
        <v>32</v>
      </c>
      <c r="D639" s="4">
        <v>3</v>
      </c>
      <c r="E639" s="24" t="s">
        <v>33</v>
      </c>
      <c r="F639" s="5" t="s">
        <v>11</v>
      </c>
      <c r="G639" s="5" t="s">
        <v>11</v>
      </c>
      <c r="H639" s="5" t="s">
        <v>14</v>
      </c>
      <c r="I639" s="5" t="s">
        <v>17</v>
      </c>
      <c r="J639" s="5" t="s">
        <v>53</v>
      </c>
      <c r="K639" s="6">
        <v>13</v>
      </c>
      <c r="L639" s="15">
        <v>143</v>
      </c>
      <c r="M639" s="15">
        <f t="shared" ca="1" si="65"/>
        <v>4</v>
      </c>
      <c r="N639" s="16">
        <f t="shared" ca="1" si="63"/>
        <v>139</v>
      </c>
      <c r="O639" s="18">
        <f t="shared" ca="1" si="62"/>
        <v>0.97202797202797198</v>
      </c>
      <c r="P639" s="19">
        <f t="shared" si="64"/>
        <v>11</v>
      </c>
      <c r="Q639" s="16" t="str">
        <f>IF(COUNTIF($B$2:B639,B639)=1,SUMIF($B$2:$B$1097,B639,$L$2:$L$1097),"")</f>
        <v/>
      </c>
    </row>
    <row r="640" spans="1:18" ht="12.75" x14ac:dyDescent="0.2">
      <c r="A640" s="3">
        <v>639</v>
      </c>
      <c r="B640" s="26">
        <v>45139</v>
      </c>
      <c r="C640" s="23" t="s">
        <v>35</v>
      </c>
      <c r="D640" s="4">
        <v>4</v>
      </c>
      <c r="E640" s="24" t="s">
        <v>33</v>
      </c>
      <c r="F640" s="5" t="s">
        <v>11</v>
      </c>
      <c r="G640" s="5" t="s">
        <v>11</v>
      </c>
      <c r="H640" s="5" t="s">
        <v>14</v>
      </c>
      <c r="I640" s="5" t="s">
        <v>13</v>
      </c>
      <c r="J640" s="5" t="s">
        <v>52</v>
      </c>
      <c r="K640" s="6">
        <v>14</v>
      </c>
      <c r="L640" s="15">
        <v>154</v>
      </c>
      <c r="M640" s="15">
        <f t="shared" ca="1" si="65"/>
        <v>31</v>
      </c>
      <c r="N640" s="16">
        <f t="shared" ca="1" si="63"/>
        <v>123</v>
      </c>
      <c r="O640" s="18">
        <f t="shared" ca="1" si="62"/>
        <v>0.79870129870129869</v>
      </c>
      <c r="P640" s="19">
        <f t="shared" si="64"/>
        <v>11</v>
      </c>
      <c r="Q640" s="16">
        <f>IF(COUNTIF($B$2:B640,B640)=1,SUMIF($B$2:$B$1097,B640,$L$2:$L$1097),"")</f>
        <v>396</v>
      </c>
      <c r="R640" s="16">
        <f>AVERAGE(Q620:Q640)</f>
        <v>471.16666666666669</v>
      </c>
    </row>
    <row r="641" spans="1:18" ht="12.75" x14ac:dyDescent="0.2">
      <c r="A641" s="3">
        <v>640</v>
      </c>
      <c r="B641" s="26">
        <v>45139</v>
      </c>
      <c r="C641" s="23" t="s">
        <v>35</v>
      </c>
      <c r="D641" s="4">
        <v>4</v>
      </c>
      <c r="E641" s="24" t="s">
        <v>33</v>
      </c>
      <c r="F641" s="5" t="s">
        <v>11</v>
      </c>
      <c r="G641" s="5" t="s">
        <v>11</v>
      </c>
      <c r="H641" s="5" t="s">
        <v>14</v>
      </c>
      <c r="I641" s="5" t="s">
        <v>15</v>
      </c>
      <c r="J641" s="5" t="s">
        <v>54</v>
      </c>
      <c r="K641" s="6">
        <v>6</v>
      </c>
      <c r="L641" s="15">
        <v>66</v>
      </c>
      <c r="M641" s="15">
        <f t="shared" ca="1" si="65"/>
        <v>7</v>
      </c>
      <c r="N641" s="16">
        <f t="shared" ca="1" si="63"/>
        <v>59</v>
      </c>
      <c r="O641" s="18">
        <f t="shared" ca="1" si="62"/>
        <v>0.89393939393939392</v>
      </c>
      <c r="P641" s="19">
        <f t="shared" si="64"/>
        <v>11</v>
      </c>
      <c r="Q641" s="16" t="str">
        <f>IF(COUNTIF($B$2:B641,B641)=1,SUMIF($B$2:$B$1097,B641,$L$2:$L$1097),"")</f>
        <v/>
      </c>
    </row>
    <row r="642" spans="1:18" ht="12.75" x14ac:dyDescent="0.2">
      <c r="A642" s="3">
        <v>641</v>
      </c>
      <c r="B642" s="26">
        <v>45139</v>
      </c>
      <c r="C642" s="23" t="s">
        <v>35</v>
      </c>
      <c r="D642" s="4">
        <v>4</v>
      </c>
      <c r="E642" s="24" t="s">
        <v>33</v>
      </c>
      <c r="F642" s="5" t="s">
        <v>11</v>
      </c>
      <c r="G642" s="5" t="s">
        <v>11</v>
      </c>
      <c r="H642" s="5" t="s">
        <v>14</v>
      </c>
      <c r="I642" s="5" t="s">
        <v>16</v>
      </c>
      <c r="J642" s="5" t="s">
        <v>54</v>
      </c>
      <c r="K642" s="6">
        <v>5</v>
      </c>
      <c r="L642" s="15">
        <v>55</v>
      </c>
      <c r="M642" s="15">
        <f t="shared" ca="1" si="65"/>
        <v>9</v>
      </c>
      <c r="N642" s="16">
        <f t="shared" ca="1" si="63"/>
        <v>46</v>
      </c>
      <c r="O642" s="18">
        <f t="shared" ref="O642:O705" ca="1" si="69">IF(L642=0, 0, N642/L642)</f>
        <v>0.83636363636363631</v>
      </c>
      <c r="P642" s="19">
        <f t="shared" si="64"/>
        <v>11</v>
      </c>
      <c r="Q642" s="16" t="str">
        <f>IF(COUNTIF($B$2:B642,B642)=1,SUMIF($B$2:$B$1097,B642,$L$2:$L$1097),"")</f>
        <v/>
      </c>
    </row>
    <row r="643" spans="1:18" ht="12.75" x14ac:dyDescent="0.2">
      <c r="A643" s="3">
        <v>642</v>
      </c>
      <c r="B643" s="26">
        <v>45139</v>
      </c>
      <c r="C643" s="23" t="s">
        <v>35</v>
      </c>
      <c r="D643" s="4">
        <v>4</v>
      </c>
      <c r="E643" s="24" t="s">
        <v>33</v>
      </c>
      <c r="F643" s="5" t="s">
        <v>11</v>
      </c>
      <c r="G643" s="5" t="s">
        <v>11</v>
      </c>
      <c r="H643" s="5" t="s">
        <v>14</v>
      </c>
      <c r="I643" s="5" t="s">
        <v>17</v>
      </c>
      <c r="J643" s="5" t="s">
        <v>54</v>
      </c>
      <c r="K643" s="6">
        <v>11</v>
      </c>
      <c r="L643" s="15">
        <v>121</v>
      </c>
      <c r="M643" s="15">
        <f t="shared" ca="1" si="65"/>
        <v>11</v>
      </c>
      <c r="N643" s="16">
        <f t="shared" ref="N643:N706" ca="1" si="70">L643-M643</f>
        <v>110</v>
      </c>
      <c r="O643" s="18">
        <f t="shared" ca="1" si="69"/>
        <v>0.90909090909090906</v>
      </c>
      <c r="P643" s="19">
        <f t="shared" ref="P643:P706" si="71">IF(K643=0, 0, L643/K643)</f>
        <v>11</v>
      </c>
      <c r="Q643" s="16" t="str">
        <f>IF(COUNTIF($B$2:B643,B643)=1,SUMIF($B$2:$B$1097,B643,$L$2:$L$1097),"")</f>
        <v/>
      </c>
    </row>
    <row r="644" spans="1:18" ht="12.75" x14ac:dyDescent="0.2">
      <c r="A644" s="3">
        <v>643</v>
      </c>
      <c r="B644" s="26">
        <v>45140</v>
      </c>
      <c r="C644" s="23" t="s">
        <v>35</v>
      </c>
      <c r="D644" s="4">
        <v>5</v>
      </c>
      <c r="E644" s="24" t="s">
        <v>33</v>
      </c>
      <c r="F644" s="5" t="s">
        <v>11</v>
      </c>
      <c r="G644" s="5" t="s">
        <v>11</v>
      </c>
      <c r="H644" s="5" t="s">
        <v>14</v>
      </c>
      <c r="I644" s="5" t="s">
        <v>13</v>
      </c>
      <c r="J644" s="5" t="s">
        <v>56</v>
      </c>
      <c r="K644" s="6">
        <v>15</v>
      </c>
      <c r="L644" s="15">
        <v>165</v>
      </c>
      <c r="M644" s="15">
        <f t="shared" ca="1" si="65"/>
        <v>38</v>
      </c>
      <c r="N644" s="16">
        <f t="shared" ca="1" si="70"/>
        <v>127</v>
      </c>
      <c r="O644" s="18">
        <f t="shared" ca="1" si="69"/>
        <v>0.76969696969696966</v>
      </c>
      <c r="P644" s="19">
        <f t="shared" si="71"/>
        <v>11</v>
      </c>
      <c r="Q644" s="16">
        <f>IF(COUNTIF($B$2:B644,B644)=1,SUMIF($B$2:$B$1097,B644,$L$2:$L$1097),"")</f>
        <v>451</v>
      </c>
      <c r="R644" s="16">
        <f>AVERAGE(Q624:Q644)</f>
        <v>463.83333333333331</v>
      </c>
    </row>
    <row r="645" spans="1:18" ht="12.75" x14ac:dyDescent="0.2">
      <c r="A645" s="3">
        <v>644</v>
      </c>
      <c r="B645" s="26">
        <v>45140</v>
      </c>
      <c r="C645" s="23" t="s">
        <v>35</v>
      </c>
      <c r="D645" s="4">
        <v>5</v>
      </c>
      <c r="E645" s="24" t="s">
        <v>33</v>
      </c>
      <c r="F645" s="5" t="s">
        <v>11</v>
      </c>
      <c r="G645" s="5" t="s">
        <v>11</v>
      </c>
      <c r="H645" s="5" t="s">
        <v>14</v>
      </c>
      <c r="I645" s="5" t="s">
        <v>15</v>
      </c>
      <c r="J645" s="5" t="s">
        <v>56</v>
      </c>
      <c r="K645" s="6">
        <v>8</v>
      </c>
      <c r="L645" s="15">
        <v>88</v>
      </c>
      <c r="M645" s="15">
        <f t="shared" ca="1" si="65"/>
        <v>6</v>
      </c>
      <c r="N645" s="16">
        <f t="shared" ca="1" si="70"/>
        <v>82</v>
      </c>
      <c r="O645" s="18">
        <f t="shared" ca="1" si="69"/>
        <v>0.93181818181818177</v>
      </c>
      <c r="P645" s="19">
        <f t="shared" si="71"/>
        <v>11</v>
      </c>
      <c r="Q645" s="16" t="str">
        <f>IF(COUNTIF($B$2:B645,B645)=1,SUMIF($B$2:$B$1097,B645,$L$2:$L$1097),"")</f>
        <v/>
      </c>
    </row>
    <row r="646" spans="1:18" ht="12.75" x14ac:dyDescent="0.2">
      <c r="A646" s="3">
        <v>645</v>
      </c>
      <c r="B646" s="26">
        <v>45140</v>
      </c>
      <c r="C646" s="23" t="s">
        <v>35</v>
      </c>
      <c r="D646" s="4">
        <v>5</v>
      </c>
      <c r="E646" s="24" t="s">
        <v>33</v>
      </c>
      <c r="F646" s="5" t="s">
        <v>11</v>
      </c>
      <c r="G646" s="5" t="s">
        <v>11</v>
      </c>
      <c r="H646" s="5" t="s">
        <v>14</v>
      </c>
      <c r="I646" s="5" t="s">
        <v>16</v>
      </c>
      <c r="J646" s="5" t="s">
        <v>55</v>
      </c>
      <c r="K646" s="6">
        <v>5</v>
      </c>
      <c r="L646" s="15">
        <v>55</v>
      </c>
      <c r="M646" s="15">
        <f t="shared" ca="1" si="65"/>
        <v>47</v>
      </c>
      <c r="N646" s="16">
        <f t="shared" ca="1" si="70"/>
        <v>8</v>
      </c>
      <c r="O646" s="18">
        <f t="shared" ca="1" si="69"/>
        <v>0.14545454545454545</v>
      </c>
      <c r="P646" s="19">
        <f t="shared" si="71"/>
        <v>11</v>
      </c>
      <c r="Q646" s="16" t="str">
        <f>IF(COUNTIF($B$2:B646,B646)=1,SUMIF($B$2:$B$1097,B646,$L$2:$L$1097),"")</f>
        <v/>
      </c>
    </row>
    <row r="647" spans="1:18" ht="12.75" x14ac:dyDescent="0.2">
      <c r="A647" s="3">
        <v>646</v>
      </c>
      <c r="B647" s="26">
        <v>45140</v>
      </c>
      <c r="C647" s="23" t="s">
        <v>35</v>
      </c>
      <c r="D647" s="4">
        <v>5</v>
      </c>
      <c r="E647" s="24" t="s">
        <v>33</v>
      </c>
      <c r="F647" s="5" t="s">
        <v>11</v>
      </c>
      <c r="G647" s="5" t="s">
        <v>11</v>
      </c>
      <c r="H647" s="5" t="s">
        <v>14</v>
      </c>
      <c r="I647" s="5" t="s">
        <v>17</v>
      </c>
      <c r="J647" s="5" t="s">
        <v>53</v>
      </c>
      <c r="K647" s="6">
        <v>13</v>
      </c>
      <c r="L647" s="15">
        <v>143</v>
      </c>
      <c r="M647" s="15">
        <f t="shared" ca="1" si="65"/>
        <v>40</v>
      </c>
      <c r="N647" s="16">
        <f t="shared" ca="1" si="70"/>
        <v>103</v>
      </c>
      <c r="O647" s="18">
        <f t="shared" ca="1" si="69"/>
        <v>0.72027972027972031</v>
      </c>
      <c r="P647" s="19">
        <f t="shared" si="71"/>
        <v>11</v>
      </c>
      <c r="Q647" s="16" t="str">
        <f>IF(COUNTIF($B$2:B647,B647)=1,SUMIF($B$2:$B$1097,B647,$L$2:$L$1097),"")</f>
        <v/>
      </c>
    </row>
    <row r="648" spans="1:18" ht="12.75" x14ac:dyDescent="0.2">
      <c r="A648" s="3">
        <v>647</v>
      </c>
      <c r="B648" s="26">
        <v>45141</v>
      </c>
      <c r="C648" s="23" t="s">
        <v>35</v>
      </c>
      <c r="D648" s="4">
        <v>6</v>
      </c>
      <c r="E648" s="24" t="s">
        <v>33</v>
      </c>
      <c r="F648" s="5" t="s">
        <v>11</v>
      </c>
      <c r="G648" s="5" t="s">
        <v>11</v>
      </c>
      <c r="H648" s="5" t="s">
        <v>14</v>
      </c>
      <c r="I648" s="5" t="s">
        <v>13</v>
      </c>
      <c r="J648" s="5" t="s">
        <v>52</v>
      </c>
      <c r="K648" s="6">
        <v>22</v>
      </c>
      <c r="L648" s="15">
        <v>242</v>
      </c>
      <c r="M648" s="15">
        <f t="shared" ca="1" si="65"/>
        <v>42</v>
      </c>
      <c r="N648" s="16">
        <f t="shared" ca="1" si="70"/>
        <v>200</v>
      </c>
      <c r="O648" s="18">
        <f t="shared" ca="1" si="69"/>
        <v>0.82644628099173556</v>
      </c>
      <c r="P648" s="19">
        <f t="shared" si="71"/>
        <v>11</v>
      </c>
      <c r="Q648" s="16">
        <f>IF(COUNTIF($B$2:B648,B648)=1,SUMIF($B$2:$B$1097,B648,$L$2:$L$1097),"")</f>
        <v>627</v>
      </c>
      <c r="R648" s="16">
        <f>AVERAGE(Q628:Q648)</f>
        <v>463.83333333333331</v>
      </c>
    </row>
    <row r="649" spans="1:18" ht="12.75" x14ac:dyDescent="0.2">
      <c r="A649" s="3">
        <v>648</v>
      </c>
      <c r="B649" s="26">
        <v>45141</v>
      </c>
      <c r="C649" s="23" t="s">
        <v>35</v>
      </c>
      <c r="D649" s="4">
        <v>6</v>
      </c>
      <c r="E649" s="24" t="s">
        <v>33</v>
      </c>
      <c r="F649" s="5" t="s">
        <v>11</v>
      </c>
      <c r="G649" s="5" t="s">
        <v>11</v>
      </c>
      <c r="H649" s="5" t="s">
        <v>14</v>
      </c>
      <c r="I649" s="5" t="s">
        <v>15</v>
      </c>
      <c r="J649" s="5" t="s">
        <v>55</v>
      </c>
      <c r="K649" s="6">
        <v>9</v>
      </c>
      <c r="L649" s="15">
        <v>99</v>
      </c>
      <c r="M649" s="15">
        <f t="shared" ref="M649:M712" ca="1" si="72">RANDBETWEEN(1,50)</f>
        <v>12</v>
      </c>
      <c r="N649" s="16">
        <f t="shared" ca="1" si="70"/>
        <v>87</v>
      </c>
      <c r="O649" s="18">
        <f t="shared" ca="1" si="69"/>
        <v>0.87878787878787878</v>
      </c>
      <c r="P649" s="19">
        <f t="shared" si="71"/>
        <v>11</v>
      </c>
      <c r="Q649" s="16" t="str">
        <f>IF(COUNTIF($B$2:B649,B649)=1,SUMIF($B$2:$B$1097,B649,$L$2:$L$1097),"")</f>
        <v/>
      </c>
    </row>
    <row r="650" spans="1:18" ht="12.75" x14ac:dyDescent="0.2">
      <c r="A650" s="3">
        <v>649</v>
      </c>
      <c r="B650" s="26">
        <v>45141</v>
      </c>
      <c r="C650" s="23" t="s">
        <v>35</v>
      </c>
      <c r="D650" s="4">
        <v>6</v>
      </c>
      <c r="E650" s="24" t="s">
        <v>33</v>
      </c>
      <c r="F650" s="5" t="s">
        <v>11</v>
      </c>
      <c r="G650" s="5" t="s">
        <v>11</v>
      </c>
      <c r="H650" s="5" t="s">
        <v>14</v>
      </c>
      <c r="I650" s="5" t="s">
        <v>16</v>
      </c>
      <c r="J650" s="5" t="s">
        <v>55</v>
      </c>
      <c r="K650" s="6">
        <v>10</v>
      </c>
      <c r="L650" s="15">
        <v>110</v>
      </c>
      <c r="M650" s="15">
        <f t="shared" ca="1" si="72"/>
        <v>24</v>
      </c>
      <c r="N650" s="16">
        <f t="shared" ca="1" si="70"/>
        <v>86</v>
      </c>
      <c r="O650" s="18">
        <f t="shared" ca="1" si="69"/>
        <v>0.78181818181818186</v>
      </c>
      <c r="P650" s="19">
        <f t="shared" si="71"/>
        <v>11</v>
      </c>
      <c r="Q650" s="16" t="str">
        <f>IF(COUNTIF($B$2:B650,B650)=1,SUMIF($B$2:$B$1097,B650,$L$2:$L$1097),"")</f>
        <v/>
      </c>
    </row>
    <row r="651" spans="1:18" ht="12.75" x14ac:dyDescent="0.2">
      <c r="A651" s="3">
        <v>650</v>
      </c>
      <c r="B651" s="26">
        <v>45141</v>
      </c>
      <c r="C651" s="23" t="s">
        <v>35</v>
      </c>
      <c r="D651" s="4">
        <v>6</v>
      </c>
      <c r="E651" s="24" t="s">
        <v>33</v>
      </c>
      <c r="F651" s="5" t="s">
        <v>11</v>
      </c>
      <c r="G651" s="5" t="s">
        <v>11</v>
      </c>
      <c r="H651" s="5" t="s">
        <v>14</v>
      </c>
      <c r="I651" s="5" t="s">
        <v>17</v>
      </c>
      <c r="J651" s="5" t="s">
        <v>53</v>
      </c>
      <c r="K651" s="6">
        <v>16</v>
      </c>
      <c r="L651" s="15">
        <v>176</v>
      </c>
      <c r="M651" s="15">
        <f t="shared" ca="1" si="72"/>
        <v>32</v>
      </c>
      <c r="N651" s="16">
        <f t="shared" ca="1" si="70"/>
        <v>144</v>
      </c>
      <c r="O651" s="18">
        <f t="shared" ca="1" si="69"/>
        <v>0.81818181818181823</v>
      </c>
      <c r="P651" s="19">
        <f t="shared" si="71"/>
        <v>11</v>
      </c>
      <c r="Q651" s="16" t="str">
        <f>IF(COUNTIF($B$2:B651,B651)=1,SUMIF($B$2:$B$1097,B651,$L$2:$L$1097),"")</f>
        <v/>
      </c>
    </row>
    <row r="652" spans="1:18" ht="12.75" x14ac:dyDescent="0.2">
      <c r="A652" s="3">
        <v>651</v>
      </c>
      <c r="B652" s="26">
        <v>45142</v>
      </c>
      <c r="C652" s="23" t="s">
        <v>35</v>
      </c>
      <c r="D652" s="4">
        <v>7</v>
      </c>
      <c r="E652" s="24" t="s">
        <v>33</v>
      </c>
      <c r="F652" s="5" t="s">
        <v>11</v>
      </c>
      <c r="G652" s="5" t="s">
        <v>11</v>
      </c>
      <c r="H652" s="5" t="s">
        <v>14</v>
      </c>
      <c r="I652" s="5" t="s">
        <v>13</v>
      </c>
      <c r="J652" s="5" t="s">
        <v>56</v>
      </c>
      <c r="K652" s="6">
        <v>21</v>
      </c>
      <c r="L652" s="15">
        <v>231</v>
      </c>
      <c r="M652" s="15">
        <f t="shared" ca="1" si="72"/>
        <v>47</v>
      </c>
      <c r="N652" s="16">
        <f t="shared" ca="1" si="70"/>
        <v>184</v>
      </c>
      <c r="O652" s="18">
        <f t="shared" ca="1" si="69"/>
        <v>0.79653679653679654</v>
      </c>
      <c r="P652" s="19">
        <f t="shared" si="71"/>
        <v>11</v>
      </c>
      <c r="Q652" s="16">
        <f>IF(COUNTIF($B$2:B652,B652)=1,SUMIF($B$2:$B$1097,B652,$L$2:$L$1097),"")</f>
        <v>231</v>
      </c>
      <c r="R652" s="16">
        <f t="shared" ref="R652:R653" si="73">AVERAGE(Q632:Q652)</f>
        <v>460.16666666666669</v>
      </c>
    </row>
    <row r="653" spans="1:18" ht="12.75" x14ac:dyDescent="0.2">
      <c r="A653" s="3">
        <v>652</v>
      </c>
      <c r="B653" s="26">
        <v>45144</v>
      </c>
      <c r="C653" s="23" t="s">
        <v>35</v>
      </c>
      <c r="D653" s="4">
        <v>2</v>
      </c>
      <c r="E653" s="24" t="s">
        <v>33</v>
      </c>
      <c r="F653" s="5" t="s">
        <v>11</v>
      </c>
      <c r="G653" s="5" t="s">
        <v>11</v>
      </c>
      <c r="H653" s="5" t="s">
        <v>14</v>
      </c>
      <c r="I653" s="5" t="s">
        <v>13</v>
      </c>
      <c r="J653" s="5" t="s">
        <v>52</v>
      </c>
      <c r="K653" s="6">
        <v>19</v>
      </c>
      <c r="L653" s="15">
        <v>209</v>
      </c>
      <c r="M653" s="15">
        <f t="shared" ca="1" si="72"/>
        <v>39</v>
      </c>
      <c r="N653" s="16">
        <f t="shared" ca="1" si="70"/>
        <v>170</v>
      </c>
      <c r="O653" s="18">
        <f t="shared" ca="1" si="69"/>
        <v>0.8133971291866029</v>
      </c>
      <c r="P653" s="19">
        <f t="shared" si="71"/>
        <v>11</v>
      </c>
      <c r="Q653" s="16">
        <f>IF(COUNTIF($B$2:B653,B653)=1,SUMIF($B$2:$B$1097,B653,$L$2:$L$1097),"")</f>
        <v>583</v>
      </c>
      <c r="R653" s="16">
        <f t="shared" si="73"/>
        <v>467.5</v>
      </c>
    </row>
    <row r="654" spans="1:18" ht="12.75" x14ac:dyDescent="0.2">
      <c r="A654" s="3">
        <v>653</v>
      </c>
      <c r="B654" s="26">
        <v>45144</v>
      </c>
      <c r="C654" s="23" t="s">
        <v>35</v>
      </c>
      <c r="D654" s="4">
        <v>2</v>
      </c>
      <c r="E654" s="24" t="s">
        <v>33</v>
      </c>
      <c r="F654" s="5" t="s">
        <v>11</v>
      </c>
      <c r="G654" s="5" t="s">
        <v>11</v>
      </c>
      <c r="H654" s="5" t="s">
        <v>14</v>
      </c>
      <c r="I654" s="5" t="s">
        <v>15</v>
      </c>
      <c r="J654" s="5" t="s">
        <v>54</v>
      </c>
      <c r="K654" s="6">
        <v>11</v>
      </c>
      <c r="L654" s="15">
        <v>121</v>
      </c>
      <c r="M654" s="15">
        <f t="shared" ca="1" si="72"/>
        <v>19</v>
      </c>
      <c r="N654" s="16">
        <f t="shared" ca="1" si="70"/>
        <v>102</v>
      </c>
      <c r="O654" s="18">
        <f t="shared" ca="1" si="69"/>
        <v>0.84297520661157022</v>
      </c>
      <c r="P654" s="19">
        <f t="shared" si="71"/>
        <v>11</v>
      </c>
      <c r="Q654" s="16" t="str">
        <f>IF(COUNTIF($B$2:B654,B654)=1,SUMIF($B$2:$B$1097,B654,$L$2:$L$1097),"")</f>
        <v/>
      </c>
    </row>
    <row r="655" spans="1:18" ht="12.75" x14ac:dyDescent="0.2">
      <c r="A655" s="3">
        <v>654</v>
      </c>
      <c r="B655" s="26">
        <v>45144</v>
      </c>
      <c r="C655" s="23" t="s">
        <v>35</v>
      </c>
      <c r="D655" s="4">
        <v>2</v>
      </c>
      <c r="E655" s="24" t="s">
        <v>33</v>
      </c>
      <c r="F655" s="5" t="s">
        <v>11</v>
      </c>
      <c r="G655" s="5" t="s">
        <v>11</v>
      </c>
      <c r="H655" s="5" t="s">
        <v>14</v>
      </c>
      <c r="I655" s="5" t="s">
        <v>16</v>
      </c>
      <c r="J655" s="5" t="s">
        <v>54</v>
      </c>
      <c r="K655" s="6">
        <v>10</v>
      </c>
      <c r="L655" s="15">
        <v>110</v>
      </c>
      <c r="M655" s="15">
        <f t="shared" ca="1" si="72"/>
        <v>38</v>
      </c>
      <c r="N655" s="16">
        <f t="shared" ca="1" si="70"/>
        <v>72</v>
      </c>
      <c r="O655" s="18">
        <f t="shared" ca="1" si="69"/>
        <v>0.65454545454545454</v>
      </c>
      <c r="P655" s="19">
        <f t="shared" si="71"/>
        <v>11</v>
      </c>
      <c r="Q655" s="16" t="str">
        <f>IF(COUNTIF($B$2:B655,B655)=1,SUMIF($B$2:$B$1097,B655,$L$2:$L$1097),"")</f>
        <v/>
      </c>
    </row>
    <row r="656" spans="1:18" ht="12.75" x14ac:dyDescent="0.2">
      <c r="A656" s="3">
        <v>655</v>
      </c>
      <c r="B656" s="26">
        <v>45144</v>
      </c>
      <c r="C656" s="23" t="s">
        <v>35</v>
      </c>
      <c r="D656" s="4">
        <v>2</v>
      </c>
      <c r="E656" s="24" t="s">
        <v>33</v>
      </c>
      <c r="F656" s="5" t="s">
        <v>11</v>
      </c>
      <c r="G656" s="5" t="s">
        <v>11</v>
      </c>
      <c r="H656" s="5" t="s">
        <v>14</v>
      </c>
      <c r="I656" s="5" t="s">
        <v>17</v>
      </c>
      <c r="J656" s="5" t="s">
        <v>54</v>
      </c>
      <c r="K656" s="6">
        <v>13</v>
      </c>
      <c r="L656" s="15">
        <v>143</v>
      </c>
      <c r="M656" s="15">
        <f t="shared" ca="1" si="72"/>
        <v>18</v>
      </c>
      <c r="N656" s="16">
        <f t="shared" ca="1" si="70"/>
        <v>125</v>
      </c>
      <c r="O656" s="18">
        <f t="shared" ca="1" si="69"/>
        <v>0.87412587412587417</v>
      </c>
      <c r="P656" s="19">
        <f t="shared" si="71"/>
        <v>11</v>
      </c>
      <c r="Q656" s="16" t="str">
        <f>IF(COUNTIF($B$2:B656,B656)=1,SUMIF($B$2:$B$1097,B656,$L$2:$L$1097),"")</f>
        <v/>
      </c>
    </row>
    <row r="657" spans="1:18" ht="12.75" x14ac:dyDescent="0.2">
      <c r="A657" s="3">
        <v>656</v>
      </c>
      <c r="B657" s="26">
        <v>45145</v>
      </c>
      <c r="C657" s="23" t="s">
        <v>35</v>
      </c>
      <c r="D657" s="4">
        <v>3</v>
      </c>
      <c r="E657" s="24" t="s">
        <v>33</v>
      </c>
      <c r="F657" s="5" t="s">
        <v>11</v>
      </c>
      <c r="G657" s="5" t="s">
        <v>11</v>
      </c>
      <c r="H657" s="5" t="s">
        <v>14</v>
      </c>
      <c r="I657" s="5" t="s">
        <v>13</v>
      </c>
      <c r="J657" s="5" t="s">
        <v>56</v>
      </c>
      <c r="K657" s="6">
        <v>16</v>
      </c>
      <c r="L657" s="15">
        <v>176</v>
      </c>
      <c r="M657" s="15">
        <f t="shared" ca="1" si="72"/>
        <v>2</v>
      </c>
      <c r="N657" s="16">
        <f t="shared" ca="1" si="70"/>
        <v>174</v>
      </c>
      <c r="O657" s="18">
        <f t="shared" ca="1" si="69"/>
        <v>0.98863636363636365</v>
      </c>
      <c r="P657" s="19">
        <f t="shared" si="71"/>
        <v>11</v>
      </c>
      <c r="Q657" s="16">
        <f>IF(COUNTIF($B$2:B657,B657)=1,SUMIF($B$2:$B$1097,B657,$L$2:$L$1097),"")</f>
        <v>528</v>
      </c>
      <c r="R657" s="16">
        <f>AVERAGE(Q637:Q657)</f>
        <v>469.33333333333331</v>
      </c>
    </row>
    <row r="658" spans="1:18" ht="12.75" x14ac:dyDescent="0.2">
      <c r="A658" s="3">
        <v>657</v>
      </c>
      <c r="B658" s="26">
        <v>45145</v>
      </c>
      <c r="C658" s="23" t="s">
        <v>35</v>
      </c>
      <c r="D658" s="4">
        <v>3</v>
      </c>
      <c r="E658" s="24" t="s">
        <v>33</v>
      </c>
      <c r="F658" s="5" t="s">
        <v>11</v>
      </c>
      <c r="G658" s="5" t="s">
        <v>11</v>
      </c>
      <c r="H658" s="5" t="s">
        <v>14</v>
      </c>
      <c r="I658" s="5" t="s">
        <v>15</v>
      </c>
      <c r="J658" s="5" t="s">
        <v>56</v>
      </c>
      <c r="K658" s="6">
        <v>12</v>
      </c>
      <c r="L658" s="15">
        <v>132</v>
      </c>
      <c r="M658" s="15">
        <f t="shared" ca="1" si="72"/>
        <v>26</v>
      </c>
      <c r="N658" s="16">
        <f t="shared" ca="1" si="70"/>
        <v>106</v>
      </c>
      <c r="O658" s="18">
        <f t="shared" ca="1" si="69"/>
        <v>0.80303030303030298</v>
      </c>
      <c r="P658" s="19">
        <f t="shared" si="71"/>
        <v>11</v>
      </c>
      <c r="Q658" s="16" t="str">
        <f>IF(COUNTIF($B$2:B658,B658)=1,SUMIF($B$2:$B$1097,B658,$L$2:$L$1097),"")</f>
        <v/>
      </c>
    </row>
    <row r="659" spans="1:18" ht="12.75" x14ac:dyDescent="0.2">
      <c r="A659" s="3">
        <v>658</v>
      </c>
      <c r="B659" s="26">
        <v>45145</v>
      </c>
      <c r="C659" s="23" t="s">
        <v>35</v>
      </c>
      <c r="D659" s="4">
        <v>3</v>
      </c>
      <c r="E659" s="24" t="s">
        <v>33</v>
      </c>
      <c r="F659" s="5" t="s">
        <v>11</v>
      </c>
      <c r="G659" s="5" t="s">
        <v>11</v>
      </c>
      <c r="H659" s="5" t="s">
        <v>14</v>
      </c>
      <c r="I659" s="5" t="s">
        <v>16</v>
      </c>
      <c r="J659" s="5" t="s">
        <v>55</v>
      </c>
      <c r="K659" s="6">
        <v>5</v>
      </c>
      <c r="L659" s="15">
        <v>55</v>
      </c>
      <c r="M659" s="15">
        <f t="shared" ca="1" si="72"/>
        <v>46</v>
      </c>
      <c r="N659" s="16">
        <f t="shared" ca="1" si="70"/>
        <v>9</v>
      </c>
      <c r="O659" s="18">
        <f t="shared" ca="1" si="69"/>
        <v>0.16363636363636364</v>
      </c>
      <c r="P659" s="19">
        <f t="shared" si="71"/>
        <v>11</v>
      </c>
      <c r="Q659" s="16" t="str">
        <f>IF(COUNTIF($B$2:B659,B659)=1,SUMIF($B$2:$B$1097,B659,$L$2:$L$1097),"")</f>
        <v/>
      </c>
    </row>
    <row r="660" spans="1:18" ht="12.75" x14ac:dyDescent="0.2">
      <c r="A660" s="3">
        <v>659</v>
      </c>
      <c r="B660" s="26">
        <v>45145</v>
      </c>
      <c r="C660" s="23" t="s">
        <v>35</v>
      </c>
      <c r="D660" s="4">
        <v>3</v>
      </c>
      <c r="E660" s="24" t="s">
        <v>33</v>
      </c>
      <c r="F660" s="5" t="s">
        <v>11</v>
      </c>
      <c r="G660" s="5" t="s">
        <v>11</v>
      </c>
      <c r="H660" s="5" t="s">
        <v>14</v>
      </c>
      <c r="I660" s="5" t="s">
        <v>17</v>
      </c>
      <c r="J660" s="5" t="s">
        <v>53</v>
      </c>
      <c r="K660" s="6">
        <v>15</v>
      </c>
      <c r="L660" s="15">
        <v>165</v>
      </c>
      <c r="M660" s="15">
        <f t="shared" ca="1" si="72"/>
        <v>26</v>
      </c>
      <c r="N660" s="16">
        <f t="shared" ca="1" si="70"/>
        <v>139</v>
      </c>
      <c r="O660" s="18">
        <f t="shared" ca="1" si="69"/>
        <v>0.84242424242424241</v>
      </c>
      <c r="P660" s="19">
        <f t="shared" si="71"/>
        <v>11</v>
      </c>
      <c r="Q660" s="16" t="str">
        <f>IF(COUNTIF($B$2:B660,B660)=1,SUMIF($B$2:$B$1097,B660,$L$2:$L$1097),"")</f>
        <v/>
      </c>
    </row>
    <row r="661" spans="1:18" ht="12.75" x14ac:dyDescent="0.2">
      <c r="A661" s="3">
        <v>660</v>
      </c>
      <c r="B661" s="26">
        <v>45146</v>
      </c>
      <c r="C661" s="23" t="s">
        <v>35</v>
      </c>
      <c r="D661" s="4">
        <v>4</v>
      </c>
      <c r="E661" s="24" t="s">
        <v>33</v>
      </c>
      <c r="F661" s="5" t="s">
        <v>11</v>
      </c>
      <c r="G661" s="5" t="s">
        <v>11</v>
      </c>
      <c r="H661" s="5" t="s">
        <v>14</v>
      </c>
      <c r="I661" s="5" t="s">
        <v>13</v>
      </c>
      <c r="J661" s="5" t="s">
        <v>52</v>
      </c>
      <c r="K661" s="6">
        <v>16</v>
      </c>
      <c r="L661" s="15">
        <v>176</v>
      </c>
      <c r="M661" s="15">
        <f t="shared" ca="1" si="72"/>
        <v>15</v>
      </c>
      <c r="N661" s="16">
        <f t="shared" ca="1" si="70"/>
        <v>161</v>
      </c>
      <c r="O661" s="18">
        <f t="shared" ca="1" si="69"/>
        <v>0.91477272727272729</v>
      </c>
      <c r="P661" s="19">
        <f t="shared" si="71"/>
        <v>11</v>
      </c>
      <c r="Q661" s="16">
        <f>IF(COUNTIF($B$2:B661,B661)=1,SUMIF($B$2:$B$1097,B661,$L$2:$L$1097),"")</f>
        <v>418</v>
      </c>
      <c r="R661" s="16">
        <f>AVERAGE(Q641:Q661)</f>
        <v>473</v>
      </c>
    </row>
    <row r="662" spans="1:18" ht="12.75" x14ac:dyDescent="0.2">
      <c r="A662" s="3">
        <v>661</v>
      </c>
      <c r="B662" s="26">
        <v>45146</v>
      </c>
      <c r="C662" s="23" t="s">
        <v>35</v>
      </c>
      <c r="D662" s="4">
        <v>4</v>
      </c>
      <c r="E662" s="24" t="s">
        <v>33</v>
      </c>
      <c r="F662" s="5" t="s">
        <v>11</v>
      </c>
      <c r="G662" s="5" t="s">
        <v>11</v>
      </c>
      <c r="H662" s="5" t="s">
        <v>14</v>
      </c>
      <c r="I662" s="5" t="s">
        <v>15</v>
      </c>
      <c r="J662" s="5" t="s">
        <v>54</v>
      </c>
      <c r="K662" s="6">
        <v>8</v>
      </c>
      <c r="L662" s="15">
        <v>88</v>
      </c>
      <c r="M662" s="15">
        <f t="shared" ca="1" si="72"/>
        <v>12</v>
      </c>
      <c r="N662" s="16">
        <f t="shared" ca="1" si="70"/>
        <v>76</v>
      </c>
      <c r="O662" s="18">
        <f t="shared" ca="1" si="69"/>
        <v>0.86363636363636365</v>
      </c>
      <c r="P662" s="19">
        <f t="shared" si="71"/>
        <v>11</v>
      </c>
      <c r="Q662" s="16" t="str">
        <f>IF(COUNTIF($B$2:B662,B662)=1,SUMIF($B$2:$B$1097,B662,$L$2:$L$1097),"")</f>
        <v/>
      </c>
    </row>
    <row r="663" spans="1:18" ht="12.75" x14ac:dyDescent="0.2">
      <c r="A663" s="3">
        <v>662</v>
      </c>
      <c r="B663" s="26">
        <v>45146</v>
      </c>
      <c r="C663" s="23" t="s">
        <v>35</v>
      </c>
      <c r="D663" s="4">
        <v>4</v>
      </c>
      <c r="E663" s="24" t="s">
        <v>33</v>
      </c>
      <c r="F663" s="5" t="s">
        <v>11</v>
      </c>
      <c r="G663" s="5" t="s">
        <v>11</v>
      </c>
      <c r="H663" s="5" t="s">
        <v>14</v>
      </c>
      <c r="I663" s="5" t="s">
        <v>16</v>
      </c>
      <c r="J663" s="5" t="s">
        <v>54</v>
      </c>
      <c r="K663" s="6">
        <v>5</v>
      </c>
      <c r="L663" s="15">
        <v>55</v>
      </c>
      <c r="M663" s="15">
        <f t="shared" ca="1" si="72"/>
        <v>18</v>
      </c>
      <c r="N663" s="16">
        <f t="shared" ca="1" si="70"/>
        <v>37</v>
      </c>
      <c r="O663" s="18">
        <f t="shared" ca="1" si="69"/>
        <v>0.67272727272727273</v>
      </c>
      <c r="P663" s="19">
        <f t="shared" si="71"/>
        <v>11</v>
      </c>
      <c r="Q663" s="16" t="str">
        <f>IF(COUNTIF($B$2:B663,B663)=1,SUMIF($B$2:$B$1097,B663,$L$2:$L$1097),"")</f>
        <v/>
      </c>
    </row>
    <row r="664" spans="1:18" ht="12.75" x14ac:dyDescent="0.2">
      <c r="A664" s="3">
        <v>663</v>
      </c>
      <c r="B664" s="26">
        <v>45146</v>
      </c>
      <c r="C664" s="23" t="s">
        <v>35</v>
      </c>
      <c r="D664" s="4">
        <v>4</v>
      </c>
      <c r="E664" s="24" t="s">
        <v>33</v>
      </c>
      <c r="F664" s="5" t="s">
        <v>11</v>
      </c>
      <c r="G664" s="5" t="s">
        <v>11</v>
      </c>
      <c r="H664" s="5" t="s">
        <v>14</v>
      </c>
      <c r="I664" s="5" t="s">
        <v>17</v>
      </c>
      <c r="J664" s="5" t="s">
        <v>54</v>
      </c>
      <c r="K664" s="6">
        <v>9</v>
      </c>
      <c r="L664" s="15">
        <v>99</v>
      </c>
      <c r="M664" s="15">
        <f t="shared" ca="1" si="72"/>
        <v>26</v>
      </c>
      <c r="N664" s="16">
        <f t="shared" ca="1" si="70"/>
        <v>73</v>
      </c>
      <c r="O664" s="18">
        <f t="shared" ca="1" si="69"/>
        <v>0.73737373737373735</v>
      </c>
      <c r="P664" s="19">
        <f t="shared" si="71"/>
        <v>11</v>
      </c>
      <c r="Q664" s="16" t="str">
        <f>IF(COUNTIF($B$2:B664,B664)=1,SUMIF($B$2:$B$1097,B664,$L$2:$L$1097),"")</f>
        <v/>
      </c>
    </row>
    <row r="665" spans="1:18" ht="12.75" x14ac:dyDescent="0.2">
      <c r="A665" s="3">
        <v>664</v>
      </c>
      <c r="B665" s="26">
        <v>45147</v>
      </c>
      <c r="C665" s="23" t="s">
        <v>35</v>
      </c>
      <c r="D665" s="4">
        <v>5</v>
      </c>
      <c r="E665" s="24" t="s">
        <v>33</v>
      </c>
      <c r="F665" s="5" t="s">
        <v>11</v>
      </c>
      <c r="G665" s="5" t="s">
        <v>11</v>
      </c>
      <c r="H665" s="5" t="s">
        <v>14</v>
      </c>
      <c r="I665" s="5" t="s">
        <v>13</v>
      </c>
      <c r="J665" s="5" t="s">
        <v>56</v>
      </c>
      <c r="K665" s="6">
        <v>17</v>
      </c>
      <c r="L665" s="15">
        <v>187</v>
      </c>
      <c r="M665" s="15">
        <f t="shared" ca="1" si="72"/>
        <v>34</v>
      </c>
      <c r="N665" s="16">
        <f t="shared" ca="1" si="70"/>
        <v>153</v>
      </c>
      <c r="O665" s="18">
        <f t="shared" ca="1" si="69"/>
        <v>0.81818181818181823</v>
      </c>
      <c r="P665" s="19">
        <f t="shared" si="71"/>
        <v>11</v>
      </c>
      <c r="Q665" s="16">
        <f>IF(COUNTIF($B$2:B665,B665)=1,SUMIF($B$2:$B$1097,B665,$L$2:$L$1097),"")</f>
        <v>484</v>
      </c>
      <c r="R665" s="16">
        <f>AVERAGE(Q645:Q665)</f>
        <v>478.5</v>
      </c>
    </row>
    <row r="666" spans="1:18" ht="12.75" x14ac:dyDescent="0.2">
      <c r="A666" s="3">
        <v>665</v>
      </c>
      <c r="B666" s="26">
        <v>45147</v>
      </c>
      <c r="C666" s="23" t="s">
        <v>35</v>
      </c>
      <c r="D666" s="4">
        <v>5</v>
      </c>
      <c r="E666" s="24" t="s">
        <v>33</v>
      </c>
      <c r="F666" s="5" t="s">
        <v>11</v>
      </c>
      <c r="G666" s="5" t="s">
        <v>11</v>
      </c>
      <c r="H666" s="5" t="s">
        <v>14</v>
      </c>
      <c r="I666" s="5" t="s">
        <v>15</v>
      </c>
      <c r="J666" s="5" t="s">
        <v>56</v>
      </c>
      <c r="K666" s="6">
        <v>11</v>
      </c>
      <c r="L666" s="15">
        <v>121</v>
      </c>
      <c r="M666" s="15">
        <f t="shared" ca="1" si="72"/>
        <v>40</v>
      </c>
      <c r="N666" s="16">
        <f t="shared" ca="1" si="70"/>
        <v>81</v>
      </c>
      <c r="O666" s="18">
        <f t="shared" ca="1" si="69"/>
        <v>0.66942148760330578</v>
      </c>
      <c r="P666" s="19">
        <f t="shared" si="71"/>
        <v>11</v>
      </c>
      <c r="Q666" s="16" t="str">
        <f>IF(COUNTIF($B$2:B666,B666)=1,SUMIF($B$2:$B$1097,B666,$L$2:$L$1097),"")</f>
        <v/>
      </c>
    </row>
    <row r="667" spans="1:18" ht="12.75" x14ac:dyDescent="0.2">
      <c r="A667" s="3">
        <v>666</v>
      </c>
      <c r="B667" s="26">
        <v>45147</v>
      </c>
      <c r="C667" s="23" t="s">
        <v>35</v>
      </c>
      <c r="D667" s="4">
        <v>5</v>
      </c>
      <c r="E667" s="24" t="s">
        <v>33</v>
      </c>
      <c r="F667" s="5" t="s">
        <v>11</v>
      </c>
      <c r="G667" s="5" t="s">
        <v>11</v>
      </c>
      <c r="H667" s="5" t="s">
        <v>14</v>
      </c>
      <c r="I667" s="5" t="s">
        <v>16</v>
      </c>
      <c r="J667" s="5" t="s">
        <v>55</v>
      </c>
      <c r="K667" s="6">
        <v>5</v>
      </c>
      <c r="L667" s="15">
        <v>55</v>
      </c>
      <c r="M667" s="15">
        <f t="shared" ca="1" si="72"/>
        <v>7</v>
      </c>
      <c r="N667" s="16">
        <f t="shared" ca="1" si="70"/>
        <v>48</v>
      </c>
      <c r="O667" s="18">
        <f t="shared" ca="1" si="69"/>
        <v>0.87272727272727268</v>
      </c>
      <c r="P667" s="19">
        <f t="shared" si="71"/>
        <v>11</v>
      </c>
      <c r="Q667" s="16" t="str">
        <f>IF(COUNTIF($B$2:B667,B667)=1,SUMIF($B$2:$B$1097,B667,$L$2:$L$1097),"")</f>
        <v/>
      </c>
    </row>
    <row r="668" spans="1:18" ht="12.75" x14ac:dyDescent="0.2">
      <c r="A668" s="3">
        <v>667</v>
      </c>
      <c r="B668" s="26">
        <v>45147</v>
      </c>
      <c r="C668" s="23" t="s">
        <v>35</v>
      </c>
      <c r="D668" s="4">
        <v>5</v>
      </c>
      <c r="E668" s="24" t="s">
        <v>33</v>
      </c>
      <c r="F668" s="5" t="s">
        <v>11</v>
      </c>
      <c r="G668" s="5" t="s">
        <v>11</v>
      </c>
      <c r="H668" s="5" t="s">
        <v>14</v>
      </c>
      <c r="I668" s="5" t="s">
        <v>17</v>
      </c>
      <c r="J668" s="5" t="s">
        <v>53</v>
      </c>
      <c r="K668" s="6">
        <v>11</v>
      </c>
      <c r="L668" s="15">
        <v>121</v>
      </c>
      <c r="M668" s="15">
        <f t="shared" ca="1" si="72"/>
        <v>27</v>
      </c>
      <c r="N668" s="16">
        <f t="shared" ca="1" si="70"/>
        <v>94</v>
      </c>
      <c r="O668" s="18">
        <f t="shared" ca="1" si="69"/>
        <v>0.77685950413223137</v>
      </c>
      <c r="P668" s="19">
        <f t="shared" si="71"/>
        <v>11</v>
      </c>
      <c r="Q668" s="16" t="str">
        <f>IF(COUNTIF($B$2:B668,B668)=1,SUMIF($B$2:$B$1097,B668,$L$2:$L$1097),"")</f>
        <v/>
      </c>
    </row>
    <row r="669" spans="1:18" ht="12.75" x14ac:dyDescent="0.2">
      <c r="A669" s="3">
        <v>668</v>
      </c>
      <c r="B669" s="26">
        <v>45148</v>
      </c>
      <c r="C669" s="23" t="s">
        <v>35</v>
      </c>
      <c r="D669" s="4">
        <v>6</v>
      </c>
      <c r="E669" s="24" t="s">
        <v>33</v>
      </c>
      <c r="F669" s="5" t="s">
        <v>11</v>
      </c>
      <c r="G669" s="5" t="s">
        <v>11</v>
      </c>
      <c r="H669" s="5" t="s">
        <v>14</v>
      </c>
      <c r="I669" s="5" t="s">
        <v>13</v>
      </c>
      <c r="J669" s="5" t="s">
        <v>52</v>
      </c>
      <c r="K669" s="6">
        <v>18</v>
      </c>
      <c r="L669" s="15">
        <v>198</v>
      </c>
      <c r="M669" s="15">
        <f t="shared" ca="1" si="72"/>
        <v>43</v>
      </c>
      <c r="N669" s="16">
        <f t="shared" ca="1" si="70"/>
        <v>155</v>
      </c>
      <c r="O669" s="18">
        <f t="shared" ca="1" si="69"/>
        <v>0.78282828282828287</v>
      </c>
      <c r="P669" s="19">
        <f t="shared" si="71"/>
        <v>11</v>
      </c>
      <c r="Q669" s="16">
        <f>IF(COUNTIF($B$2:B669,B669)=1,SUMIF($B$2:$B$1097,B669,$L$2:$L$1097),"")</f>
        <v>605</v>
      </c>
      <c r="R669" s="16">
        <f>AVERAGE(Q649:Q669)</f>
        <v>474.83333333333331</v>
      </c>
    </row>
    <row r="670" spans="1:18" ht="12.75" x14ac:dyDescent="0.2">
      <c r="A670" s="3">
        <v>669</v>
      </c>
      <c r="B670" s="26">
        <v>45148</v>
      </c>
      <c r="C670" s="23" t="s">
        <v>35</v>
      </c>
      <c r="D670" s="4">
        <v>6</v>
      </c>
      <c r="E670" s="24" t="s">
        <v>33</v>
      </c>
      <c r="F670" s="5" t="s">
        <v>11</v>
      </c>
      <c r="G670" s="5" t="s">
        <v>11</v>
      </c>
      <c r="H670" s="5" t="s">
        <v>14</v>
      </c>
      <c r="I670" s="5" t="s">
        <v>15</v>
      </c>
      <c r="J670" s="5" t="s">
        <v>55</v>
      </c>
      <c r="K670" s="6">
        <v>9</v>
      </c>
      <c r="L670" s="15">
        <v>99</v>
      </c>
      <c r="M670" s="15">
        <f t="shared" ca="1" si="72"/>
        <v>42</v>
      </c>
      <c r="N670" s="16">
        <f t="shared" ca="1" si="70"/>
        <v>57</v>
      </c>
      <c r="O670" s="18">
        <f t="shared" ca="1" si="69"/>
        <v>0.5757575757575758</v>
      </c>
      <c r="P670" s="19">
        <f t="shared" si="71"/>
        <v>11</v>
      </c>
      <c r="Q670" s="16" t="str">
        <f>IF(COUNTIF($B$2:B670,B670)=1,SUMIF($B$2:$B$1097,B670,$L$2:$L$1097),"")</f>
        <v/>
      </c>
    </row>
    <row r="671" spans="1:18" ht="12.75" x14ac:dyDescent="0.2">
      <c r="A671" s="3">
        <v>670</v>
      </c>
      <c r="B671" s="26">
        <v>45148</v>
      </c>
      <c r="C671" s="23" t="s">
        <v>35</v>
      </c>
      <c r="D671" s="4">
        <v>6</v>
      </c>
      <c r="E671" s="24" t="s">
        <v>33</v>
      </c>
      <c r="F671" s="5" t="s">
        <v>11</v>
      </c>
      <c r="G671" s="5" t="s">
        <v>11</v>
      </c>
      <c r="H671" s="5" t="s">
        <v>14</v>
      </c>
      <c r="I671" s="5" t="s">
        <v>16</v>
      </c>
      <c r="J671" s="5" t="s">
        <v>55</v>
      </c>
      <c r="K671" s="6">
        <v>9</v>
      </c>
      <c r="L671" s="15">
        <v>99</v>
      </c>
      <c r="M671" s="15">
        <f t="shared" ca="1" si="72"/>
        <v>28</v>
      </c>
      <c r="N671" s="16">
        <f t="shared" ca="1" si="70"/>
        <v>71</v>
      </c>
      <c r="O671" s="18">
        <f t="shared" ca="1" si="69"/>
        <v>0.71717171717171713</v>
      </c>
      <c r="P671" s="19">
        <f t="shared" si="71"/>
        <v>11</v>
      </c>
      <c r="Q671" s="16" t="str">
        <f>IF(COUNTIF($B$2:B671,B671)=1,SUMIF($B$2:$B$1097,B671,$L$2:$L$1097),"")</f>
        <v/>
      </c>
    </row>
    <row r="672" spans="1:18" ht="12.75" x14ac:dyDescent="0.2">
      <c r="A672" s="3">
        <v>671</v>
      </c>
      <c r="B672" s="26">
        <v>45148</v>
      </c>
      <c r="C672" s="23" t="s">
        <v>35</v>
      </c>
      <c r="D672" s="4">
        <v>6</v>
      </c>
      <c r="E672" s="24" t="s">
        <v>33</v>
      </c>
      <c r="F672" s="5" t="s">
        <v>11</v>
      </c>
      <c r="G672" s="5" t="s">
        <v>11</v>
      </c>
      <c r="H672" s="5" t="s">
        <v>14</v>
      </c>
      <c r="I672" s="5" t="s">
        <v>17</v>
      </c>
      <c r="J672" s="5" t="s">
        <v>53</v>
      </c>
      <c r="K672" s="6">
        <v>19</v>
      </c>
      <c r="L672" s="15">
        <v>209</v>
      </c>
      <c r="M672" s="15">
        <f t="shared" ca="1" si="72"/>
        <v>36</v>
      </c>
      <c r="N672" s="16">
        <f t="shared" ca="1" si="70"/>
        <v>173</v>
      </c>
      <c r="O672" s="18">
        <f t="shared" ca="1" si="69"/>
        <v>0.82775119617224879</v>
      </c>
      <c r="P672" s="19">
        <f t="shared" si="71"/>
        <v>11</v>
      </c>
      <c r="Q672" s="16" t="str">
        <f>IF(COUNTIF($B$2:B672,B672)=1,SUMIF($B$2:$B$1097,B672,$L$2:$L$1097),"")</f>
        <v/>
      </c>
    </row>
    <row r="673" spans="1:18" ht="12.75" x14ac:dyDescent="0.2">
      <c r="A673" s="3">
        <v>672</v>
      </c>
      <c r="B673" s="26">
        <v>45149</v>
      </c>
      <c r="C673" s="23" t="s">
        <v>35</v>
      </c>
      <c r="D673" s="4">
        <v>7</v>
      </c>
      <c r="E673" s="24" t="s">
        <v>33</v>
      </c>
      <c r="F673" s="5" t="s">
        <v>11</v>
      </c>
      <c r="G673" s="5" t="s">
        <v>11</v>
      </c>
      <c r="H673" s="5" t="s">
        <v>14</v>
      </c>
      <c r="I673" s="5" t="s">
        <v>13</v>
      </c>
      <c r="J673" s="5" t="s">
        <v>56</v>
      </c>
      <c r="K673" s="6">
        <v>18</v>
      </c>
      <c r="L673" s="15">
        <v>198</v>
      </c>
      <c r="M673" s="15">
        <f t="shared" ca="1" si="72"/>
        <v>17</v>
      </c>
      <c r="N673" s="16">
        <f t="shared" ca="1" si="70"/>
        <v>181</v>
      </c>
      <c r="O673" s="18">
        <f t="shared" ca="1" si="69"/>
        <v>0.91414141414141414</v>
      </c>
      <c r="P673" s="19">
        <f t="shared" si="71"/>
        <v>11</v>
      </c>
      <c r="Q673" s="16">
        <f>IF(COUNTIF($B$2:B673,B673)=1,SUMIF($B$2:$B$1097,B673,$L$2:$L$1097),"")</f>
        <v>198</v>
      </c>
      <c r="R673" s="16">
        <f t="shared" ref="R673:R674" si="74">AVERAGE(Q653:Q673)</f>
        <v>469.33333333333331</v>
      </c>
    </row>
    <row r="674" spans="1:18" ht="12.75" x14ac:dyDescent="0.2">
      <c r="A674" s="3">
        <v>673</v>
      </c>
      <c r="B674" s="26">
        <v>45151</v>
      </c>
      <c r="C674" s="23" t="s">
        <v>35</v>
      </c>
      <c r="D674" s="4">
        <v>2</v>
      </c>
      <c r="E674" s="24" t="s">
        <v>33</v>
      </c>
      <c r="F674" s="5" t="s">
        <v>11</v>
      </c>
      <c r="G674" s="5" t="s">
        <v>11</v>
      </c>
      <c r="H674" s="5" t="s">
        <v>14</v>
      </c>
      <c r="I674" s="5" t="s">
        <v>13</v>
      </c>
      <c r="J674" s="5" t="s">
        <v>52</v>
      </c>
      <c r="K674" s="6">
        <v>20</v>
      </c>
      <c r="L674" s="15">
        <v>220</v>
      </c>
      <c r="M674" s="15">
        <f t="shared" ca="1" si="72"/>
        <v>10</v>
      </c>
      <c r="N674" s="16">
        <f t="shared" ca="1" si="70"/>
        <v>210</v>
      </c>
      <c r="O674" s="18">
        <f t="shared" ca="1" si="69"/>
        <v>0.95454545454545459</v>
      </c>
      <c r="P674" s="19">
        <f t="shared" si="71"/>
        <v>11</v>
      </c>
      <c r="Q674" s="16">
        <f>IF(COUNTIF($B$2:B674,B674)=1,SUMIF($B$2:$B$1097,B674,$L$2:$L$1097),"")</f>
        <v>572</v>
      </c>
      <c r="R674" s="16">
        <f t="shared" si="74"/>
        <v>467.5</v>
      </c>
    </row>
    <row r="675" spans="1:18" ht="12.75" x14ac:dyDescent="0.2">
      <c r="A675" s="3">
        <v>674</v>
      </c>
      <c r="B675" s="26">
        <v>45151</v>
      </c>
      <c r="C675" s="23" t="s">
        <v>35</v>
      </c>
      <c r="D675" s="4">
        <v>2</v>
      </c>
      <c r="E675" s="24" t="s">
        <v>33</v>
      </c>
      <c r="F675" s="5" t="s">
        <v>11</v>
      </c>
      <c r="G675" s="5" t="s">
        <v>11</v>
      </c>
      <c r="H675" s="5" t="s">
        <v>14</v>
      </c>
      <c r="I675" s="5" t="s">
        <v>15</v>
      </c>
      <c r="J675" s="5" t="s">
        <v>54</v>
      </c>
      <c r="K675" s="6">
        <v>9</v>
      </c>
      <c r="L675" s="15">
        <v>99</v>
      </c>
      <c r="M675" s="15">
        <f t="shared" ca="1" si="72"/>
        <v>26</v>
      </c>
      <c r="N675" s="16">
        <f t="shared" ca="1" si="70"/>
        <v>73</v>
      </c>
      <c r="O675" s="18">
        <f t="shared" ca="1" si="69"/>
        <v>0.73737373737373735</v>
      </c>
      <c r="P675" s="19">
        <f t="shared" si="71"/>
        <v>11</v>
      </c>
      <c r="Q675" s="16" t="str">
        <f>IF(COUNTIF($B$2:B675,B675)=1,SUMIF($B$2:$B$1097,B675,$L$2:$L$1097),"")</f>
        <v/>
      </c>
    </row>
    <row r="676" spans="1:18" ht="12.75" x14ac:dyDescent="0.2">
      <c r="A676" s="3">
        <v>675</v>
      </c>
      <c r="B676" s="26">
        <v>45151</v>
      </c>
      <c r="C676" s="23" t="s">
        <v>35</v>
      </c>
      <c r="D676" s="4">
        <v>2</v>
      </c>
      <c r="E676" s="24" t="s">
        <v>33</v>
      </c>
      <c r="F676" s="5" t="s">
        <v>11</v>
      </c>
      <c r="G676" s="5" t="s">
        <v>11</v>
      </c>
      <c r="H676" s="5" t="s">
        <v>14</v>
      </c>
      <c r="I676" s="5" t="s">
        <v>16</v>
      </c>
      <c r="J676" s="5" t="s">
        <v>54</v>
      </c>
      <c r="K676" s="6">
        <v>8</v>
      </c>
      <c r="L676" s="15">
        <v>88</v>
      </c>
      <c r="M676" s="15">
        <f t="shared" ca="1" si="72"/>
        <v>31</v>
      </c>
      <c r="N676" s="16">
        <f t="shared" ca="1" si="70"/>
        <v>57</v>
      </c>
      <c r="O676" s="18">
        <f t="shared" ca="1" si="69"/>
        <v>0.64772727272727271</v>
      </c>
      <c r="P676" s="19">
        <f t="shared" si="71"/>
        <v>11</v>
      </c>
      <c r="Q676" s="16" t="str">
        <f>IF(COUNTIF($B$2:B676,B676)=1,SUMIF($B$2:$B$1097,B676,$L$2:$L$1097),"")</f>
        <v/>
      </c>
    </row>
    <row r="677" spans="1:18" ht="12.75" x14ac:dyDescent="0.2">
      <c r="A677" s="3">
        <v>676</v>
      </c>
      <c r="B677" s="26">
        <v>45151</v>
      </c>
      <c r="C677" s="23" t="s">
        <v>35</v>
      </c>
      <c r="D677" s="4">
        <v>2</v>
      </c>
      <c r="E677" s="24" t="s">
        <v>33</v>
      </c>
      <c r="F677" s="5" t="s">
        <v>11</v>
      </c>
      <c r="G677" s="5" t="s">
        <v>11</v>
      </c>
      <c r="H677" s="5" t="s">
        <v>14</v>
      </c>
      <c r="I677" s="5" t="s">
        <v>17</v>
      </c>
      <c r="J677" s="5" t="s">
        <v>54</v>
      </c>
      <c r="K677" s="6">
        <v>15</v>
      </c>
      <c r="L677" s="15">
        <v>165</v>
      </c>
      <c r="M677" s="15">
        <f t="shared" ca="1" si="72"/>
        <v>27</v>
      </c>
      <c r="N677" s="16">
        <f t="shared" ca="1" si="70"/>
        <v>138</v>
      </c>
      <c r="O677" s="18">
        <f t="shared" ca="1" si="69"/>
        <v>0.83636363636363631</v>
      </c>
      <c r="P677" s="19">
        <f t="shared" si="71"/>
        <v>11</v>
      </c>
      <c r="Q677" s="16" t="str">
        <f>IF(COUNTIF($B$2:B677,B677)=1,SUMIF($B$2:$B$1097,B677,$L$2:$L$1097),"")</f>
        <v/>
      </c>
    </row>
    <row r="678" spans="1:18" ht="12.75" x14ac:dyDescent="0.2">
      <c r="A678" s="3">
        <v>677</v>
      </c>
      <c r="B678" s="26">
        <v>45152</v>
      </c>
      <c r="C678" s="23" t="s">
        <v>35</v>
      </c>
      <c r="D678" s="4">
        <v>3</v>
      </c>
      <c r="E678" s="24" t="s">
        <v>33</v>
      </c>
      <c r="F678" s="5" t="s">
        <v>11</v>
      </c>
      <c r="G678" s="5" t="s">
        <v>11</v>
      </c>
      <c r="H678" s="5" t="s">
        <v>14</v>
      </c>
      <c r="I678" s="5" t="s">
        <v>13</v>
      </c>
      <c r="J678" s="5" t="s">
        <v>56</v>
      </c>
      <c r="K678" s="6">
        <v>18</v>
      </c>
      <c r="L678" s="15">
        <v>198</v>
      </c>
      <c r="M678" s="15">
        <f t="shared" ca="1" si="72"/>
        <v>49</v>
      </c>
      <c r="N678" s="16">
        <f t="shared" ca="1" si="70"/>
        <v>149</v>
      </c>
      <c r="O678" s="18">
        <f t="shared" ca="1" si="69"/>
        <v>0.75252525252525249</v>
      </c>
      <c r="P678" s="19">
        <f t="shared" si="71"/>
        <v>11</v>
      </c>
      <c r="Q678" s="16">
        <f>IF(COUNTIF($B$2:B678,B678)=1,SUMIF($B$2:$B$1097,B678,$L$2:$L$1097),"")</f>
        <v>539</v>
      </c>
      <c r="R678" s="16">
        <f>AVERAGE(Q658:Q678)</f>
        <v>469.33333333333331</v>
      </c>
    </row>
    <row r="679" spans="1:18" ht="12.75" x14ac:dyDescent="0.2">
      <c r="A679" s="3">
        <v>678</v>
      </c>
      <c r="B679" s="26">
        <v>45152</v>
      </c>
      <c r="C679" s="23" t="s">
        <v>35</v>
      </c>
      <c r="D679" s="4">
        <v>3</v>
      </c>
      <c r="E679" s="24" t="s">
        <v>33</v>
      </c>
      <c r="F679" s="5" t="s">
        <v>11</v>
      </c>
      <c r="G679" s="5" t="s">
        <v>11</v>
      </c>
      <c r="H679" s="5" t="s">
        <v>14</v>
      </c>
      <c r="I679" s="5" t="s">
        <v>15</v>
      </c>
      <c r="J679" s="5" t="s">
        <v>56</v>
      </c>
      <c r="K679" s="6">
        <v>12</v>
      </c>
      <c r="L679" s="15">
        <v>132</v>
      </c>
      <c r="M679" s="15">
        <f t="shared" ca="1" si="72"/>
        <v>37</v>
      </c>
      <c r="N679" s="16">
        <f t="shared" ca="1" si="70"/>
        <v>95</v>
      </c>
      <c r="O679" s="18">
        <f t="shared" ca="1" si="69"/>
        <v>0.71969696969696972</v>
      </c>
      <c r="P679" s="19">
        <f t="shared" si="71"/>
        <v>11</v>
      </c>
      <c r="Q679" s="16" t="str">
        <f>IF(COUNTIF($B$2:B679,B679)=1,SUMIF($B$2:$B$1097,B679,$L$2:$L$1097),"")</f>
        <v/>
      </c>
    </row>
    <row r="680" spans="1:18" ht="12.75" x14ac:dyDescent="0.2">
      <c r="A680" s="3">
        <v>679</v>
      </c>
      <c r="B680" s="26">
        <v>45152</v>
      </c>
      <c r="C680" s="23" t="s">
        <v>35</v>
      </c>
      <c r="D680" s="4">
        <v>3</v>
      </c>
      <c r="E680" s="24" t="s">
        <v>33</v>
      </c>
      <c r="F680" s="5" t="s">
        <v>11</v>
      </c>
      <c r="G680" s="5" t="s">
        <v>11</v>
      </c>
      <c r="H680" s="5" t="s">
        <v>14</v>
      </c>
      <c r="I680" s="5" t="s">
        <v>16</v>
      </c>
      <c r="J680" s="5" t="s">
        <v>55</v>
      </c>
      <c r="K680" s="6">
        <v>5</v>
      </c>
      <c r="L680" s="15">
        <v>55</v>
      </c>
      <c r="M680" s="15">
        <f t="shared" ca="1" si="72"/>
        <v>12</v>
      </c>
      <c r="N680" s="16">
        <f t="shared" ca="1" si="70"/>
        <v>43</v>
      </c>
      <c r="O680" s="18">
        <f t="shared" ca="1" si="69"/>
        <v>0.78181818181818186</v>
      </c>
      <c r="P680" s="19">
        <f t="shared" si="71"/>
        <v>11</v>
      </c>
      <c r="Q680" s="16" t="str">
        <f>IF(COUNTIF($B$2:B680,B680)=1,SUMIF($B$2:$B$1097,B680,$L$2:$L$1097),"")</f>
        <v/>
      </c>
    </row>
    <row r="681" spans="1:18" ht="12.75" x14ac:dyDescent="0.2">
      <c r="A681" s="3">
        <v>680</v>
      </c>
      <c r="B681" s="26">
        <v>45152</v>
      </c>
      <c r="C681" s="23" t="s">
        <v>35</v>
      </c>
      <c r="D681" s="4">
        <v>3</v>
      </c>
      <c r="E681" s="24" t="s">
        <v>33</v>
      </c>
      <c r="F681" s="5" t="s">
        <v>11</v>
      </c>
      <c r="G681" s="5" t="s">
        <v>11</v>
      </c>
      <c r="H681" s="5" t="s">
        <v>14</v>
      </c>
      <c r="I681" s="5" t="s">
        <v>17</v>
      </c>
      <c r="J681" s="5" t="s">
        <v>53</v>
      </c>
      <c r="K681" s="6">
        <v>14</v>
      </c>
      <c r="L681" s="15">
        <v>154</v>
      </c>
      <c r="M681" s="15">
        <f t="shared" ca="1" si="72"/>
        <v>10</v>
      </c>
      <c r="N681" s="16">
        <f t="shared" ca="1" si="70"/>
        <v>144</v>
      </c>
      <c r="O681" s="18">
        <f t="shared" ca="1" si="69"/>
        <v>0.93506493506493504</v>
      </c>
      <c r="P681" s="19">
        <f t="shared" si="71"/>
        <v>11</v>
      </c>
      <c r="Q681" s="16" t="str">
        <f>IF(COUNTIF($B$2:B681,B681)=1,SUMIF($B$2:$B$1097,B681,$L$2:$L$1097),"")</f>
        <v/>
      </c>
    </row>
    <row r="682" spans="1:18" ht="12.75" x14ac:dyDescent="0.2">
      <c r="A682" s="3">
        <v>681</v>
      </c>
      <c r="B682" s="26">
        <v>45153</v>
      </c>
      <c r="C682" s="23" t="s">
        <v>35</v>
      </c>
      <c r="D682" s="4">
        <v>4</v>
      </c>
      <c r="E682" s="24" t="s">
        <v>33</v>
      </c>
      <c r="F682" s="5" t="s">
        <v>11</v>
      </c>
      <c r="G682" s="5" t="s">
        <v>11</v>
      </c>
      <c r="H682" s="5" t="s">
        <v>14</v>
      </c>
      <c r="I682" s="5" t="s">
        <v>13</v>
      </c>
      <c r="J682" s="5" t="s">
        <v>52</v>
      </c>
      <c r="K682" s="6">
        <v>16</v>
      </c>
      <c r="L682" s="15">
        <v>176</v>
      </c>
      <c r="M682" s="15">
        <f t="shared" ca="1" si="72"/>
        <v>19</v>
      </c>
      <c r="N682" s="16">
        <f t="shared" ca="1" si="70"/>
        <v>157</v>
      </c>
      <c r="O682" s="18">
        <f t="shared" ca="1" si="69"/>
        <v>0.89204545454545459</v>
      </c>
      <c r="P682" s="19">
        <f t="shared" si="71"/>
        <v>11</v>
      </c>
      <c r="Q682" s="16">
        <f>IF(COUNTIF($B$2:B682,B682)=1,SUMIF($B$2:$B$1097,B682,$L$2:$L$1097),"")</f>
        <v>440</v>
      </c>
      <c r="R682" s="16">
        <f>AVERAGE(Q662:Q682)</f>
        <v>473</v>
      </c>
    </row>
    <row r="683" spans="1:18" ht="12.75" x14ac:dyDescent="0.2">
      <c r="A683" s="3">
        <v>682</v>
      </c>
      <c r="B683" s="26">
        <v>45153</v>
      </c>
      <c r="C683" s="23" t="s">
        <v>35</v>
      </c>
      <c r="D683" s="4">
        <v>4</v>
      </c>
      <c r="E683" s="24" t="s">
        <v>33</v>
      </c>
      <c r="F683" s="5" t="s">
        <v>11</v>
      </c>
      <c r="G683" s="5" t="s">
        <v>11</v>
      </c>
      <c r="H683" s="5" t="s">
        <v>14</v>
      </c>
      <c r="I683" s="5" t="s">
        <v>15</v>
      </c>
      <c r="J683" s="5" t="s">
        <v>54</v>
      </c>
      <c r="K683" s="6">
        <v>7</v>
      </c>
      <c r="L683" s="15">
        <v>77</v>
      </c>
      <c r="M683" s="15">
        <f t="shared" ca="1" si="72"/>
        <v>34</v>
      </c>
      <c r="N683" s="16">
        <f t="shared" ca="1" si="70"/>
        <v>43</v>
      </c>
      <c r="O683" s="18">
        <f t="shared" ca="1" si="69"/>
        <v>0.55844155844155841</v>
      </c>
      <c r="P683" s="19">
        <f t="shared" si="71"/>
        <v>11</v>
      </c>
      <c r="Q683" s="16" t="str">
        <f>IF(COUNTIF($B$2:B683,B683)=1,SUMIF($B$2:$B$1097,B683,$L$2:$L$1097),"")</f>
        <v/>
      </c>
    </row>
    <row r="684" spans="1:18" ht="12.75" x14ac:dyDescent="0.2">
      <c r="A684" s="3">
        <v>683</v>
      </c>
      <c r="B684" s="26">
        <v>45153</v>
      </c>
      <c r="C684" s="23" t="s">
        <v>35</v>
      </c>
      <c r="D684" s="4">
        <v>4</v>
      </c>
      <c r="E684" s="24" t="s">
        <v>33</v>
      </c>
      <c r="F684" s="5" t="s">
        <v>11</v>
      </c>
      <c r="G684" s="5" t="s">
        <v>11</v>
      </c>
      <c r="H684" s="5" t="s">
        <v>14</v>
      </c>
      <c r="I684" s="5" t="s">
        <v>16</v>
      </c>
      <c r="J684" s="5" t="s">
        <v>54</v>
      </c>
      <c r="K684" s="6">
        <v>5</v>
      </c>
      <c r="L684" s="15">
        <v>55</v>
      </c>
      <c r="M684" s="15">
        <f t="shared" ca="1" si="72"/>
        <v>50</v>
      </c>
      <c r="N684" s="16">
        <f t="shared" ca="1" si="70"/>
        <v>5</v>
      </c>
      <c r="O684" s="18">
        <f t="shared" ca="1" si="69"/>
        <v>9.0909090909090912E-2</v>
      </c>
      <c r="P684" s="19">
        <f t="shared" si="71"/>
        <v>11</v>
      </c>
      <c r="Q684" s="16" t="str">
        <f>IF(COUNTIF($B$2:B684,B684)=1,SUMIF($B$2:$B$1097,B684,$L$2:$L$1097),"")</f>
        <v/>
      </c>
    </row>
    <row r="685" spans="1:18" ht="12.75" x14ac:dyDescent="0.2">
      <c r="A685" s="3">
        <v>684</v>
      </c>
      <c r="B685" s="26">
        <v>45153</v>
      </c>
      <c r="C685" s="23" t="s">
        <v>35</v>
      </c>
      <c r="D685" s="4">
        <v>4</v>
      </c>
      <c r="E685" s="24" t="s">
        <v>33</v>
      </c>
      <c r="F685" s="5" t="s">
        <v>11</v>
      </c>
      <c r="G685" s="5" t="s">
        <v>11</v>
      </c>
      <c r="H685" s="5" t="s">
        <v>14</v>
      </c>
      <c r="I685" s="5" t="s">
        <v>17</v>
      </c>
      <c r="J685" s="5" t="s">
        <v>54</v>
      </c>
      <c r="K685" s="6">
        <v>12</v>
      </c>
      <c r="L685" s="15">
        <v>132</v>
      </c>
      <c r="M685" s="15">
        <f t="shared" ca="1" si="72"/>
        <v>16</v>
      </c>
      <c r="N685" s="16">
        <f t="shared" ca="1" si="70"/>
        <v>116</v>
      </c>
      <c r="O685" s="18">
        <f t="shared" ca="1" si="69"/>
        <v>0.87878787878787878</v>
      </c>
      <c r="P685" s="19">
        <f t="shared" si="71"/>
        <v>11</v>
      </c>
      <c r="Q685" s="16" t="str">
        <f>IF(COUNTIF($B$2:B685,B685)=1,SUMIF($B$2:$B$1097,B685,$L$2:$L$1097),"")</f>
        <v/>
      </c>
    </row>
    <row r="686" spans="1:18" ht="12.75" x14ac:dyDescent="0.2">
      <c r="A686" s="3">
        <v>685</v>
      </c>
      <c r="B686" s="26">
        <v>45154</v>
      </c>
      <c r="C686" s="23" t="s">
        <v>35</v>
      </c>
      <c r="D686" s="4">
        <v>5</v>
      </c>
      <c r="E686" s="24" t="s">
        <v>33</v>
      </c>
      <c r="F686" s="5" t="s">
        <v>11</v>
      </c>
      <c r="G686" s="5" t="s">
        <v>11</v>
      </c>
      <c r="H686" s="5" t="s">
        <v>14</v>
      </c>
      <c r="I686" s="5" t="s">
        <v>13</v>
      </c>
      <c r="J686" s="5" t="s">
        <v>56</v>
      </c>
      <c r="K686" s="6">
        <v>15</v>
      </c>
      <c r="L686" s="15">
        <v>165</v>
      </c>
      <c r="M686" s="15">
        <f t="shared" ca="1" si="72"/>
        <v>29</v>
      </c>
      <c r="N686" s="16">
        <f t="shared" ca="1" si="70"/>
        <v>136</v>
      </c>
      <c r="O686" s="18">
        <f t="shared" ca="1" si="69"/>
        <v>0.82424242424242422</v>
      </c>
      <c r="P686" s="19">
        <f t="shared" si="71"/>
        <v>11</v>
      </c>
      <c r="Q686" s="16">
        <f>IF(COUNTIF($B$2:B686,B686)=1,SUMIF($B$2:$B$1097,B686,$L$2:$L$1097),"")</f>
        <v>451</v>
      </c>
      <c r="R686" s="16">
        <f>AVERAGE(Q666:Q686)</f>
        <v>467.5</v>
      </c>
    </row>
    <row r="687" spans="1:18" ht="12.75" x14ac:dyDescent="0.2">
      <c r="A687" s="3">
        <v>686</v>
      </c>
      <c r="B687" s="26">
        <v>45154</v>
      </c>
      <c r="C687" s="23" t="s">
        <v>35</v>
      </c>
      <c r="D687" s="4">
        <v>5</v>
      </c>
      <c r="E687" s="24" t="s">
        <v>33</v>
      </c>
      <c r="F687" s="5" t="s">
        <v>11</v>
      </c>
      <c r="G687" s="5" t="s">
        <v>11</v>
      </c>
      <c r="H687" s="5" t="s">
        <v>14</v>
      </c>
      <c r="I687" s="5" t="s">
        <v>15</v>
      </c>
      <c r="J687" s="5" t="s">
        <v>56</v>
      </c>
      <c r="K687" s="6">
        <v>8</v>
      </c>
      <c r="L687" s="15">
        <v>88</v>
      </c>
      <c r="M687" s="15">
        <f t="shared" ca="1" si="72"/>
        <v>46</v>
      </c>
      <c r="N687" s="16">
        <f t="shared" ca="1" si="70"/>
        <v>42</v>
      </c>
      <c r="O687" s="18">
        <f t="shared" ca="1" si="69"/>
        <v>0.47727272727272729</v>
      </c>
      <c r="P687" s="19">
        <f t="shared" si="71"/>
        <v>11</v>
      </c>
      <c r="Q687" s="16" t="str">
        <f>IF(COUNTIF($B$2:B687,B687)=1,SUMIF($B$2:$B$1097,B687,$L$2:$L$1097),"")</f>
        <v/>
      </c>
    </row>
    <row r="688" spans="1:18" ht="12.75" x14ac:dyDescent="0.2">
      <c r="A688" s="3">
        <v>687</v>
      </c>
      <c r="B688" s="26">
        <v>45154</v>
      </c>
      <c r="C688" s="23" t="s">
        <v>35</v>
      </c>
      <c r="D688" s="4">
        <v>5</v>
      </c>
      <c r="E688" s="24" t="s">
        <v>33</v>
      </c>
      <c r="F688" s="5" t="s">
        <v>11</v>
      </c>
      <c r="G688" s="5" t="s">
        <v>11</v>
      </c>
      <c r="H688" s="5" t="s">
        <v>14</v>
      </c>
      <c r="I688" s="5" t="s">
        <v>16</v>
      </c>
      <c r="J688" s="5" t="s">
        <v>55</v>
      </c>
      <c r="K688" s="6">
        <v>5</v>
      </c>
      <c r="L688" s="15">
        <v>55</v>
      </c>
      <c r="M688" s="15">
        <f t="shared" ca="1" si="72"/>
        <v>37</v>
      </c>
      <c r="N688" s="16">
        <f t="shared" ca="1" si="70"/>
        <v>18</v>
      </c>
      <c r="O688" s="18">
        <f t="shared" ca="1" si="69"/>
        <v>0.32727272727272727</v>
      </c>
      <c r="P688" s="19">
        <f t="shared" si="71"/>
        <v>11</v>
      </c>
      <c r="Q688" s="16" t="str">
        <f>IF(COUNTIF($B$2:B688,B688)=1,SUMIF($B$2:$B$1097,B688,$L$2:$L$1097),"")</f>
        <v/>
      </c>
    </row>
    <row r="689" spans="1:18" ht="12.75" x14ac:dyDescent="0.2">
      <c r="A689" s="3">
        <v>688</v>
      </c>
      <c r="B689" s="26">
        <v>45154</v>
      </c>
      <c r="C689" s="23" t="s">
        <v>35</v>
      </c>
      <c r="D689" s="4">
        <v>5</v>
      </c>
      <c r="E689" s="24" t="s">
        <v>33</v>
      </c>
      <c r="F689" s="5" t="s">
        <v>11</v>
      </c>
      <c r="G689" s="5" t="s">
        <v>11</v>
      </c>
      <c r="H689" s="5" t="s">
        <v>14</v>
      </c>
      <c r="I689" s="5" t="s">
        <v>17</v>
      </c>
      <c r="J689" s="5" t="s">
        <v>53</v>
      </c>
      <c r="K689" s="6">
        <v>13</v>
      </c>
      <c r="L689" s="15">
        <v>143</v>
      </c>
      <c r="M689" s="15">
        <f t="shared" ca="1" si="72"/>
        <v>31</v>
      </c>
      <c r="N689" s="16">
        <f t="shared" ca="1" si="70"/>
        <v>112</v>
      </c>
      <c r="O689" s="18">
        <f t="shared" ca="1" si="69"/>
        <v>0.78321678321678323</v>
      </c>
      <c r="P689" s="19">
        <f t="shared" si="71"/>
        <v>11</v>
      </c>
      <c r="Q689" s="16" t="str">
        <f>IF(COUNTIF($B$2:B689,B689)=1,SUMIF($B$2:$B$1097,B689,$L$2:$L$1097),"")</f>
        <v/>
      </c>
    </row>
    <row r="690" spans="1:18" ht="12.75" x14ac:dyDescent="0.2">
      <c r="A690" s="3">
        <v>689</v>
      </c>
      <c r="B690" s="26">
        <v>45155</v>
      </c>
      <c r="C690" s="23" t="s">
        <v>35</v>
      </c>
      <c r="D690" s="4">
        <v>6</v>
      </c>
      <c r="E690" s="24" t="s">
        <v>33</v>
      </c>
      <c r="F690" s="5" t="s">
        <v>11</v>
      </c>
      <c r="G690" s="5" t="s">
        <v>11</v>
      </c>
      <c r="H690" s="5" t="s">
        <v>14</v>
      </c>
      <c r="I690" s="5" t="s">
        <v>13</v>
      </c>
      <c r="J690" s="5" t="s">
        <v>52</v>
      </c>
      <c r="K690" s="6">
        <v>20</v>
      </c>
      <c r="L690" s="15">
        <v>220</v>
      </c>
      <c r="M690" s="15">
        <f t="shared" ca="1" si="72"/>
        <v>19</v>
      </c>
      <c r="N690" s="16">
        <f t="shared" ca="1" si="70"/>
        <v>201</v>
      </c>
      <c r="O690" s="18">
        <f t="shared" ca="1" si="69"/>
        <v>0.91363636363636369</v>
      </c>
      <c r="P690" s="19">
        <f t="shared" si="71"/>
        <v>11</v>
      </c>
      <c r="Q690" s="16">
        <f>IF(COUNTIF($B$2:B690,B690)=1,SUMIF($B$2:$B$1097,B690,$L$2:$L$1097),"")</f>
        <v>583</v>
      </c>
      <c r="R690" s="16">
        <f>AVERAGE(Q670:Q690)</f>
        <v>463.83333333333331</v>
      </c>
    </row>
    <row r="691" spans="1:18" ht="12.75" x14ac:dyDescent="0.2">
      <c r="A691" s="3">
        <v>690</v>
      </c>
      <c r="B691" s="26">
        <v>45155</v>
      </c>
      <c r="C691" s="23" t="s">
        <v>35</v>
      </c>
      <c r="D691" s="4">
        <v>6</v>
      </c>
      <c r="E691" s="24" t="s">
        <v>33</v>
      </c>
      <c r="F691" s="5" t="s">
        <v>11</v>
      </c>
      <c r="G691" s="5" t="s">
        <v>11</v>
      </c>
      <c r="H691" s="5" t="s">
        <v>14</v>
      </c>
      <c r="I691" s="5" t="s">
        <v>15</v>
      </c>
      <c r="J691" s="5" t="s">
        <v>55</v>
      </c>
      <c r="K691" s="6">
        <v>8</v>
      </c>
      <c r="L691" s="15">
        <v>88</v>
      </c>
      <c r="M691" s="15">
        <f t="shared" ca="1" si="72"/>
        <v>22</v>
      </c>
      <c r="N691" s="16">
        <f t="shared" ca="1" si="70"/>
        <v>66</v>
      </c>
      <c r="O691" s="18">
        <f t="shared" ca="1" si="69"/>
        <v>0.75</v>
      </c>
      <c r="P691" s="19">
        <f t="shared" si="71"/>
        <v>11</v>
      </c>
      <c r="Q691" s="16" t="str">
        <f>IF(COUNTIF($B$2:B691,B691)=1,SUMIF($B$2:$B$1097,B691,$L$2:$L$1097),"")</f>
        <v/>
      </c>
    </row>
    <row r="692" spans="1:18" ht="12.75" x14ac:dyDescent="0.2">
      <c r="A692" s="3">
        <v>691</v>
      </c>
      <c r="B692" s="26">
        <v>45155</v>
      </c>
      <c r="C692" s="23" t="s">
        <v>35</v>
      </c>
      <c r="D692" s="4">
        <v>6</v>
      </c>
      <c r="E692" s="24" t="s">
        <v>33</v>
      </c>
      <c r="F692" s="5" t="s">
        <v>11</v>
      </c>
      <c r="G692" s="5" t="s">
        <v>11</v>
      </c>
      <c r="H692" s="5" t="s">
        <v>14</v>
      </c>
      <c r="I692" s="5" t="s">
        <v>16</v>
      </c>
      <c r="J692" s="5" t="s">
        <v>55</v>
      </c>
      <c r="K692" s="6">
        <v>9</v>
      </c>
      <c r="L692" s="15">
        <v>99</v>
      </c>
      <c r="M692" s="15">
        <f t="shared" ca="1" si="72"/>
        <v>14</v>
      </c>
      <c r="N692" s="16">
        <f t="shared" ca="1" si="70"/>
        <v>85</v>
      </c>
      <c r="O692" s="18">
        <f t="shared" ca="1" si="69"/>
        <v>0.85858585858585856</v>
      </c>
      <c r="P692" s="19">
        <f t="shared" si="71"/>
        <v>11</v>
      </c>
      <c r="Q692" s="16" t="str">
        <f>IF(COUNTIF($B$2:B692,B692)=1,SUMIF($B$2:$B$1097,B692,$L$2:$L$1097),"")</f>
        <v/>
      </c>
    </row>
    <row r="693" spans="1:18" ht="12.75" x14ac:dyDescent="0.2">
      <c r="A693" s="3">
        <v>692</v>
      </c>
      <c r="B693" s="26">
        <v>45155</v>
      </c>
      <c r="C693" s="23" t="s">
        <v>35</v>
      </c>
      <c r="D693" s="4">
        <v>6</v>
      </c>
      <c r="E693" s="24" t="s">
        <v>33</v>
      </c>
      <c r="F693" s="5" t="s">
        <v>11</v>
      </c>
      <c r="G693" s="5" t="s">
        <v>11</v>
      </c>
      <c r="H693" s="5" t="s">
        <v>14</v>
      </c>
      <c r="I693" s="5" t="s">
        <v>17</v>
      </c>
      <c r="J693" s="5" t="s">
        <v>53</v>
      </c>
      <c r="K693" s="6">
        <v>16</v>
      </c>
      <c r="L693" s="15">
        <v>176</v>
      </c>
      <c r="M693" s="15">
        <f t="shared" ca="1" si="72"/>
        <v>22</v>
      </c>
      <c r="N693" s="16">
        <f t="shared" ca="1" si="70"/>
        <v>154</v>
      </c>
      <c r="O693" s="18">
        <f t="shared" ca="1" si="69"/>
        <v>0.875</v>
      </c>
      <c r="P693" s="19">
        <f t="shared" si="71"/>
        <v>11</v>
      </c>
      <c r="Q693" s="16" t="str">
        <f>IF(COUNTIF($B$2:B693,B693)=1,SUMIF($B$2:$B$1097,B693,$L$2:$L$1097),"")</f>
        <v/>
      </c>
    </row>
    <row r="694" spans="1:18" ht="12.75" x14ac:dyDescent="0.2">
      <c r="A694" s="3">
        <v>693</v>
      </c>
      <c r="B694" s="26">
        <v>45156</v>
      </c>
      <c r="C694" s="23" t="s">
        <v>35</v>
      </c>
      <c r="D694" s="4">
        <v>7</v>
      </c>
      <c r="E694" s="24" t="s">
        <v>33</v>
      </c>
      <c r="F694" s="5" t="s">
        <v>11</v>
      </c>
      <c r="G694" s="5" t="s">
        <v>11</v>
      </c>
      <c r="H694" s="5" t="s">
        <v>14</v>
      </c>
      <c r="I694" s="5" t="s">
        <v>13</v>
      </c>
      <c r="J694" s="5" t="s">
        <v>56</v>
      </c>
      <c r="K694" s="6">
        <v>20</v>
      </c>
      <c r="L694" s="15">
        <v>220</v>
      </c>
      <c r="M694" s="15">
        <f t="shared" ca="1" si="72"/>
        <v>7</v>
      </c>
      <c r="N694" s="16">
        <f t="shared" ca="1" si="70"/>
        <v>213</v>
      </c>
      <c r="O694" s="18">
        <f t="shared" ca="1" si="69"/>
        <v>0.96818181818181814</v>
      </c>
      <c r="P694" s="19">
        <f t="shared" si="71"/>
        <v>11</v>
      </c>
      <c r="Q694" s="16">
        <f>IF(COUNTIF($B$2:B694,B694)=1,SUMIF($B$2:$B$1097,B694,$L$2:$L$1097),"")</f>
        <v>220</v>
      </c>
      <c r="R694" s="16">
        <f t="shared" ref="R694:R695" si="75">AVERAGE(Q674:Q694)</f>
        <v>467.5</v>
      </c>
    </row>
    <row r="695" spans="1:18" ht="12.75" x14ac:dyDescent="0.2">
      <c r="A695" s="3">
        <v>694</v>
      </c>
      <c r="B695" s="26">
        <v>45158</v>
      </c>
      <c r="C695" s="23" t="s">
        <v>35</v>
      </c>
      <c r="D695" s="4">
        <v>2</v>
      </c>
      <c r="E695" s="24" t="s">
        <v>33</v>
      </c>
      <c r="F695" s="5" t="s">
        <v>11</v>
      </c>
      <c r="G695" s="5" t="s">
        <v>11</v>
      </c>
      <c r="H695" s="5" t="s">
        <v>14</v>
      </c>
      <c r="I695" s="5" t="s">
        <v>13</v>
      </c>
      <c r="J695" s="5" t="s">
        <v>52</v>
      </c>
      <c r="K695" s="6">
        <v>20</v>
      </c>
      <c r="L695" s="15">
        <v>220</v>
      </c>
      <c r="M695" s="15">
        <f t="shared" ca="1" si="72"/>
        <v>14</v>
      </c>
      <c r="N695" s="16">
        <f t="shared" ca="1" si="70"/>
        <v>206</v>
      </c>
      <c r="O695" s="18">
        <f t="shared" ca="1" si="69"/>
        <v>0.9363636363636364</v>
      </c>
      <c r="P695" s="19">
        <f t="shared" si="71"/>
        <v>11</v>
      </c>
      <c r="Q695" s="16">
        <f>IF(COUNTIF($B$2:B695,B695)=1,SUMIF($B$2:$B$1097,B695,$L$2:$L$1097),"")</f>
        <v>627</v>
      </c>
      <c r="R695" s="16">
        <f t="shared" si="75"/>
        <v>476.66666666666669</v>
      </c>
    </row>
    <row r="696" spans="1:18" ht="12.75" x14ac:dyDescent="0.2">
      <c r="A696" s="3">
        <v>695</v>
      </c>
      <c r="B696" s="26">
        <v>45158</v>
      </c>
      <c r="C696" s="23" t="s">
        <v>35</v>
      </c>
      <c r="D696" s="4">
        <v>2</v>
      </c>
      <c r="E696" s="24" t="s">
        <v>33</v>
      </c>
      <c r="F696" s="5" t="s">
        <v>11</v>
      </c>
      <c r="G696" s="5" t="s">
        <v>11</v>
      </c>
      <c r="H696" s="5" t="s">
        <v>14</v>
      </c>
      <c r="I696" s="5" t="s">
        <v>15</v>
      </c>
      <c r="J696" s="5" t="s">
        <v>54</v>
      </c>
      <c r="K696" s="6">
        <v>12</v>
      </c>
      <c r="L696" s="15">
        <v>132</v>
      </c>
      <c r="M696" s="15">
        <f t="shared" ca="1" si="72"/>
        <v>15</v>
      </c>
      <c r="N696" s="16">
        <f t="shared" ca="1" si="70"/>
        <v>117</v>
      </c>
      <c r="O696" s="18">
        <f t="shared" ca="1" si="69"/>
        <v>0.88636363636363635</v>
      </c>
      <c r="P696" s="19">
        <f t="shared" si="71"/>
        <v>11</v>
      </c>
      <c r="Q696" s="16" t="str">
        <f>IF(COUNTIF($B$2:B696,B696)=1,SUMIF($B$2:$B$1097,B696,$L$2:$L$1097),"")</f>
        <v/>
      </c>
    </row>
    <row r="697" spans="1:18" ht="12.75" x14ac:dyDescent="0.2">
      <c r="A697" s="3">
        <v>696</v>
      </c>
      <c r="B697" s="26">
        <v>45158</v>
      </c>
      <c r="C697" s="23" t="s">
        <v>35</v>
      </c>
      <c r="D697" s="4">
        <v>2</v>
      </c>
      <c r="E697" s="24" t="s">
        <v>33</v>
      </c>
      <c r="F697" s="5" t="s">
        <v>11</v>
      </c>
      <c r="G697" s="5" t="s">
        <v>11</v>
      </c>
      <c r="H697" s="5" t="s">
        <v>14</v>
      </c>
      <c r="I697" s="5" t="s">
        <v>16</v>
      </c>
      <c r="J697" s="5" t="s">
        <v>54</v>
      </c>
      <c r="K697" s="6">
        <v>10</v>
      </c>
      <c r="L697" s="15">
        <v>110</v>
      </c>
      <c r="M697" s="15">
        <f t="shared" ca="1" si="72"/>
        <v>37</v>
      </c>
      <c r="N697" s="16">
        <f t="shared" ca="1" si="70"/>
        <v>73</v>
      </c>
      <c r="O697" s="18">
        <f t="shared" ca="1" si="69"/>
        <v>0.66363636363636369</v>
      </c>
      <c r="P697" s="19">
        <f t="shared" si="71"/>
        <v>11</v>
      </c>
      <c r="Q697" s="16" t="str">
        <f>IF(COUNTIF($B$2:B697,B697)=1,SUMIF($B$2:$B$1097,B697,$L$2:$L$1097),"")</f>
        <v/>
      </c>
    </row>
    <row r="698" spans="1:18" ht="12.75" x14ac:dyDescent="0.2">
      <c r="A698" s="3">
        <v>697</v>
      </c>
      <c r="B698" s="26">
        <v>45158</v>
      </c>
      <c r="C698" s="23" t="s">
        <v>35</v>
      </c>
      <c r="D698" s="4">
        <v>2</v>
      </c>
      <c r="E698" s="24" t="s">
        <v>33</v>
      </c>
      <c r="F698" s="5" t="s">
        <v>11</v>
      </c>
      <c r="G698" s="5" t="s">
        <v>11</v>
      </c>
      <c r="H698" s="5" t="s">
        <v>14</v>
      </c>
      <c r="I698" s="5" t="s">
        <v>17</v>
      </c>
      <c r="J698" s="5" t="s">
        <v>54</v>
      </c>
      <c r="K698" s="6">
        <v>15</v>
      </c>
      <c r="L698" s="15">
        <v>165</v>
      </c>
      <c r="M698" s="15">
        <f t="shared" ca="1" si="72"/>
        <v>3</v>
      </c>
      <c r="N698" s="16">
        <f t="shared" ca="1" si="70"/>
        <v>162</v>
      </c>
      <c r="O698" s="18">
        <f t="shared" ca="1" si="69"/>
        <v>0.98181818181818181</v>
      </c>
      <c r="P698" s="19">
        <f t="shared" si="71"/>
        <v>11</v>
      </c>
      <c r="Q698" s="16" t="str">
        <f>IF(COUNTIF($B$2:B698,B698)=1,SUMIF($B$2:$B$1097,B698,$L$2:$L$1097),"")</f>
        <v/>
      </c>
    </row>
    <row r="699" spans="1:18" ht="12.75" x14ac:dyDescent="0.2">
      <c r="A699" s="3">
        <v>698</v>
      </c>
      <c r="B699" s="26">
        <v>45159</v>
      </c>
      <c r="C699" s="23" t="s">
        <v>35</v>
      </c>
      <c r="D699" s="4">
        <v>3</v>
      </c>
      <c r="E699" s="24" t="s">
        <v>33</v>
      </c>
      <c r="F699" s="5" t="s">
        <v>11</v>
      </c>
      <c r="G699" s="5" t="s">
        <v>11</v>
      </c>
      <c r="H699" s="5" t="s">
        <v>14</v>
      </c>
      <c r="I699" s="5" t="s">
        <v>13</v>
      </c>
      <c r="J699" s="5" t="s">
        <v>56</v>
      </c>
      <c r="K699" s="6">
        <v>19</v>
      </c>
      <c r="L699" s="15">
        <v>209</v>
      </c>
      <c r="M699" s="15">
        <f t="shared" ca="1" si="72"/>
        <v>34</v>
      </c>
      <c r="N699" s="16">
        <f t="shared" ca="1" si="70"/>
        <v>175</v>
      </c>
      <c r="O699" s="18">
        <f t="shared" ca="1" si="69"/>
        <v>0.83732057416267947</v>
      </c>
      <c r="P699" s="19">
        <f t="shared" si="71"/>
        <v>11</v>
      </c>
      <c r="Q699" s="16">
        <f>IF(COUNTIF($B$2:B699,B699)=1,SUMIF($B$2:$B$1097,B699,$L$2:$L$1097),"")</f>
        <v>495</v>
      </c>
      <c r="R699" s="16">
        <f>AVERAGE(Q679:Q699)</f>
        <v>469.33333333333331</v>
      </c>
    </row>
    <row r="700" spans="1:18" ht="12.75" x14ac:dyDescent="0.2">
      <c r="A700" s="3">
        <v>699</v>
      </c>
      <c r="B700" s="26">
        <v>45159</v>
      </c>
      <c r="C700" s="23" t="s">
        <v>35</v>
      </c>
      <c r="D700" s="4">
        <v>3</v>
      </c>
      <c r="E700" s="24" t="s">
        <v>33</v>
      </c>
      <c r="F700" s="5" t="s">
        <v>11</v>
      </c>
      <c r="G700" s="5" t="s">
        <v>11</v>
      </c>
      <c r="H700" s="5" t="s">
        <v>14</v>
      </c>
      <c r="I700" s="5" t="s">
        <v>15</v>
      </c>
      <c r="J700" s="5" t="s">
        <v>56</v>
      </c>
      <c r="K700" s="6">
        <v>9</v>
      </c>
      <c r="L700" s="15">
        <v>99</v>
      </c>
      <c r="M700" s="15">
        <f t="shared" ca="1" si="72"/>
        <v>36</v>
      </c>
      <c r="N700" s="16">
        <f t="shared" ca="1" si="70"/>
        <v>63</v>
      </c>
      <c r="O700" s="18">
        <f t="shared" ca="1" si="69"/>
        <v>0.63636363636363635</v>
      </c>
      <c r="P700" s="19">
        <f t="shared" si="71"/>
        <v>11</v>
      </c>
      <c r="Q700" s="16" t="str">
        <f>IF(COUNTIF($B$2:B700,B700)=1,SUMIF($B$2:$B$1097,B700,$L$2:$L$1097),"")</f>
        <v/>
      </c>
    </row>
    <row r="701" spans="1:18" ht="12.75" x14ac:dyDescent="0.2">
      <c r="A701" s="3">
        <v>700</v>
      </c>
      <c r="B701" s="26">
        <v>45159</v>
      </c>
      <c r="C701" s="23" t="s">
        <v>35</v>
      </c>
      <c r="D701" s="4">
        <v>3</v>
      </c>
      <c r="E701" s="24" t="s">
        <v>33</v>
      </c>
      <c r="F701" s="5" t="s">
        <v>11</v>
      </c>
      <c r="G701" s="5" t="s">
        <v>11</v>
      </c>
      <c r="H701" s="5" t="s">
        <v>14</v>
      </c>
      <c r="I701" s="5" t="s">
        <v>16</v>
      </c>
      <c r="J701" s="5" t="s">
        <v>55</v>
      </c>
      <c r="K701" s="6">
        <v>5</v>
      </c>
      <c r="L701" s="15">
        <v>55</v>
      </c>
      <c r="M701" s="15">
        <f t="shared" ca="1" si="72"/>
        <v>11</v>
      </c>
      <c r="N701" s="16">
        <f t="shared" ca="1" si="70"/>
        <v>44</v>
      </c>
      <c r="O701" s="18">
        <f t="shared" ca="1" si="69"/>
        <v>0.8</v>
      </c>
      <c r="P701" s="19">
        <f t="shared" si="71"/>
        <v>11</v>
      </c>
      <c r="Q701" s="16" t="str">
        <f>IF(COUNTIF($B$2:B701,B701)=1,SUMIF($B$2:$B$1097,B701,$L$2:$L$1097),"")</f>
        <v/>
      </c>
    </row>
    <row r="702" spans="1:18" ht="12.75" x14ac:dyDescent="0.2">
      <c r="A702" s="3">
        <v>701</v>
      </c>
      <c r="B702" s="26">
        <v>45159</v>
      </c>
      <c r="C702" s="23" t="s">
        <v>35</v>
      </c>
      <c r="D702" s="4">
        <v>3</v>
      </c>
      <c r="E702" s="24" t="s">
        <v>33</v>
      </c>
      <c r="F702" s="5" t="s">
        <v>11</v>
      </c>
      <c r="G702" s="5" t="s">
        <v>11</v>
      </c>
      <c r="H702" s="5" t="s">
        <v>14</v>
      </c>
      <c r="I702" s="5" t="s">
        <v>17</v>
      </c>
      <c r="J702" s="5" t="s">
        <v>53</v>
      </c>
      <c r="K702" s="6">
        <v>12</v>
      </c>
      <c r="L702" s="15">
        <v>132</v>
      </c>
      <c r="M702" s="15">
        <f t="shared" ca="1" si="72"/>
        <v>15</v>
      </c>
      <c r="N702" s="16">
        <f t="shared" ca="1" si="70"/>
        <v>117</v>
      </c>
      <c r="O702" s="18">
        <f t="shared" ca="1" si="69"/>
        <v>0.88636363636363635</v>
      </c>
      <c r="P702" s="19">
        <f t="shared" si="71"/>
        <v>11</v>
      </c>
      <c r="Q702" s="16" t="str">
        <f>IF(COUNTIF($B$2:B702,B702)=1,SUMIF($B$2:$B$1097,B702,$L$2:$L$1097),"")</f>
        <v/>
      </c>
    </row>
    <row r="703" spans="1:18" ht="12.75" x14ac:dyDescent="0.2">
      <c r="A703" s="3">
        <v>702</v>
      </c>
      <c r="B703" s="26">
        <v>45160</v>
      </c>
      <c r="C703" s="23" t="s">
        <v>35</v>
      </c>
      <c r="D703" s="4">
        <v>4</v>
      </c>
      <c r="E703" s="24" t="s">
        <v>33</v>
      </c>
      <c r="F703" s="5" t="s">
        <v>11</v>
      </c>
      <c r="G703" s="5" t="s">
        <v>11</v>
      </c>
      <c r="H703" s="5" t="s">
        <v>14</v>
      </c>
      <c r="I703" s="5" t="s">
        <v>13</v>
      </c>
      <c r="J703" s="5" t="s">
        <v>52</v>
      </c>
      <c r="K703" s="6">
        <v>19</v>
      </c>
      <c r="L703" s="15">
        <v>209</v>
      </c>
      <c r="M703" s="15">
        <f t="shared" ca="1" si="72"/>
        <v>38</v>
      </c>
      <c r="N703" s="16">
        <f t="shared" ca="1" si="70"/>
        <v>171</v>
      </c>
      <c r="O703" s="18">
        <f t="shared" ca="1" si="69"/>
        <v>0.81818181818181823</v>
      </c>
      <c r="P703" s="19">
        <f t="shared" si="71"/>
        <v>11</v>
      </c>
      <c r="Q703" s="16">
        <f>IF(COUNTIF($B$2:B703,B703)=1,SUMIF($B$2:$B$1097,B703,$L$2:$L$1097),"")</f>
        <v>418</v>
      </c>
      <c r="R703" s="16">
        <f>AVERAGE(Q683:Q703)</f>
        <v>465.66666666666669</v>
      </c>
    </row>
    <row r="704" spans="1:18" ht="12.75" x14ac:dyDescent="0.2">
      <c r="A704" s="3">
        <v>703</v>
      </c>
      <c r="B704" s="26">
        <v>45160</v>
      </c>
      <c r="C704" s="23" t="s">
        <v>35</v>
      </c>
      <c r="D704" s="4">
        <v>4</v>
      </c>
      <c r="E704" s="24" t="s">
        <v>33</v>
      </c>
      <c r="F704" s="5" t="s">
        <v>11</v>
      </c>
      <c r="G704" s="5" t="s">
        <v>11</v>
      </c>
      <c r="H704" s="5" t="s">
        <v>14</v>
      </c>
      <c r="I704" s="5" t="s">
        <v>15</v>
      </c>
      <c r="J704" s="5" t="s">
        <v>54</v>
      </c>
      <c r="K704" s="6">
        <v>5</v>
      </c>
      <c r="L704" s="15">
        <v>55</v>
      </c>
      <c r="M704" s="15">
        <f t="shared" ca="1" si="72"/>
        <v>35</v>
      </c>
      <c r="N704" s="16">
        <f t="shared" ca="1" si="70"/>
        <v>20</v>
      </c>
      <c r="O704" s="18">
        <f t="shared" ca="1" si="69"/>
        <v>0.36363636363636365</v>
      </c>
      <c r="P704" s="19">
        <f t="shared" si="71"/>
        <v>11</v>
      </c>
      <c r="Q704" s="16" t="str">
        <f>IF(COUNTIF($B$2:B704,B704)=1,SUMIF($B$2:$B$1097,B704,$L$2:$L$1097),"")</f>
        <v/>
      </c>
    </row>
    <row r="705" spans="1:18" ht="12.75" x14ac:dyDescent="0.2">
      <c r="A705" s="3">
        <v>704</v>
      </c>
      <c r="B705" s="26">
        <v>45160</v>
      </c>
      <c r="C705" s="23" t="s">
        <v>35</v>
      </c>
      <c r="D705" s="4">
        <v>4</v>
      </c>
      <c r="E705" s="24" t="s">
        <v>33</v>
      </c>
      <c r="F705" s="5" t="s">
        <v>11</v>
      </c>
      <c r="G705" s="5" t="s">
        <v>11</v>
      </c>
      <c r="H705" s="5" t="s">
        <v>14</v>
      </c>
      <c r="I705" s="5" t="s">
        <v>16</v>
      </c>
      <c r="J705" s="5" t="s">
        <v>54</v>
      </c>
      <c r="K705" s="6">
        <v>5</v>
      </c>
      <c r="L705" s="15">
        <v>55</v>
      </c>
      <c r="M705" s="15">
        <f t="shared" ca="1" si="72"/>
        <v>10</v>
      </c>
      <c r="N705" s="16">
        <f t="shared" ca="1" si="70"/>
        <v>45</v>
      </c>
      <c r="O705" s="18">
        <f t="shared" ca="1" si="69"/>
        <v>0.81818181818181823</v>
      </c>
      <c r="P705" s="19">
        <f t="shared" si="71"/>
        <v>11</v>
      </c>
      <c r="Q705" s="16" t="str">
        <f>IF(COUNTIF($B$2:B705,B705)=1,SUMIF($B$2:$B$1097,B705,$L$2:$L$1097),"")</f>
        <v/>
      </c>
    </row>
    <row r="706" spans="1:18" ht="12.75" x14ac:dyDescent="0.2">
      <c r="A706" s="3">
        <v>705</v>
      </c>
      <c r="B706" s="26">
        <v>45160</v>
      </c>
      <c r="C706" s="23" t="s">
        <v>35</v>
      </c>
      <c r="D706" s="4">
        <v>4</v>
      </c>
      <c r="E706" s="24" t="s">
        <v>33</v>
      </c>
      <c r="F706" s="5" t="s">
        <v>11</v>
      </c>
      <c r="G706" s="5" t="s">
        <v>11</v>
      </c>
      <c r="H706" s="5" t="s">
        <v>14</v>
      </c>
      <c r="I706" s="5" t="s">
        <v>17</v>
      </c>
      <c r="J706" s="5" t="s">
        <v>54</v>
      </c>
      <c r="K706" s="6">
        <v>9</v>
      </c>
      <c r="L706" s="15">
        <v>99</v>
      </c>
      <c r="M706" s="15">
        <f t="shared" ca="1" si="72"/>
        <v>18</v>
      </c>
      <c r="N706" s="16">
        <f t="shared" ca="1" si="70"/>
        <v>81</v>
      </c>
      <c r="O706" s="18">
        <f t="shared" ref="O706:O769" ca="1" si="76">IF(L706=0, 0, N706/L706)</f>
        <v>0.81818181818181823</v>
      </c>
      <c r="P706" s="19">
        <f t="shared" si="71"/>
        <v>11</v>
      </c>
      <c r="Q706" s="16" t="str">
        <f>IF(COUNTIF($B$2:B706,B706)=1,SUMIF($B$2:$B$1097,B706,$L$2:$L$1097),"")</f>
        <v/>
      </c>
    </row>
    <row r="707" spans="1:18" ht="12.75" x14ac:dyDescent="0.2">
      <c r="A707" s="3">
        <v>706</v>
      </c>
      <c r="B707" s="26">
        <v>45161</v>
      </c>
      <c r="C707" s="23" t="s">
        <v>35</v>
      </c>
      <c r="D707" s="4">
        <v>5</v>
      </c>
      <c r="E707" s="24" t="s">
        <v>33</v>
      </c>
      <c r="F707" s="5" t="s">
        <v>11</v>
      </c>
      <c r="G707" s="5" t="s">
        <v>11</v>
      </c>
      <c r="H707" s="5" t="s">
        <v>14</v>
      </c>
      <c r="I707" s="5" t="s">
        <v>13</v>
      </c>
      <c r="J707" s="5" t="s">
        <v>56</v>
      </c>
      <c r="K707" s="6">
        <v>15</v>
      </c>
      <c r="L707" s="15">
        <v>165</v>
      </c>
      <c r="M707" s="15">
        <f t="shared" ca="1" si="72"/>
        <v>30</v>
      </c>
      <c r="N707" s="16">
        <f t="shared" ref="N707:N770" ca="1" si="77">L707-M707</f>
        <v>135</v>
      </c>
      <c r="O707" s="18">
        <f t="shared" ca="1" si="76"/>
        <v>0.81818181818181823</v>
      </c>
      <c r="P707" s="19">
        <f t="shared" ref="P707:P770" si="78">IF(K707=0, 0, L707/K707)</f>
        <v>11</v>
      </c>
      <c r="Q707" s="16">
        <f>IF(COUNTIF($B$2:B707,B707)=1,SUMIF($B$2:$B$1097,B707,$L$2:$L$1097),"")</f>
        <v>484</v>
      </c>
      <c r="R707" s="16">
        <f>AVERAGE(Q687:Q707)</f>
        <v>471.16666666666669</v>
      </c>
    </row>
    <row r="708" spans="1:18" ht="12.75" x14ac:dyDescent="0.2">
      <c r="A708" s="3">
        <v>707</v>
      </c>
      <c r="B708" s="26">
        <v>45161</v>
      </c>
      <c r="C708" s="23" t="s">
        <v>35</v>
      </c>
      <c r="D708" s="4">
        <v>5</v>
      </c>
      <c r="E708" s="24" t="s">
        <v>33</v>
      </c>
      <c r="F708" s="5" t="s">
        <v>11</v>
      </c>
      <c r="G708" s="5" t="s">
        <v>11</v>
      </c>
      <c r="H708" s="5" t="s">
        <v>14</v>
      </c>
      <c r="I708" s="5" t="s">
        <v>15</v>
      </c>
      <c r="J708" s="5" t="s">
        <v>56</v>
      </c>
      <c r="K708" s="6">
        <v>11</v>
      </c>
      <c r="L708" s="15">
        <v>121</v>
      </c>
      <c r="M708" s="15">
        <f t="shared" ca="1" si="72"/>
        <v>50</v>
      </c>
      <c r="N708" s="16">
        <f t="shared" ca="1" si="77"/>
        <v>71</v>
      </c>
      <c r="O708" s="18">
        <f t="shared" ca="1" si="76"/>
        <v>0.58677685950413228</v>
      </c>
      <c r="P708" s="19">
        <f t="shared" si="78"/>
        <v>11</v>
      </c>
      <c r="Q708" s="16" t="str">
        <f>IF(COUNTIF($B$2:B708,B708)=1,SUMIF($B$2:$B$1097,B708,$L$2:$L$1097),"")</f>
        <v/>
      </c>
    </row>
    <row r="709" spans="1:18" ht="12.75" x14ac:dyDescent="0.2">
      <c r="A709" s="3">
        <v>708</v>
      </c>
      <c r="B709" s="26">
        <v>45161</v>
      </c>
      <c r="C709" s="23" t="s">
        <v>35</v>
      </c>
      <c r="D709" s="4">
        <v>5</v>
      </c>
      <c r="E709" s="24" t="s">
        <v>33</v>
      </c>
      <c r="F709" s="5" t="s">
        <v>11</v>
      </c>
      <c r="G709" s="5" t="s">
        <v>11</v>
      </c>
      <c r="H709" s="5" t="s">
        <v>14</v>
      </c>
      <c r="I709" s="5" t="s">
        <v>16</v>
      </c>
      <c r="J709" s="5" t="s">
        <v>55</v>
      </c>
      <c r="K709" s="6">
        <v>5</v>
      </c>
      <c r="L709" s="15">
        <v>55</v>
      </c>
      <c r="M709" s="15">
        <f t="shared" ca="1" si="72"/>
        <v>33</v>
      </c>
      <c r="N709" s="16">
        <f t="shared" ca="1" si="77"/>
        <v>22</v>
      </c>
      <c r="O709" s="18">
        <f t="shared" ca="1" si="76"/>
        <v>0.4</v>
      </c>
      <c r="P709" s="19">
        <f t="shared" si="78"/>
        <v>11</v>
      </c>
      <c r="Q709" s="16" t="str">
        <f>IF(COUNTIF($B$2:B709,B709)=1,SUMIF($B$2:$B$1097,B709,$L$2:$L$1097),"")</f>
        <v/>
      </c>
    </row>
    <row r="710" spans="1:18" ht="12.75" x14ac:dyDescent="0.2">
      <c r="A710" s="3">
        <v>709</v>
      </c>
      <c r="B710" s="26">
        <v>45161</v>
      </c>
      <c r="C710" s="23" t="s">
        <v>35</v>
      </c>
      <c r="D710" s="4">
        <v>5</v>
      </c>
      <c r="E710" s="24" t="s">
        <v>33</v>
      </c>
      <c r="F710" s="5" t="s">
        <v>11</v>
      </c>
      <c r="G710" s="5" t="s">
        <v>11</v>
      </c>
      <c r="H710" s="5" t="s">
        <v>14</v>
      </c>
      <c r="I710" s="5" t="s">
        <v>17</v>
      </c>
      <c r="J710" s="5" t="s">
        <v>53</v>
      </c>
      <c r="K710" s="6">
        <v>13</v>
      </c>
      <c r="L710" s="15">
        <v>143</v>
      </c>
      <c r="M710" s="15">
        <f t="shared" ca="1" si="72"/>
        <v>33</v>
      </c>
      <c r="N710" s="16">
        <f t="shared" ca="1" si="77"/>
        <v>110</v>
      </c>
      <c r="O710" s="18">
        <f t="shared" ca="1" si="76"/>
        <v>0.76923076923076927</v>
      </c>
      <c r="P710" s="19">
        <f t="shared" si="78"/>
        <v>11</v>
      </c>
      <c r="Q710" s="16" t="str">
        <f>IF(COUNTIF($B$2:B710,B710)=1,SUMIF($B$2:$B$1097,B710,$L$2:$L$1097),"")</f>
        <v/>
      </c>
    </row>
    <row r="711" spans="1:18" ht="12.75" x14ac:dyDescent="0.2">
      <c r="A711" s="3">
        <v>710</v>
      </c>
      <c r="B711" s="26">
        <v>45162</v>
      </c>
      <c r="C711" s="23" t="s">
        <v>35</v>
      </c>
      <c r="D711" s="4">
        <v>6</v>
      </c>
      <c r="E711" s="24" t="s">
        <v>33</v>
      </c>
      <c r="F711" s="5" t="s">
        <v>11</v>
      </c>
      <c r="G711" s="5" t="s">
        <v>11</v>
      </c>
      <c r="H711" s="5" t="s">
        <v>14</v>
      </c>
      <c r="I711" s="5" t="s">
        <v>13</v>
      </c>
      <c r="J711" s="5" t="s">
        <v>52</v>
      </c>
      <c r="K711" s="6">
        <v>21</v>
      </c>
      <c r="L711" s="15">
        <v>231</v>
      </c>
      <c r="M711" s="15">
        <f t="shared" ca="1" si="72"/>
        <v>28</v>
      </c>
      <c r="N711" s="16">
        <f t="shared" ca="1" si="77"/>
        <v>203</v>
      </c>
      <c r="O711" s="18">
        <f t="shared" ca="1" si="76"/>
        <v>0.87878787878787878</v>
      </c>
      <c r="P711" s="19">
        <f t="shared" si="78"/>
        <v>11</v>
      </c>
      <c r="Q711" s="16">
        <f>IF(COUNTIF($B$2:B711,B711)=1,SUMIF($B$2:$B$1097,B711,$L$2:$L$1097),"")</f>
        <v>605</v>
      </c>
      <c r="R711" s="16">
        <f>AVERAGE(Q691:Q711)</f>
        <v>474.83333333333331</v>
      </c>
    </row>
    <row r="712" spans="1:18" ht="12.75" x14ac:dyDescent="0.2">
      <c r="A712" s="3">
        <v>711</v>
      </c>
      <c r="B712" s="26">
        <v>45162</v>
      </c>
      <c r="C712" s="23" t="s">
        <v>35</v>
      </c>
      <c r="D712" s="4">
        <v>6</v>
      </c>
      <c r="E712" s="24" t="s">
        <v>33</v>
      </c>
      <c r="F712" s="5" t="s">
        <v>11</v>
      </c>
      <c r="G712" s="5" t="s">
        <v>11</v>
      </c>
      <c r="H712" s="5" t="s">
        <v>14</v>
      </c>
      <c r="I712" s="5" t="s">
        <v>15</v>
      </c>
      <c r="J712" s="5" t="s">
        <v>55</v>
      </c>
      <c r="K712" s="6">
        <v>9</v>
      </c>
      <c r="L712" s="15">
        <v>99</v>
      </c>
      <c r="M712" s="15">
        <f t="shared" ca="1" si="72"/>
        <v>14</v>
      </c>
      <c r="N712" s="16">
        <f t="shared" ca="1" si="77"/>
        <v>85</v>
      </c>
      <c r="O712" s="18">
        <f t="shared" ca="1" si="76"/>
        <v>0.85858585858585856</v>
      </c>
      <c r="P712" s="19">
        <f t="shared" si="78"/>
        <v>11</v>
      </c>
      <c r="Q712" s="16" t="str">
        <f>IF(COUNTIF($B$2:B712,B712)=1,SUMIF($B$2:$B$1097,B712,$L$2:$L$1097),"")</f>
        <v/>
      </c>
    </row>
    <row r="713" spans="1:18" ht="12.75" x14ac:dyDescent="0.2">
      <c r="A713" s="3">
        <v>712</v>
      </c>
      <c r="B713" s="26">
        <v>45162</v>
      </c>
      <c r="C713" s="23" t="s">
        <v>35</v>
      </c>
      <c r="D713" s="4">
        <v>6</v>
      </c>
      <c r="E713" s="24" t="s">
        <v>33</v>
      </c>
      <c r="F713" s="5" t="s">
        <v>11</v>
      </c>
      <c r="G713" s="5" t="s">
        <v>11</v>
      </c>
      <c r="H713" s="5" t="s">
        <v>14</v>
      </c>
      <c r="I713" s="5" t="s">
        <v>16</v>
      </c>
      <c r="J713" s="5" t="s">
        <v>55</v>
      </c>
      <c r="K713" s="6">
        <v>10</v>
      </c>
      <c r="L713" s="15">
        <v>110</v>
      </c>
      <c r="M713" s="15">
        <f t="shared" ref="M713:M776" ca="1" si="79">RANDBETWEEN(1,50)</f>
        <v>21</v>
      </c>
      <c r="N713" s="16">
        <f t="shared" ca="1" si="77"/>
        <v>89</v>
      </c>
      <c r="O713" s="18">
        <f t="shared" ca="1" si="76"/>
        <v>0.80909090909090908</v>
      </c>
      <c r="P713" s="19">
        <f t="shared" si="78"/>
        <v>11</v>
      </c>
      <c r="Q713" s="16" t="str">
        <f>IF(COUNTIF($B$2:B713,B713)=1,SUMIF($B$2:$B$1097,B713,$L$2:$L$1097),"")</f>
        <v/>
      </c>
    </row>
    <row r="714" spans="1:18" ht="12.75" x14ac:dyDescent="0.2">
      <c r="A714" s="3">
        <v>713</v>
      </c>
      <c r="B714" s="26">
        <v>45162</v>
      </c>
      <c r="C714" s="23" t="s">
        <v>35</v>
      </c>
      <c r="D714" s="4">
        <v>6</v>
      </c>
      <c r="E714" s="24" t="s">
        <v>33</v>
      </c>
      <c r="F714" s="5" t="s">
        <v>11</v>
      </c>
      <c r="G714" s="5" t="s">
        <v>11</v>
      </c>
      <c r="H714" s="5" t="s">
        <v>14</v>
      </c>
      <c r="I714" s="5" t="s">
        <v>17</v>
      </c>
      <c r="J714" s="5" t="s">
        <v>53</v>
      </c>
      <c r="K714" s="6">
        <v>15</v>
      </c>
      <c r="L714" s="15">
        <v>165</v>
      </c>
      <c r="M714" s="15">
        <f t="shared" ca="1" si="79"/>
        <v>23</v>
      </c>
      <c r="N714" s="16">
        <f t="shared" ca="1" si="77"/>
        <v>142</v>
      </c>
      <c r="O714" s="18">
        <f t="shared" ca="1" si="76"/>
        <v>0.8606060606060606</v>
      </c>
      <c r="P714" s="19">
        <f t="shared" si="78"/>
        <v>11</v>
      </c>
      <c r="Q714" s="16" t="str">
        <f>IF(COUNTIF($B$2:B714,B714)=1,SUMIF($B$2:$B$1097,B714,$L$2:$L$1097),"")</f>
        <v/>
      </c>
    </row>
    <row r="715" spans="1:18" ht="12.75" x14ac:dyDescent="0.2">
      <c r="A715" s="3">
        <v>714</v>
      </c>
      <c r="B715" s="26">
        <v>45163</v>
      </c>
      <c r="C715" s="23" t="s">
        <v>35</v>
      </c>
      <c r="D715" s="4">
        <v>7</v>
      </c>
      <c r="E715" s="24" t="s">
        <v>33</v>
      </c>
      <c r="F715" s="5" t="s">
        <v>11</v>
      </c>
      <c r="G715" s="5" t="s">
        <v>11</v>
      </c>
      <c r="H715" s="5" t="s">
        <v>14</v>
      </c>
      <c r="I715" s="5" t="s">
        <v>13</v>
      </c>
      <c r="J715" s="5" t="s">
        <v>56</v>
      </c>
      <c r="K715" s="6">
        <v>24</v>
      </c>
      <c r="L715" s="15">
        <v>264</v>
      </c>
      <c r="M715" s="15">
        <f t="shared" ca="1" si="79"/>
        <v>35</v>
      </c>
      <c r="N715" s="16">
        <f t="shared" ca="1" si="77"/>
        <v>229</v>
      </c>
      <c r="O715" s="18">
        <f t="shared" ca="1" si="76"/>
        <v>0.86742424242424243</v>
      </c>
      <c r="P715" s="19">
        <f t="shared" si="78"/>
        <v>11</v>
      </c>
      <c r="Q715" s="16">
        <f>IF(COUNTIF($B$2:B715,B715)=1,SUMIF($B$2:$B$1097,B715,$L$2:$L$1097),"")</f>
        <v>264</v>
      </c>
      <c r="R715" s="16">
        <f t="shared" ref="R715:R716" si="80">AVERAGE(Q695:Q715)</f>
        <v>482.16666666666669</v>
      </c>
    </row>
    <row r="716" spans="1:18" ht="12.75" x14ac:dyDescent="0.2">
      <c r="A716" s="3">
        <v>715</v>
      </c>
      <c r="B716" s="26">
        <v>45165</v>
      </c>
      <c r="C716" s="23" t="s">
        <v>35</v>
      </c>
      <c r="D716" s="4">
        <v>2</v>
      </c>
      <c r="E716" s="24" t="s">
        <v>33</v>
      </c>
      <c r="F716" s="5" t="s">
        <v>11</v>
      </c>
      <c r="G716" s="5" t="s">
        <v>11</v>
      </c>
      <c r="H716" s="5" t="s">
        <v>14</v>
      </c>
      <c r="I716" s="5" t="s">
        <v>13</v>
      </c>
      <c r="J716" s="5" t="s">
        <v>52</v>
      </c>
      <c r="K716" s="6">
        <v>21</v>
      </c>
      <c r="L716" s="15">
        <v>231</v>
      </c>
      <c r="M716" s="15">
        <f t="shared" ca="1" si="79"/>
        <v>30</v>
      </c>
      <c r="N716" s="16">
        <f t="shared" ca="1" si="77"/>
        <v>201</v>
      </c>
      <c r="O716" s="18">
        <f t="shared" ca="1" si="76"/>
        <v>0.87012987012987009</v>
      </c>
      <c r="P716" s="19">
        <f t="shared" si="78"/>
        <v>11</v>
      </c>
      <c r="Q716" s="16">
        <f>IF(COUNTIF($B$2:B716,B716)=1,SUMIF($B$2:$B$1097,B716,$L$2:$L$1097),"")</f>
        <v>594</v>
      </c>
      <c r="R716" s="16">
        <f t="shared" si="80"/>
        <v>476.66666666666669</v>
      </c>
    </row>
    <row r="717" spans="1:18" ht="12.75" x14ac:dyDescent="0.2">
      <c r="A717" s="3">
        <v>716</v>
      </c>
      <c r="B717" s="26">
        <v>45165</v>
      </c>
      <c r="C717" s="23" t="s">
        <v>35</v>
      </c>
      <c r="D717" s="4">
        <v>2</v>
      </c>
      <c r="E717" s="24" t="s">
        <v>33</v>
      </c>
      <c r="F717" s="5" t="s">
        <v>11</v>
      </c>
      <c r="G717" s="5" t="s">
        <v>11</v>
      </c>
      <c r="H717" s="5" t="s">
        <v>14</v>
      </c>
      <c r="I717" s="5" t="s">
        <v>15</v>
      </c>
      <c r="J717" s="5" t="s">
        <v>54</v>
      </c>
      <c r="K717" s="6">
        <v>12</v>
      </c>
      <c r="L717" s="15">
        <v>132</v>
      </c>
      <c r="M717" s="15">
        <f t="shared" ca="1" si="79"/>
        <v>9</v>
      </c>
      <c r="N717" s="16">
        <f t="shared" ca="1" si="77"/>
        <v>123</v>
      </c>
      <c r="O717" s="18">
        <f t="shared" ca="1" si="76"/>
        <v>0.93181818181818177</v>
      </c>
      <c r="P717" s="19">
        <f t="shared" si="78"/>
        <v>11</v>
      </c>
      <c r="Q717" s="16" t="str">
        <f>IF(COUNTIF($B$2:B717,B717)=1,SUMIF($B$2:$B$1097,B717,$L$2:$L$1097),"")</f>
        <v/>
      </c>
    </row>
    <row r="718" spans="1:18" ht="12.75" x14ac:dyDescent="0.2">
      <c r="A718" s="3">
        <v>717</v>
      </c>
      <c r="B718" s="26">
        <v>45165</v>
      </c>
      <c r="C718" s="23" t="s">
        <v>35</v>
      </c>
      <c r="D718" s="4">
        <v>2</v>
      </c>
      <c r="E718" s="24" t="s">
        <v>33</v>
      </c>
      <c r="F718" s="5" t="s">
        <v>11</v>
      </c>
      <c r="G718" s="5" t="s">
        <v>11</v>
      </c>
      <c r="H718" s="5" t="s">
        <v>14</v>
      </c>
      <c r="I718" s="5" t="s">
        <v>16</v>
      </c>
      <c r="J718" s="5" t="s">
        <v>54</v>
      </c>
      <c r="K718" s="6">
        <v>9</v>
      </c>
      <c r="L718" s="15">
        <v>99</v>
      </c>
      <c r="M718" s="15">
        <f t="shared" ca="1" si="79"/>
        <v>18</v>
      </c>
      <c r="N718" s="16">
        <f t="shared" ca="1" si="77"/>
        <v>81</v>
      </c>
      <c r="O718" s="18">
        <f t="shared" ca="1" si="76"/>
        <v>0.81818181818181823</v>
      </c>
      <c r="P718" s="19">
        <f t="shared" si="78"/>
        <v>11</v>
      </c>
      <c r="Q718" s="16" t="str">
        <f>IF(COUNTIF($B$2:B718,B718)=1,SUMIF($B$2:$B$1097,B718,$L$2:$L$1097),"")</f>
        <v/>
      </c>
    </row>
    <row r="719" spans="1:18" ht="12.75" x14ac:dyDescent="0.2">
      <c r="A719" s="3">
        <v>718</v>
      </c>
      <c r="B719" s="26">
        <v>45165</v>
      </c>
      <c r="C719" s="23" t="s">
        <v>35</v>
      </c>
      <c r="D719" s="4">
        <v>2</v>
      </c>
      <c r="E719" s="24" t="s">
        <v>33</v>
      </c>
      <c r="F719" s="5" t="s">
        <v>11</v>
      </c>
      <c r="G719" s="5" t="s">
        <v>11</v>
      </c>
      <c r="H719" s="5" t="s">
        <v>14</v>
      </c>
      <c r="I719" s="5" t="s">
        <v>17</v>
      </c>
      <c r="J719" s="5" t="s">
        <v>54</v>
      </c>
      <c r="K719" s="6">
        <v>12</v>
      </c>
      <c r="L719" s="15">
        <v>132</v>
      </c>
      <c r="M719" s="15">
        <f t="shared" ca="1" si="79"/>
        <v>10</v>
      </c>
      <c r="N719" s="16">
        <f t="shared" ca="1" si="77"/>
        <v>122</v>
      </c>
      <c r="O719" s="18">
        <f t="shared" ca="1" si="76"/>
        <v>0.9242424242424242</v>
      </c>
      <c r="P719" s="19">
        <f t="shared" si="78"/>
        <v>11</v>
      </c>
      <c r="Q719" s="16" t="str">
        <f>IF(COUNTIF($B$2:B719,B719)=1,SUMIF($B$2:$B$1097,B719,$L$2:$L$1097),"")</f>
        <v/>
      </c>
    </row>
    <row r="720" spans="1:18" ht="12.75" x14ac:dyDescent="0.2">
      <c r="A720" s="3">
        <v>719</v>
      </c>
      <c r="B720" s="26">
        <v>45166</v>
      </c>
      <c r="C720" s="23" t="s">
        <v>35</v>
      </c>
      <c r="D720" s="4">
        <v>3</v>
      </c>
      <c r="E720" s="24" t="s">
        <v>33</v>
      </c>
      <c r="F720" s="5" t="s">
        <v>11</v>
      </c>
      <c r="G720" s="5" t="s">
        <v>11</v>
      </c>
      <c r="H720" s="5" t="s">
        <v>14</v>
      </c>
      <c r="I720" s="5" t="s">
        <v>13</v>
      </c>
      <c r="J720" s="5" t="s">
        <v>56</v>
      </c>
      <c r="K720" s="6">
        <v>19</v>
      </c>
      <c r="L720" s="15">
        <v>209</v>
      </c>
      <c r="M720" s="15">
        <f t="shared" ca="1" si="79"/>
        <v>38</v>
      </c>
      <c r="N720" s="16">
        <f t="shared" ca="1" si="77"/>
        <v>171</v>
      </c>
      <c r="O720" s="18">
        <f t="shared" ca="1" si="76"/>
        <v>0.81818181818181823</v>
      </c>
      <c r="P720" s="19">
        <f t="shared" si="78"/>
        <v>11</v>
      </c>
      <c r="Q720" s="16">
        <f>IF(COUNTIF($B$2:B720,B720)=1,SUMIF($B$2:$B$1097,B720,$L$2:$L$1097),"")</f>
        <v>506</v>
      </c>
      <c r="R720" s="16">
        <f>AVERAGE(Q700:Q720)</f>
        <v>478.5</v>
      </c>
    </row>
    <row r="721" spans="1:18" ht="12.75" x14ac:dyDescent="0.2">
      <c r="A721" s="3">
        <v>720</v>
      </c>
      <c r="B721" s="26">
        <v>45166</v>
      </c>
      <c r="C721" s="23" t="s">
        <v>35</v>
      </c>
      <c r="D721" s="4">
        <v>3</v>
      </c>
      <c r="E721" s="24" t="s">
        <v>33</v>
      </c>
      <c r="F721" s="5" t="s">
        <v>11</v>
      </c>
      <c r="G721" s="5" t="s">
        <v>11</v>
      </c>
      <c r="H721" s="5" t="s">
        <v>14</v>
      </c>
      <c r="I721" s="5" t="s">
        <v>15</v>
      </c>
      <c r="J721" s="5" t="s">
        <v>56</v>
      </c>
      <c r="K721" s="6">
        <v>8</v>
      </c>
      <c r="L721" s="15">
        <v>88</v>
      </c>
      <c r="M721" s="15">
        <f t="shared" ca="1" si="79"/>
        <v>21</v>
      </c>
      <c r="N721" s="16">
        <f t="shared" ca="1" si="77"/>
        <v>67</v>
      </c>
      <c r="O721" s="18">
        <f t="shared" ca="1" si="76"/>
        <v>0.76136363636363635</v>
      </c>
      <c r="P721" s="19">
        <f t="shared" si="78"/>
        <v>11</v>
      </c>
      <c r="Q721" s="16" t="str">
        <f>IF(COUNTIF($B$2:B721,B721)=1,SUMIF($B$2:$B$1097,B721,$L$2:$L$1097),"")</f>
        <v/>
      </c>
    </row>
    <row r="722" spans="1:18" ht="12.75" x14ac:dyDescent="0.2">
      <c r="A722" s="3">
        <v>721</v>
      </c>
      <c r="B722" s="26">
        <v>45166</v>
      </c>
      <c r="C722" s="23" t="s">
        <v>35</v>
      </c>
      <c r="D722" s="4">
        <v>3</v>
      </c>
      <c r="E722" s="24" t="s">
        <v>33</v>
      </c>
      <c r="F722" s="5" t="s">
        <v>11</v>
      </c>
      <c r="G722" s="5" t="s">
        <v>11</v>
      </c>
      <c r="H722" s="5" t="s">
        <v>14</v>
      </c>
      <c r="I722" s="5" t="s">
        <v>16</v>
      </c>
      <c r="J722" s="5" t="s">
        <v>55</v>
      </c>
      <c r="K722" s="6">
        <v>5</v>
      </c>
      <c r="L722" s="15">
        <v>55</v>
      </c>
      <c r="M722" s="15">
        <f t="shared" ca="1" si="79"/>
        <v>40</v>
      </c>
      <c r="N722" s="16">
        <f t="shared" ca="1" si="77"/>
        <v>15</v>
      </c>
      <c r="O722" s="18">
        <f t="shared" ca="1" si="76"/>
        <v>0.27272727272727271</v>
      </c>
      <c r="P722" s="19">
        <f t="shared" si="78"/>
        <v>11</v>
      </c>
      <c r="Q722" s="16" t="str">
        <f>IF(COUNTIF($B$2:B722,B722)=1,SUMIF($B$2:$B$1097,B722,$L$2:$L$1097),"")</f>
        <v/>
      </c>
    </row>
    <row r="723" spans="1:18" ht="12.75" x14ac:dyDescent="0.2">
      <c r="A723" s="3">
        <v>722</v>
      </c>
      <c r="B723" s="26">
        <v>45166</v>
      </c>
      <c r="C723" s="23" t="s">
        <v>35</v>
      </c>
      <c r="D723" s="4">
        <v>3</v>
      </c>
      <c r="E723" s="24" t="s">
        <v>33</v>
      </c>
      <c r="F723" s="5" t="s">
        <v>11</v>
      </c>
      <c r="G723" s="5" t="s">
        <v>11</v>
      </c>
      <c r="H723" s="5" t="s">
        <v>14</v>
      </c>
      <c r="I723" s="5" t="s">
        <v>17</v>
      </c>
      <c r="J723" s="5" t="s">
        <v>53</v>
      </c>
      <c r="K723" s="6">
        <v>14</v>
      </c>
      <c r="L723" s="15">
        <v>154</v>
      </c>
      <c r="M723" s="15">
        <f t="shared" ca="1" si="79"/>
        <v>4</v>
      </c>
      <c r="N723" s="16">
        <f t="shared" ca="1" si="77"/>
        <v>150</v>
      </c>
      <c r="O723" s="18">
        <f t="shared" ca="1" si="76"/>
        <v>0.97402597402597402</v>
      </c>
      <c r="P723" s="19">
        <f t="shared" si="78"/>
        <v>11</v>
      </c>
      <c r="Q723" s="16" t="str">
        <f>IF(COUNTIF($B$2:B723,B723)=1,SUMIF($B$2:$B$1097,B723,$L$2:$L$1097),"")</f>
        <v/>
      </c>
    </row>
    <row r="724" spans="1:18" ht="12.75" x14ac:dyDescent="0.2">
      <c r="A724" s="3">
        <v>723</v>
      </c>
      <c r="B724" s="26">
        <v>45167</v>
      </c>
      <c r="C724" s="23" t="s">
        <v>35</v>
      </c>
      <c r="D724" s="4">
        <v>4</v>
      </c>
      <c r="E724" s="24" t="s">
        <v>33</v>
      </c>
      <c r="F724" s="5" t="s">
        <v>11</v>
      </c>
      <c r="G724" s="5" t="s">
        <v>11</v>
      </c>
      <c r="H724" s="5" t="s">
        <v>14</v>
      </c>
      <c r="I724" s="5" t="s">
        <v>13</v>
      </c>
      <c r="J724" s="5" t="s">
        <v>52</v>
      </c>
      <c r="K724" s="6">
        <v>15</v>
      </c>
      <c r="L724" s="15">
        <v>165</v>
      </c>
      <c r="M724" s="15">
        <f t="shared" ca="1" si="79"/>
        <v>31</v>
      </c>
      <c r="N724" s="16">
        <f t="shared" ca="1" si="77"/>
        <v>134</v>
      </c>
      <c r="O724" s="18">
        <f t="shared" ca="1" si="76"/>
        <v>0.81212121212121213</v>
      </c>
      <c r="P724" s="19">
        <f t="shared" si="78"/>
        <v>11</v>
      </c>
      <c r="Q724" s="16">
        <f>IF(COUNTIF($B$2:B724,B724)=1,SUMIF($B$2:$B$1097,B724,$L$2:$L$1097),"")</f>
        <v>385</v>
      </c>
      <c r="R724" s="16">
        <f>AVERAGE(Q704:Q724)</f>
        <v>473</v>
      </c>
    </row>
    <row r="725" spans="1:18" ht="12.75" x14ac:dyDescent="0.2">
      <c r="A725" s="3">
        <v>724</v>
      </c>
      <c r="B725" s="26">
        <v>45167</v>
      </c>
      <c r="C725" s="23" t="s">
        <v>35</v>
      </c>
      <c r="D725" s="4">
        <v>4</v>
      </c>
      <c r="E725" s="24" t="s">
        <v>33</v>
      </c>
      <c r="F725" s="5" t="s">
        <v>11</v>
      </c>
      <c r="G725" s="5" t="s">
        <v>11</v>
      </c>
      <c r="H725" s="5" t="s">
        <v>14</v>
      </c>
      <c r="I725" s="5" t="s">
        <v>15</v>
      </c>
      <c r="J725" s="5" t="s">
        <v>54</v>
      </c>
      <c r="K725" s="6">
        <v>5</v>
      </c>
      <c r="L725" s="15">
        <v>55</v>
      </c>
      <c r="M725" s="15">
        <f t="shared" ca="1" si="79"/>
        <v>21</v>
      </c>
      <c r="N725" s="16">
        <f t="shared" ca="1" si="77"/>
        <v>34</v>
      </c>
      <c r="O725" s="18">
        <f t="shared" ca="1" si="76"/>
        <v>0.61818181818181817</v>
      </c>
      <c r="P725" s="19">
        <f t="shared" si="78"/>
        <v>11</v>
      </c>
      <c r="Q725" s="16" t="str">
        <f>IF(COUNTIF($B$2:B725,B725)=1,SUMIF($B$2:$B$1097,B725,$L$2:$L$1097),"")</f>
        <v/>
      </c>
    </row>
    <row r="726" spans="1:18" ht="12.75" x14ac:dyDescent="0.2">
      <c r="A726" s="3">
        <v>725</v>
      </c>
      <c r="B726" s="26">
        <v>45167</v>
      </c>
      <c r="C726" s="23" t="s">
        <v>35</v>
      </c>
      <c r="D726" s="4">
        <v>4</v>
      </c>
      <c r="E726" s="24" t="s">
        <v>33</v>
      </c>
      <c r="F726" s="5" t="s">
        <v>11</v>
      </c>
      <c r="G726" s="5" t="s">
        <v>11</v>
      </c>
      <c r="H726" s="5" t="s">
        <v>14</v>
      </c>
      <c r="I726" s="5" t="s">
        <v>16</v>
      </c>
      <c r="J726" s="5" t="s">
        <v>54</v>
      </c>
      <c r="K726" s="6">
        <v>5</v>
      </c>
      <c r="L726" s="15">
        <v>55</v>
      </c>
      <c r="M726" s="15">
        <f t="shared" ca="1" si="79"/>
        <v>37</v>
      </c>
      <c r="N726" s="16">
        <f t="shared" ca="1" si="77"/>
        <v>18</v>
      </c>
      <c r="O726" s="18">
        <f t="shared" ca="1" si="76"/>
        <v>0.32727272727272727</v>
      </c>
      <c r="P726" s="19">
        <f t="shared" si="78"/>
        <v>11</v>
      </c>
      <c r="Q726" s="16" t="str">
        <f>IF(COUNTIF($B$2:B726,B726)=1,SUMIF($B$2:$B$1097,B726,$L$2:$L$1097),"")</f>
        <v/>
      </c>
    </row>
    <row r="727" spans="1:18" ht="12.75" x14ac:dyDescent="0.2">
      <c r="A727" s="3">
        <v>726</v>
      </c>
      <c r="B727" s="26">
        <v>45167</v>
      </c>
      <c r="C727" s="23" t="s">
        <v>35</v>
      </c>
      <c r="D727" s="4">
        <v>4</v>
      </c>
      <c r="E727" s="24" t="s">
        <v>33</v>
      </c>
      <c r="F727" s="5" t="s">
        <v>11</v>
      </c>
      <c r="G727" s="5" t="s">
        <v>11</v>
      </c>
      <c r="H727" s="5" t="s">
        <v>14</v>
      </c>
      <c r="I727" s="5" t="s">
        <v>17</v>
      </c>
      <c r="J727" s="5" t="s">
        <v>54</v>
      </c>
      <c r="K727" s="6">
        <v>10</v>
      </c>
      <c r="L727" s="15">
        <v>110</v>
      </c>
      <c r="M727" s="15">
        <f t="shared" ca="1" si="79"/>
        <v>4</v>
      </c>
      <c r="N727" s="16">
        <f t="shared" ca="1" si="77"/>
        <v>106</v>
      </c>
      <c r="O727" s="18">
        <f t="shared" ca="1" si="76"/>
        <v>0.96363636363636362</v>
      </c>
      <c r="P727" s="19">
        <f t="shared" si="78"/>
        <v>11</v>
      </c>
      <c r="Q727" s="16" t="str">
        <f>IF(COUNTIF($B$2:B727,B727)=1,SUMIF($B$2:$B$1097,B727,$L$2:$L$1097),"")</f>
        <v/>
      </c>
    </row>
    <row r="728" spans="1:18" ht="12.75" x14ac:dyDescent="0.2">
      <c r="A728" s="3">
        <v>727</v>
      </c>
      <c r="B728" s="26">
        <v>45168</v>
      </c>
      <c r="C728" s="23" t="s">
        <v>35</v>
      </c>
      <c r="D728" s="4">
        <v>5</v>
      </c>
      <c r="E728" s="24" t="s">
        <v>33</v>
      </c>
      <c r="F728" s="5" t="s">
        <v>11</v>
      </c>
      <c r="G728" s="5" t="s">
        <v>11</v>
      </c>
      <c r="H728" s="5" t="s">
        <v>14</v>
      </c>
      <c r="I728" s="5" t="s">
        <v>13</v>
      </c>
      <c r="J728" s="5" t="s">
        <v>56</v>
      </c>
      <c r="K728" s="6">
        <v>17</v>
      </c>
      <c r="L728" s="15">
        <v>187</v>
      </c>
      <c r="M728" s="15">
        <f t="shared" ca="1" si="79"/>
        <v>2</v>
      </c>
      <c r="N728" s="16">
        <f t="shared" ca="1" si="77"/>
        <v>185</v>
      </c>
      <c r="O728" s="18">
        <f t="shared" ca="1" si="76"/>
        <v>0.98930481283422456</v>
      </c>
      <c r="P728" s="19">
        <f t="shared" si="78"/>
        <v>11</v>
      </c>
      <c r="Q728" s="16">
        <f>IF(COUNTIF($B$2:B728,B728)=1,SUMIF($B$2:$B$1097,B728,$L$2:$L$1097),"")</f>
        <v>517</v>
      </c>
      <c r="R728" s="16">
        <f>AVERAGE(Q708:Q728)</f>
        <v>478.5</v>
      </c>
    </row>
    <row r="729" spans="1:18" ht="12.75" x14ac:dyDescent="0.2">
      <c r="A729" s="3">
        <v>728</v>
      </c>
      <c r="B729" s="26">
        <v>45168</v>
      </c>
      <c r="C729" s="23" t="s">
        <v>35</v>
      </c>
      <c r="D729" s="4">
        <v>5</v>
      </c>
      <c r="E729" s="24" t="s">
        <v>33</v>
      </c>
      <c r="F729" s="5" t="s">
        <v>11</v>
      </c>
      <c r="G729" s="5" t="s">
        <v>11</v>
      </c>
      <c r="H729" s="5" t="s">
        <v>14</v>
      </c>
      <c r="I729" s="5" t="s">
        <v>15</v>
      </c>
      <c r="J729" s="5" t="s">
        <v>56</v>
      </c>
      <c r="K729" s="6">
        <v>11</v>
      </c>
      <c r="L729" s="15">
        <v>121</v>
      </c>
      <c r="M729" s="15">
        <f t="shared" ca="1" si="79"/>
        <v>46</v>
      </c>
      <c r="N729" s="16">
        <f t="shared" ca="1" si="77"/>
        <v>75</v>
      </c>
      <c r="O729" s="18">
        <f t="shared" ca="1" si="76"/>
        <v>0.6198347107438017</v>
      </c>
      <c r="P729" s="19">
        <f t="shared" si="78"/>
        <v>11</v>
      </c>
      <c r="Q729" s="16" t="str">
        <f>IF(COUNTIF($B$2:B729,B729)=1,SUMIF($B$2:$B$1097,B729,$L$2:$L$1097),"")</f>
        <v/>
      </c>
    </row>
    <row r="730" spans="1:18" ht="12.75" x14ac:dyDescent="0.2">
      <c r="A730" s="3">
        <v>729</v>
      </c>
      <c r="B730" s="26">
        <v>45168</v>
      </c>
      <c r="C730" s="23" t="s">
        <v>35</v>
      </c>
      <c r="D730" s="4">
        <v>5</v>
      </c>
      <c r="E730" s="24" t="s">
        <v>33</v>
      </c>
      <c r="F730" s="5" t="s">
        <v>11</v>
      </c>
      <c r="G730" s="5" t="s">
        <v>11</v>
      </c>
      <c r="H730" s="5" t="s">
        <v>14</v>
      </c>
      <c r="I730" s="5" t="s">
        <v>16</v>
      </c>
      <c r="J730" s="5" t="s">
        <v>55</v>
      </c>
      <c r="K730" s="6">
        <v>5</v>
      </c>
      <c r="L730" s="15">
        <v>55</v>
      </c>
      <c r="M730" s="15">
        <f t="shared" ca="1" si="79"/>
        <v>47</v>
      </c>
      <c r="N730" s="16">
        <f t="shared" ca="1" si="77"/>
        <v>8</v>
      </c>
      <c r="O730" s="18">
        <f t="shared" ca="1" si="76"/>
        <v>0.14545454545454545</v>
      </c>
      <c r="P730" s="19">
        <f t="shared" si="78"/>
        <v>11</v>
      </c>
      <c r="Q730" s="16" t="str">
        <f>IF(COUNTIF($B$2:B730,B730)=1,SUMIF($B$2:$B$1097,B730,$L$2:$L$1097),"")</f>
        <v/>
      </c>
    </row>
    <row r="731" spans="1:18" ht="12.75" x14ac:dyDescent="0.2">
      <c r="A731" s="3">
        <v>730</v>
      </c>
      <c r="B731" s="26">
        <v>45168</v>
      </c>
      <c r="C731" s="23" t="s">
        <v>35</v>
      </c>
      <c r="D731" s="4">
        <v>5</v>
      </c>
      <c r="E731" s="24" t="s">
        <v>33</v>
      </c>
      <c r="F731" s="5" t="s">
        <v>11</v>
      </c>
      <c r="G731" s="5" t="s">
        <v>11</v>
      </c>
      <c r="H731" s="5" t="s">
        <v>14</v>
      </c>
      <c r="I731" s="5" t="s">
        <v>17</v>
      </c>
      <c r="J731" s="5" t="s">
        <v>53</v>
      </c>
      <c r="K731" s="6">
        <v>14</v>
      </c>
      <c r="L731" s="15">
        <v>154</v>
      </c>
      <c r="M731" s="15">
        <f t="shared" ca="1" si="79"/>
        <v>10</v>
      </c>
      <c r="N731" s="16">
        <f t="shared" ca="1" si="77"/>
        <v>144</v>
      </c>
      <c r="O731" s="18">
        <f t="shared" ca="1" si="76"/>
        <v>0.93506493506493504</v>
      </c>
      <c r="P731" s="19">
        <f t="shared" si="78"/>
        <v>11</v>
      </c>
      <c r="Q731" s="16" t="str">
        <f>IF(COUNTIF($B$2:B731,B731)=1,SUMIF($B$2:$B$1097,B731,$L$2:$L$1097),"")</f>
        <v/>
      </c>
    </row>
    <row r="732" spans="1:18" ht="12.75" x14ac:dyDescent="0.2">
      <c r="A732" s="3">
        <v>731</v>
      </c>
      <c r="B732" s="26">
        <v>45169</v>
      </c>
      <c r="C732" s="23" t="s">
        <v>35</v>
      </c>
      <c r="D732" s="4">
        <v>6</v>
      </c>
      <c r="E732" s="24" t="s">
        <v>33</v>
      </c>
      <c r="F732" s="5" t="s">
        <v>11</v>
      </c>
      <c r="G732" s="5" t="s">
        <v>11</v>
      </c>
      <c r="H732" s="5" t="s">
        <v>14</v>
      </c>
      <c r="I732" s="5" t="s">
        <v>13</v>
      </c>
      <c r="J732" s="5" t="s">
        <v>52</v>
      </c>
      <c r="K732" s="6">
        <v>21</v>
      </c>
      <c r="L732" s="15">
        <v>231</v>
      </c>
      <c r="M732" s="15">
        <f t="shared" ca="1" si="79"/>
        <v>41</v>
      </c>
      <c r="N732" s="16">
        <f t="shared" ca="1" si="77"/>
        <v>190</v>
      </c>
      <c r="O732" s="18">
        <f t="shared" ca="1" si="76"/>
        <v>0.82251082251082253</v>
      </c>
      <c r="P732" s="19">
        <f t="shared" si="78"/>
        <v>11</v>
      </c>
      <c r="Q732" s="16">
        <f>IF(COUNTIF($B$2:B732,B732)=1,SUMIF($B$2:$B$1097,B732,$L$2:$L$1097),"")</f>
        <v>605</v>
      </c>
      <c r="R732" s="16">
        <f>AVERAGE(Q712:Q732)</f>
        <v>478.5</v>
      </c>
    </row>
    <row r="733" spans="1:18" ht="12.75" x14ac:dyDescent="0.2">
      <c r="A733" s="3">
        <v>732</v>
      </c>
      <c r="B733" s="26">
        <v>45169</v>
      </c>
      <c r="C733" s="23" t="s">
        <v>35</v>
      </c>
      <c r="D733" s="4">
        <v>6</v>
      </c>
      <c r="E733" s="24" t="s">
        <v>33</v>
      </c>
      <c r="F733" s="5" t="s">
        <v>11</v>
      </c>
      <c r="G733" s="5" t="s">
        <v>11</v>
      </c>
      <c r="H733" s="5" t="s">
        <v>14</v>
      </c>
      <c r="I733" s="5" t="s">
        <v>15</v>
      </c>
      <c r="J733" s="5" t="s">
        <v>55</v>
      </c>
      <c r="K733" s="6">
        <v>9</v>
      </c>
      <c r="L733" s="15">
        <v>99</v>
      </c>
      <c r="M733" s="15">
        <f t="shared" ca="1" si="79"/>
        <v>21</v>
      </c>
      <c r="N733" s="16">
        <f t="shared" ca="1" si="77"/>
        <v>78</v>
      </c>
      <c r="O733" s="18">
        <f t="shared" ca="1" si="76"/>
        <v>0.78787878787878785</v>
      </c>
      <c r="P733" s="19">
        <f t="shared" si="78"/>
        <v>11</v>
      </c>
      <c r="Q733" s="16" t="str">
        <f>IF(COUNTIF($B$2:B733,B733)=1,SUMIF($B$2:$B$1097,B733,$L$2:$L$1097),"")</f>
        <v/>
      </c>
    </row>
    <row r="734" spans="1:18" ht="12.75" x14ac:dyDescent="0.2">
      <c r="A734" s="3">
        <v>733</v>
      </c>
      <c r="B734" s="26">
        <v>45169</v>
      </c>
      <c r="C734" s="23" t="s">
        <v>35</v>
      </c>
      <c r="D734" s="4">
        <v>6</v>
      </c>
      <c r="E734" s="24" t="s">
        <v>33</v>
      </c>
      <c r="F734" s="5" t="s">
        <v>11</v>
      </c>
      <c r="G734" s="5" t="s">
        <v>11</v>
      </c>
      <c r="H734" s="5" t="s">
        <v>14</v>
      </c>
      <c r="I734" s="5" t="s">
        <v>16</v>
      </c>
      <c r="J734" s="5" t="s">
        <v>55</v>
      </c>
      <c r="K734" s="6">
        <v>8</v>
      </c>
      <c r="L734" s="15">
        <v>88</v>
      </c>
      <c r="M734" s="15">
        <f t="shared" ca="1" si="79"/>
        <v>28</v>
      </c>
      <c r="N734" s="16">
        <f t="shared" ca="1" si="77"/>
        <v>60</v>
      </c>
      <c r="O734" s="18">
        <f t="shared" ca="1" si="76"/>
        <v>0.68181818181818177</v>
      </c>
      <c r="P734" s="19">
        <f t="shared" si="78"/>
        <v>11</v>
      </c>
      <c r="Q734" s="16" t="str">
        <f>IF(COUNTIF($B$2:B734,B734)=1,SUMIF($B$2:$B$1097,B734,$L$2:$L$1097),"")</f>
        <v/>
      </c>
    </row>
    <row r="735" spans="1:18" ht="12.75" x14ac:dyDescent="0.2">
      <c r="A735" s="3">
        <v>734</v>
      </c>
      <c r="B735" s="26">
        <v>45169</v>
      </c>
      <c r="C735" s="23" t="s">
        <v>35</v>
      </c>
      <c r="D735" s="4">
        <v>6</v>
      </c>
      <c r="E735" s="24" t="s">
        <v>33</v>
      </c>
      <c r="F735" s="5" t="s">
        <v>11</v>
      </c>
      <c r="G735" s="5" t="s">
        <v>11</v>
      </c>
      <c r="H735" s="5" t="s">
        <v>14</v>
      </c>
      <c r="I735" s="5" t="s">
        <v>17</v>
      </c>
      <c r="J735" s="5" t="s">
        <v>53</v>
      </c>
      <c r="K735" s="6">
        <v>17</v>
      </c>
      <c r="L735" s="15">
        <v>187</v>
      </c>
      <c r="M735" s="15">
        <f t="shared" ca="1" si="79"/>
        <v>34</v>
      </c>
      <c r="N735" s="16">
        <f t="shared" ca="1" si="77"/>
        <v>153</v>
      </c>
      <c r="O735" s="18">
        <f t="shared" ca="1" si="76"/>
        <v>0.81818181818181823</v>
      </c>
      <c r="P735" s="19">
        <f t="shared" si="78"/>
        <v>11</v>
      </c>
      <c r="Q735" s="16" t="str">
        <f>IF(COUNTIF($B$2:B735,B735)=1,SUMIF($B$2:$B$1097,B735,$L$2:$L$1097),"")</f>
        <v/>
      </c>
    </row>
    <row r="736" spans="1:18" ht="12.75" x14ac:dyDescent="0.2">
      <c r="A736" s="3">
        <v>735</v>
      </c>
      <c r="B736" s="26">
        <v>45170</v>
      </c>
      <c r="C736" s="23" t="s">
        <v>36</v>
      </c>
      <c r="D736" s="4">
        <v>7</v>
      </c>
      <c r="E736" s="24" t="s">
        <v>33</v>
      </c>
      <c r="F736" s="5" t="s">
        <v>11</v>
      </c>
      <c r="G736" s="5" t="s">
        <v>11</v>
      </c>
      <c r="H736" s="5" t="s">
        <v>14</v>
      </c>
      <c r="I736" s="5" t="s">
        <v>13</v>
      </c>
      <c r="J736" s="5" t="s">
        <v>56</v>
      </c>
      <c r="K736" s="6">
        <v>24</v>
      </c>
      <c r="L736" s="15">
        <v>264</v>
      </c>
      <c r="M736" s="15">
        <f t="shared" ca="1" si="79"/>
        <v>17</v>
      </c>
      <c r="N736" s="16">
        <f t="shared" ca="1" si="77"/>
        <v>247</v>
      </c>
      <c r="O736" s="18">
        <f t="shared" ca="1" si="76"/>
        <v>0.93560606060606055</v>
      </c>
      <c r="P736" s="19">
        <f t="shared" si="78"/>
        <v>11</v>
      </c>
      <c r="Q736" s="16">
        <f>IF(COUNTIF($B$2:B736,B736)=1,SUMIF($B$2:$B$1097,B736,$L$2:$L$1097),"")</f>
        <v>264</v>
      </c>
      <c r="R736" s="16">
        <f t="shared" ref="R736:R737" si="81">AVERAGE(Q716:Q736)</f>
        <v>478.5</v>
      </c>
    </row>
    <row r="737" spans="1:18" ht="12.75" x14ac:dyDescent="0.2">
      <c r="A737" s="3">
        <v>736</v>
      </c>
      <c r="B737" s="26">
        <v>45172</v>
      </c>
      <c r="C737" s="23" t="s">
        <v>36</v>
      </c>
      <c r="D737" s="4">
        <v>2</v>
      </c>
      <c r="E737" s="24" t="s">
        <v>33</v>
      </c>
      <c r="F737" s="5" t="s">
        <v>10</v>
      </c>
      <c r="G737" s="5" t="s">
        <v>11</v>
      </c>
      <c r="H737" s="5" t="s">
        <v>37</v>
      </c>
      <c r="I737" s="5" t="s">
        <v>13</v>
      </c>
      <c r="J737" s="5" t="s">
        <v>52</v>
      </c>
      <c r="K737" s="6">
        <v>22</v>
      </c>
      <c r="L737" s="15">
        <v>242</v>
      </c>
      <c r="M737" s="15">
        <f t="shared" ca="1" si="79"/>
        <v>50</v>
      </c>
      <c r="N737" s="16">
        <f t="shared" ca="1" si="77"/>
        <v>192</v>
      </c>
      <c r="O737" s="18">
        <f t="shared" ca="1" si="76"/>
        <v>0.79338842975206614</v>
      </c>
      <c r="P737" s="19">
        <f t="shared" si="78"/>
        <v>11</v>
      </c>
      <c r="Q737" s="16">
        <f>IF(COUNTIF($B$2:B737,B737)=1,SUMIF($B$2:$B$1097,B737,$L$2:$L$1097),"")</f>
        <v>583</v>
      </c>
      <c r="R737" s="16">
        <f t="shared" si="81"/>
        <v>476.66666666666669</v>
      </c>
    </row>
    <row r="738" spans="1:18" ht="12.75" x14ac:dyDescent="0.2">
      <c r="A738" s="3">
        <v>737</v>
      </c>
      <c r="B738" s="26">
        <v>45172</v>
      </c>
      <c r="C738" s="23" t="s">
        <v>36</v>
      </c>
      <c r="D738" s="4">
        <v>2</v>
      </c>
      <c r="E738" s="24" t="s">
        <v>33</v>
      </c>
      <c r="F738" s="5" t="s">
        <v>10</v>
      </c>
      <c r="G738" s="5" t="s">
        <v>11</v>
      </c>
      <c r="H738" s="5" t="s">
        <v>37</v>
      </c>
      <c r="I738" s="5" t="s">
        <v>15</v>
      </c>
      <c r="J738" s="5" t="s">
        <v>54</v>
      </c>
      <c r="K738" s="6">
        <v>8</v>
      </c>
      <c r="L738" s="15">
        <v>88</v>
      </c>
      <c r="M738" s="15">
        <f t="shared" ca="1" si="79"/>
        <v>37</v>
      </c>
      <c r="N738" s="16">
        <f t="shared" ca="1" si="77"/>
        <v>51</v>
      </c>
      <c r="O738" s="18">
        <f t="shared" ca="1" si="76"/>
        <v>0.57954545454545459</v>
      </c>
      <c r="P738" s="19">
        <f t="shared" si="78"/>
        <v>11</v>
      </c>
      <c r="Q738" s="16" t="str">
        <f>IF(COUNTIF($B$2:B738,B738)=1,SUMIF($B$2:$B$1097,B738,$L$2:$L$1097),"")</f>
        <v/>
      </c>
    </row>
    <row r="739" spans="1:18" ht="12.75" x14ac:dyDescent="0.2">
      <c r="A739" s="3">
        <v>738</v>
      </c>
      <c r="B739" s="26">
        <v>45172</v>
      </c>
      <c r="C739" s="23" t="s">
        <v>36</v>
      </c>
      <c r="D739" s="4">
        <v>2</v>
      </c>
      <c r="E739" s="24" t="s">
        <v>33</v>
      </c>
      <c r="F739" s="5" t="s">
        <v>10</v>
      </c>
      <c r="G739" s="5" t="s">
        <v>11</v>
      </c>
      <c r="H739" s="5" t="s">
        <v>37</v>
      </c>
      <c r="I739" s="5" t="s">
        <v>16</v>
      </c>
      <c r="J739" s="5" t="s">
        <v>54</v>
      </c>
      <c r="K739" s="6">
        <v>8</v>
      </c>
      <c r="L739" s="15">
        <v>88</v>
      </c>
      <c r="M739" s="15">
        <f t="shared" ca="1" si="79"/>
        <v>28</v>
      </c>
      <c r="N739" s="16">
        <f t="shared" ca="1" si="77"/>
        <v>60</v>
      </c>
      <c r="O739" s="18">
        <f t="shared" ca="1" si="76"/>
        <v>0.68181818181818177</v>
      </c>
      <c r="P739" s="19">
        <f t="shared" si="78"/>
        <v>11</v>
      </c>
      <c r="Q739" s="16" t="str">
        <f>IF(COUNTIF($B$2:B739,B739)=1,SUMIF($B$2:$B$1097,B739,$L$2:$L$1097),"")</f>
        <v/>
      </c>
    </row>
    <row r="740" spans="1:18" ht="12.75" x14ac:dyDescent="0.2">
      <c r="A740" s="3">
        <v>739</v>
      </c>
      <c r="B740" s="26">
        <v>45172</v>
      </c>
      <c r="C740" s="23" t="s">
        <v>36</v>
      </c>
      <c r="D740" s="4">
        <v>2</v>
      </c>
      <c r="E740" s="24" t="s">
        <v>33</v>
      </c>
      <c r="F740" s="5" t="s">
        <v>10</v>
      </c>
      <c r="G740" s="5" t="s">
        <v>11</v>
      </c>
      <c r="H740" s="5" t="s">
        <v>37</v>
      </c>
      <c r="I740" s="5" t="s">
        <v>17</v>
      </c>
      <c r="J740" s="5" t="s">
        <v>54</v>
      </c>
      <c r="K740" s="6">
        <v>15</v>
      </c>
      <c r="L740" s="15">
        <v>165</v>
      </c>
      <c r="M740" s="15">
        <f t="shared" ca="1" si="79"/>
        <v>25</v>
      </c>
      <c r="N740" s="16">
        <f t="shared" ca="1" si="77"/>
        <v>140</v>
      </c>
      <c r="O740" s="18">
        <f t="shared" ca="1" si="76"/>
        <v>0.84848484848484851</v>
      </c>
      <c r="P740" s="19">
        <f t="shared" si="78"/>
        <v>11</v>
      </c>
      <c r="Q740" s="16" t="str">
        <f>IF(COUNTIF($B$2:B740,B740)=1,SUMIF($B$2:$B$1097,B740,$L$2:$L$1097),"")</f>
        <v/>
      </c>
    </row>
    <row r="741" spans="1:18" ht="12.75" x14ac:dyDescent="0.2">
      <c r="A741" s="3">
        <v>740</v>
      </c>
      <c r="B741" s="26">
        <v>45173</v>
      </c>
      <c r="C741" s="23" t="s">
        <v>36</v>
      </c>
      <c r="D741" s="4">
        <v>3</v>
      </c>
      <c r="E741" s="24" t="s">
        <v>33</v>
      </c>
      <c r="F741" s="5" t="s">
        <v>11</v>
      </c>
      <c r="G741" s="5" t="s">
        <v>11</v>
      </c>
      <c r="H741" s="5" t="s">
        <v>14</v>
      </c>
      <c r="I741" s="5" t="s">
        <v>13</v>
      </c>
      <c r="J741" s="5" t="s">
        <v>56</v>
      </c>
      <c r="K741" s="6">
        <v>15</v>
      </c>
      <c r="L741" s="15">
        <v>165</v>
      </c>
      <c r="M741" s="15">
        <f t="shared" ca="1" si="79"/>
        <v>40</v>
      </c>
      <c r="N741" s="16">
        <f t="shared" ca="1" si="77"/>
        <v>125</v>
      </c>
      <c r="O741" s="18">
        <f t="shared" ca="1" si="76"/>
        <v>0.75757575757575757</v>
      </c>
      <c r="P741" s="19">
        <f t="shared" si="78"/>
        <v>11</v>
      </c>
      <c r="Q741" s="16">
        <f>IF(COUNTIF($B$2:B741,B741)=1,SUMIF($B$2:$B$1097,B741,$L$2:$L$1097),"")</f>
        <v>495</v>
      </c>
      <c r="R741" s="16">
        <f>AVERAGE(Q721:Q741)</f>
        <v>474.83333333333331</v>
      </c>
    </row>
    <row r="742" spans="1:18" ht="12.75" x14ac:dyDescent="0.2">
      <c r="A742" s="3">
        <v>741</v>
      </c>
      <c r="B742" s="26">
        <v>45173</v>
      </c>
      <c r="C742" s="23" t="s">
        <v>36</v>
      </c>
      <c r="D742" s="4">
        <v>3</v>
      </c>
      <c r="E742" s="24" t="s">
        <v>33</v>
      </c>
      <c r="F742" s="5" t="s">
        <v>11</v>
      </c>
      <c r="G742" s="5" t="s">
        <v>11</v>
      </c>
      <c r="H742" s="5" t="s">
        <v>14</v>
      </c>
      <c r="I742" s="5" t="s">
        <v>15</v>
      </c>
      <c r="J742" s="5" t="s">
        <v>56</v>
      </c>
      <c r="K742" s="6">
        <v>10</v>
      </c>
      <c r="L742" s="15">
        <v>110</v>
      </c>
      <c r="M742" s="15">
        <f t="shared" ca="1" si="79"/>
        <v>38</v>
      </c>
      <c r="N742" s="16">
        <f t="shared" ca="1" si="77"/>
        <v>72</v>
      </c>
      <c r="O742" s="18">
        <f t="shared" ca="1" si="76"/>
        <v>0.65454545454545454</v>
      </c>
      <c r="P742" s="19">
        <f t="shared" si="78"/>
        <v>11</v>
      </c>
      <c r="Q742" s="16" t="str">
        <f>IF(COUNTIF($B$2:B742,B742)=1,SUMIF($B$2:$B$1097,B742,$L$2:$L$1097),"")</f>
        <v/>
      </c>
    </row>
    <row r="743" spans="1:18" ht="12.75" x14ac:dyDescent="0.2">
      <c r="A743" s="3">
        <v>742</v>
      </c>
      <c r="B743" s="26">
        <v>45173</v>
      </c>
      <c r="C743" s="23" t="s">
        <v>36</v>
      </c>
      <c r="D743" s="4">
        <v>3</v>
      </c>
      <c r="E743" s="24" t="s">
        <v>33</v>
      </c>
      <c r="F743" s="5" t="s">
        <v>11</v>
      </c>
      <c r="G743" s="5" t="s">
        <v>11</v>
      </c>
      <c r="H743" s="5" t="s">
        <v>14</v>
      </c>
      <c r="I743" s="5" t="s">
        <v>16</v>
      </c>
      <c r="J743" s="5" t="s">
        <v>55</v>
      </c>
      <c r="K743" s="6">
        <v>5</v>
      </c>
      <c r="L743" s="15">
        <v>55</v>
      </c>
      <c r="M743" s="15">
        <f t="shared" ca="1" si="79"/>
        <v>9</v>
      </c>
      <c r="N743" s="16">
        <f t="shared" ca="1" si="77"/>
        <v>46</v>
      </c>
      <c r="O743" s="18">
        <f t="shared" ca="1" si="76"/>
        <v>0.83636363636363631</v>
      </c>
      <c r="P743" s="19">
        <f t="shared" si="78"/>
        <v>11</v>
      </c>
      <c r="Q743" s="16" t="str">
        <f>IF(COUNTIF($B$2:B743,B743)=1,SUMIF($B$2:$B$1097,B743,$L$2:$L$1097),"")</f>
        <v/>
      </c>
    </row>
    <row r="744" spans="1:18" ht="12.75" x14ac:dyDescent="0.2">
      <c r="A744" s="3">
        <v>743</v>
      </c>
      <c r="B744" s="26">
        <v>45173</v>
      </c>
      <c r="C744" s="23" t="s">
        <v>36</v>
      </c>
      <c r="D744" s="4">
        <v>3</v>
      </c>
      <c r="E744" s="24" t="s">
        <v>33</v>
      </c>
      <c r="F744" s="5" t="s">
        <v>11</v>
      </c>
      <c r="G744" s="5" t="s">
        <v>11</v>
      </c>
      <c r="H744" s="5" t="s">
        <v>14</v>
      </c>
      <c r="I744" s="5" t="s">
        <v>17</v>
      </c>
      <c r="J744" s="5" t="s">
        <v>53</v>
      </c>
      <c r="K744" s="6">
        <v>15</v>
      </c>
      <c r="L744" s="15">
        <v>165</v>
      </c>
      <c r="M744" s="15">
        <f t="shared" ca="1" si="79"/>
        <v>39</v>
      </c>
      <c r="N744" s="16">
        <f t="shared" ca="1" si="77"/>
        <v>126</v>
      </c>
      <c r="O744" s="18">
        <f t="shared" ca="1" si="76"/>
        <v>0.76363636363636367</v>
      </c>
      <c r="P744" s="19">
        <f t="shared" si="78"/>
        <v>11</v>
      </c>
      <c r="Q744" s="16" t="str">
        <f>IF(COUNTIF($B$2:B744,B744)=1,SUMIF($B$2:$B$1097,B744,$L$2:$L$1097),"")</f>
        <v/>
      </c>
    </row>
    <row r="745" spans="1:18" ht="12.75" x14ac:dyDescent="0.2">
      <c r="A745" s="3">
        <v>744</v>
      </c>
      <c r="B745" s="26">
        <v>45174</v>
      </c>
      <c r="C745" s="23" t="s">
        <v>36</v>
      </c>
      <c r="D745" s="4">
        <v>4</v>
      </c>
      <c r="E745" s="24" t="s">
        <v>33</v>
      </c>
      <c r="F745" s="5" t="s">
        <v>11</v>
      </c>
      <c r="G745" s="5" t="s">
        <v>11</v>
      </c>
      <c r="H745" s="5" t="s">
        <v>14</v>
      </c>
      <c r="I745" s="5" t="s">
        <v>13</v>
      </c>
      <c r="J745" s="5" t="s">
        <v>52</v>
      </c>
      <c r="K745" s="6">
        <v>17</v>
      </c>
      <c r="L745" s="15">
        <v>187</v>
      </c>
      <c r="M745" s="15">
        <f t="shared" ca="1" si="79"/>
        <v>39</v>
      </c>
      <c r="N745" s="16">
        <f t="shared" ca="1" si="77"/>
        <v>148</v>
      </c>
      <c r="O745" s="18">
        <f t="shared" ca="1" si="76"/>
        <v>0.79144385026737973</v>
      </c>
      <c r="P745" s="19">
        <f t="shared" si="78"/>
        <v>11</v>
      </c>
      <c r="Q745" s="16">
        <f>IF(COUNTIF($B$2:B745,B745)=1,SUMIF($B$2:$B$1097,B745,$L$2:$L$1097),"")</f>
        <v>440</v>
      </c>
      <c r="R745" s="16">
        <f>AVERAGE(Q725:Q745)</f>
        <v>484</v>
      </c>
    </row>
    <row r="746" spans="1:18" ht="12.75" x14ac:dyDescent="0.2">
      <c r="A746" s="3">
        <v>745</v>
      </c>
      <c r="B746" s="26">
        <v>45174</v>
      </c>
      <c r="C746" s="23" t="s">
        <v>36</v>
      </c>
      <c r="D746" s="4">
        <v>4</v>
      </c>
      <c r="E746" s="24" t="s">
        <v>33</v>
      </c>
      <c r="F746" s="5" t="s">
        <v>11</v>
      </c>
      <c r="G746" s="5" t="s">
        <v>11</v>
      </c>
      <c r="H746" s="5" t="s">
        <v>14</v>
      </c>
      <c r="I746" s="5" t="s">
        <v>15</v>
      </c>
      <c r="J746" s="5" t="s">
        <v>54</v>
      </c>
      <c r="K746" s="6">
        <v>6</v>
      </c>
      <c r="L746" s="15">
        <v>66</v>
      </c>
      <c r="M746" s="15">
        <f t="shared" ca="1" si="79"/>
        <v>14</v>
      </c>
      <c r="N746" s="16">
        <f t="shared" ca="1" si="77"/>
        <v>52</v>
      </c>
      <c r="O746" s="18">
        <f t="shared" ca="1" si="76"/>
        <v>0.78787878787878785</v>
      </c>
      <c r="P746" s="19">
        <f t="shared" si="78"/>
        <v>11</v>
      </c>
      <c r="Q746" s="16" t="str">
        <f>IF(COUNTIF($B$2:B746,B746)=1,SUMIF($B$2:$B$1097,B746,$L$2:$L$1097),"")</f>
        <v/>
      </c>
    </row>
    <row r="747" spans="1:18" ht="12.75" x14ac:dyDescent="0.2">
      <c r="A747" s="3">
        <v>746</v>
      </c>
      <c r="B747" s="26">
        <v>45174</v>
      </c>
      <c r="C747" s="23" t="s">
        <v>36</v>
      </c>
      <c r="D747" s="4">
        <v>4</v>
      </c>
      <c r="E747" s="24" t="s">
        <v>33</v>
      </c>
      <c r="F747" s="5" t="s">
        <v>11</v>
      </c>
      <c r="G747" s="5" t="s">
        <v>11</v>
      </c>
      <c r="H747" s="5" t="s">
        <v>14</v>
      </c>
      <c r="I747" s="5" t="s">
        <v>16</v>
      </c>
      <c r="J747" s="5" t="s">
        <v>54</v>
      </c>
      <c r="K747" s="6">
        <v>5</v>
      </c>
      <c r="L747" s="15">
        <v>55</v>
      </c>
      <c r="M747" s="15">
        <f t="shared" ca="1" si="79"/>
        <v>8</v>
      </c>
      <c r="N747" s="16">
        <f t="shared" ca="1" si="77"/>
        <v>47</v>
      </c>
      <c r="O747" s="18">
        <f t="shared" ca="1" si="76"/>
        <v>0.8545454545454545</v>
      </c>
      <c r="P747" s="19">
        <f t="shared" si="78"/>
        <v>11</v>
      </c>
      <c r="Q747" s="16" t="str">
        <f>IF(COUNTIF($B$2:B747,B747)=1,SUMIF($B$2:$B$1097,B747,$L$2:$L$1097),"")</f>
        <v/>
      </c>
    </row>
    <row r="748" spans="1:18" ht="12.75" x14ac:dyDescent="0.2">
      <c r="A748" s="3">
        <v>747</v>
      </c>
      <c r="B748" s="26">
        <v>45174</v>
      </c>
      <c r="C748" s="23" t="s">
        <v>36</v>
      </c>
      <c r="D748" s="4">
        <v>4</v>
      </c>
      <c r="E748" s="24" t="s">
        <v>33</v>
      </c>
      <c r="F748" s="5" t="s">
        <v>11</v>
      </c>
      <c r="G748" s="5" t="s">
        <v>11</v>
      </c>
      <c r="H748" s="5" t="s">
        <v>14</v>
      </c>
      <c r="I748" s="5" t="s">
        <v>17</v>
      </c>
      <c r="J748" s="5" t="s">
        <v>54</v>
      </c>
      <c r="K748" s="6">
        <v>12</v>
      </c>
      <c r="L748" s="15">
        <v>132</v>
      </c>
      <c r="M748" s="15">
        <f t="shared" ca="1" si="79"/>
        <v>2</v>
      </c>
      <c r="N748" s="16">
        <f t="shared" ca="1" si="77"/>
        <v>130</v>
      </c>
      <c r="O748" s="18">
        <f t="shared" ca="1" si="76"/>
        <v>0.98484848484848486</v>
      </c>
      <c r="P748" s="19">
        <f t="shared" si="78"/>
        <v>11</v>
      </c>
      <c r="Q748" s="16" t="str">
        <f>IF(COUNTIF($B$2:B748,B748)=1,SUMIF($B$2:$B$1097,B748,$L$2:$L$1097),"")</f>
        <v/>
      </c>
    </row>
    <row r="749" spans="1:18" ht="12.75" x14ac:dyDescent="0.2">
      <c r="A749" s="3">
        <v>748</v>
      </c>
      <c r="B749" s="26">
        <v>45175</v>
      </c>
      <c r="C749" s="23" t="s">
        <v>36</v>
      </c>
      <c r="D749" s="4">
        <v>5</v>
      </c>
      <c r="E749" s="24" t="s">
        <v>33</v>
      </c>
      <c r="F749" s="5" t="s">
        <v>11</v>
      </c>
      <c r="G749" s="5" t="s">
        <v>11</v>
      </c>
      <c r="H749" s="5" t="s">
        <v>14</v>
      </c>
      <c r="I749" s="5" t="s">
        <v>13</v>
      </c>
      <c r="J749" s="5" t="s">
        <v>56</v>
      </c>
      <c r="K749" s="6">
        <v>15</v>
      </c>
      <c r="L749" s="15">
        <v>165</v>
      </c>
      <c r="M749" s="15">
        <f t="shared" ca="1" si="79"/>
        <v>6</v>
      </c>
      <c r="N749" s="16">
        <f t="shared" ca="1" si="77"/>
        <v>159</v>
      </c>
      <c r="O749" s="18">
        <f t="shared" ca="1" si="76"/>
        <v>0.96363636363636362</v>
      </c>
      <c r="P749" s="19">
        <f t="shared" si="78"/>
        <v>11</v>
      </c>
      <c r="Q749" s="16">
        <f>IF(COUNTIF($B$2:B749,B749)=1,SUMIF($B$2:$B$1097,B749,$L$2:$L$1097),"")</f>
        <v>484</v>
      </c>
      <c r="R749" s="16">
        <f>AVERAGE(Q729:Q749)</f>
        <v>478.5</v>
      </c>
    </row>
    <row r="750" spans="1:18" ht="12.75" x14ac:dyDescent="0.2">
      <c r="A750" s="3">
        <v>749</v>
      </c>
      <c r="B750" s="26">
        <v>45175</v>
      </c>
      <c r="C750" s="23" t="s">
        <v>36</v>
      </c>
      <c r="D750" s="4">
        <v>5</v>
      </c>
      <c r="E750" s="24" t="s">
        <v>33</v>
      </c>
      <c r="F750" s="5" t="s">
        <v>11</v>
      </c>
      <c r="G750" s="5" t="s">
        <v>11</v>
      </c>
      <c r="H750" s="5" t="s">
        <v>14</v>
      </c>
      <c r="I750" s="5" t="s">
        <v>15</v>
      </c>
      <c r="J750" s="5" t="s">
        <v>56</v>
      </c>
      <c r="K750" s="6">
        <v>11</v>
      </c>
      <c r="L750" s="15">
        <v>121</v>
      </c>
      <c r="M750" s="15">
        <f t="shared" ca="1" si="79"/>
        <v>10</v>
      </c>
      <c r="N750" s="16">
        <f t="shared" ca="1" si="77"/>
        <v>111</v>
      </c>
      <c r="O750" s="18">
        <f t="shared" ca="1" si="76"/>
        <v>0.9173553719008265</v>
      </c>
      <c r="P750" s="19">
        <f t="shared" si="78"/>
        <v>11</v>
      </c>
      <c r="Q750" s="16" t="str">
        <f>IF(COUNTIF($B$2:B750,B750)=1,SUMIF($B$2:$B$1097,B750,$L$2:$L$1097),"")</f>
        <v/>
      </c>
    </row>
    <row r="751" spans="1:18" ht="12.75" x14ac:dyDescent="0.2">
      <c r="A751" s="3">
        <v>750</v>
      </c>
      <c r="B751" s="26">
        <v>45175</v>
      </c>
      <c r="C751" s="23" t="s">
        <v>36</v>
      </c>
      <c r="D751" s="4">
        <v>5</v>
      </c>
      <c r="E751" s="24" t="s">
        <v>33</v>
      </c>
      <c r="F751" s="5" t="s">
        <v>11</v>
      </c>
      <c r="G751" s="5" t="s">
        <v>11</v>
      </c>
      <c r="H751" s="5" t="s">
        <v>14</v>
      </c>
      <c r="I751" s="5" t="s">
        <v>16</v>
      </c>
      <c r="J751" s="5" t="s">
        <v>55</v>
      </c>
      <c r="K751" s="6">
        <v>5</v>
      </c>
      <c r="L751" s="15">
        <v>55</v>
      </c>
      <c r="M751" s="15">
        <f t="shared" ca="1" si="79"/>
        <v>46</v>
      </c>
      <c r="N751" s="16">
        <f t="shared" ca="1" si="77"/>
        <v>9</v>
      </c>
      <c r="O751" s="18">
        <f t="shared" ca="1" si="76"/>
        <v>0.16363636363636364</v>
      </c>
      <c r="P751" s="19">
        <f t="shared" si="78"/>
        <v>11</v>
      </c>
      <c r="Q751" s="16" t="str">
        <f>IF(COUNTIF($B$2:B751,B751)=1,SUMIF($B$2:$B$1097,B751,$L$2:$L$1097),"")</f>
        <v/>
      </c>
    </row>
    <row r="752" spans="1:18" ht="12.75" x14ac:dyDescent="0.2">
      <c r="A752" s="3">
        <v>751</v>
      </c>
      <c r="B752" s="26">
        <v>45175</v>
      </c>
      <c r="C752" s="23" t="s">
        <v>36</v>
      </c>
      <c r="D752" s="4">
        <v>5</v>
      </c>
      <c r="E752" s="24" t="s">
        <v>33</v>
      </c>
      <c r="F752" s="5" t="s">
        <v>11</v>
      </c>
      <c r="G752" s="5" t="s">
        <v>11</v>
      </c>
      <c r="H752" s="5" t="s">
        <v>14</v>
      </c>
      <c r="I752" s="5" t="s">
        <v>17</v>
      </c>
      <c r="J752" s="5" t="s">
        <v>53</v>
      </c>
      <c r="K752" s="6">
        <v>13</v>
      </c>
      <c r="L752" s="15">
        <v>143</v>
      </c>
      <c r="M752" s="15">
        <f t="shared" ca="1" si="79"/>
        <v>18</v>
      </c>
      <c r="N752" s="16">
        <f t="shared" ca="1" si="77"/>
        <v>125</v>
      </c>
      <c r="O752" s="18">
        <f t="shared" ca="1" si="76"/>
        <v>0.87412587412587417</v>
      </c>
      <c r="P752" s="19">
        <f t="shared" si="78"/>
        <v>11</v>
      </c>
      <c r="Q752" s="16" t="str">
        <f>IF(COUNTIF($B$2:B752,B752)=1,SUMIF($B$2:$B$1097,B752,$L$2:$L$1097),"")</f>
        <v/>
      </c>
    </row>
    <row r="753" spans="1:18" ht="12.75" x14ac:dyDescent="0.2">
      <c r="A753" s="3">
        <v>752</v>
      </c>
      <c r="B753" s="26">
        <v>45176</v>
      </c>
      <c r="C753" s="23" t="s">
        <v>36</v>
      </c>
      <c r="D753" s="4">
        <v>6</v>
      </c>
      <c r="E753" s="24" t="s">
        <v>33</v>
      </c>
      <c r="F753" s="5" t="s">
        <v>11</v>
      </c>
      <c r="G753" s="5" t="s">
        <v>11</v>
      </c>
      <c r="H753" s="5" t="s">
        <v>14</v>
      </c>
      <c r="I753" s="5" t="s">
        <v>13</v>
      </c>
      <c r="J753" s="5" t="s">
        <v>52</v>
      </c>
      <c r="K753" s="6">
        <v>22</v>
      </c>
      <c r="L753" s="15">
        <v>242</v>
      </c>
      <c r="M753" s="15">
        <f t="shared" ca="1" si="79"/>
        <v>6</v>
      </c>
      <c r="N753" s="16">
        <f t="shared" ca="1" si="77"/>
        <v>236</v>
      </c>
      <c r="O753" s="18">
        <f t="shared" ca="1" si="76"/>
        <v>0.97520661157024791</v>
      </c>
      <c r="P753" s="19">
        <f t="shared" si="78"/>
        <v>11</v>
      </c>
      <c r="Q753" s="16">
        <f>IF(COUNTIF($B$2:B753,B753)=1,SUMIF($B$2:$B$1097,B753,$L$2:$L$1097),"")</f>
        <v>638</v>
      </c>
      <c r="R753" s="16">
        <f>AVERAGE(Q733:Q753)</f>
        <v>484</v>
      </c>
    </row>
    <row r="754" spans="1:18" ht="12.75" x14ac:dyDescent="0.2">
      <c r="A754" s="3">
        <v>753</v>
      </c>
      <c r="B754" s="26">
        <v>45176</v>
      </c>
      <c r="C754" s="23" t="s">
        <v>36</v>
      </c>
      <c r="D754" s="4">
        <v>6</v>
      </c>
      <c r="E754" s="24" t="s">
        <v>33</v>
      </c>
      <c r="F754" s="5" t="s">
        <v>11</v>
      </c>
      <c r="G754" s="5" t="s">
        <v>11</v>
      </c>
      <c r="H754" s="5" t="s">
        <v>14</v>
      </c>
      <c r="I754" s="5" t="s">
        <v>15</v>
      </c>
      <c r="J754" s="5" t="s">
        <v>55</v>
      </c>
      <c r="K754" s="6">
        <v>10</v>
      </c>
      <c r="L754" s="15">
        <v>110</v>
      </c>
      <c r="M754" s="15">
        <f t="shared" ca="1" si="79"/>
        <v>47</v>
      </c>
      <c r="N754" s="16">
        <f t="shared" ca="1" si="77"/>
        <v>63</v>
      </c>
      <c r="O754" s="18">
        <f t="shared" ca="1" si="76"/>
        <v>0.57272727272727275</v>
      </c>
      <c r="P754" s="19">
        <f t="shared" si="78"/>
        <v>11</v>
      </c>
      <c r="Q754" s="16" t="str">
        <f>IF(COUNTIF($B$2:B754,B754)=1,SUMIF($B$2:$B$1097,B754,$L$2:$L$1097),"")</f>
        <v/>
      </c>
    </row>
    <row r="755" spans="1:18" ht="12.75" x14ac:dyDescent="0.2">
      <c r="A755" s="3">
        <v>754</v>
      </c>
      <c r="B755" s="26">
        <v>45176</v>
      </c>
      <c r="C755" s="23" t="s">
        <v>36</v>
      </c>
      <c r="D755" s="4">
        <v>6</v>
      </c>
      <c r="E755" s="24" t="s">
        <v>33</v>
      </c>
      <c r="F755" s="5" t="s">
        <v>11</v>
      </c>
      <c r="G755" s="5" t="s">
        <v>11</v>
      </c>
      <c r="H755" s="5" t="s">
        <v>14</v>
      </c>
      <c r="I755" s="5" t="s">
        <v>16</v>
      </c>
      <c r="J755" s="5" t="s">
        <v>55</v>
      </c>
      <c r="K755" s="6">
        <v>10</v>
      </c>
      <c r="L755" s="15">
        <v>110</v>
      </c>
      <c r="M755" s="15">
        <f t="shared" ca="1" si="79"/>
        <v>18</v>
      </c>
      <c r="N755" s="16">
        <f t="shared" ca="1" si="77"/>
        <v>92</v>
      </c>
      <c r="O755" s="18">
        <f t="shared" ca="1" si="76"/>
        <v>0.83636363636363631</v>
      </c>
      <c r="P755" s="19">
        <f t="shared" si="78"/>
        <v>11</v>
      </c>
      <c r="Q755" s="16" t="str">
        <f>IF(COUNTIF($B$2:B755,B755)=1,SUMIF($B$2:$B$1097,B755,$L$2:$L$1097),"")</f>
        <v/>
      </c>
    </row>
    <row r="756" spans="1:18" ht="12.75" x14ac:dyDescent="0.2">
      <c r="A756" s="3">
        <v>755</v>
      </c>
      <c r="B756" s="26">
        <v>45176</v>
      </c>
      <c r="C756" s="23" t="s">
        <v>36</v>
      </c>
      <c r="D756" s="4">
        <v>6</v>
      </c>
      <c r="E756" s="24" t="s">
        <v>33</v>
      </c>
      <c r="F756" s="5" t="s">
        <v>11</v>
      </c>
      <c r="G756" s="5" t="s">
        <v>11</v>
      </c>
      <c r="H756" s="5" t="s">
        <v>14</v>
      </c>
      <c r="I756" s="5" t="s">
        <v>17</v>
      </c>
      <c r="J756" s="5" t="s">
        <v>53</v>
      </c>
      <c r="K756" s="6">
        <v>16</v>
      </c>
      <c r="L756" s="15">
        <v>176</v>
      </c>
      <c r="M756" s="15">
        <f t="shared" ca="1" si="79"/>
        <v>34</v>
      </c>
      <c r="N756" s="16">
        <f t="shared" ca="1" si="77"/>
        <v>142</v>
      </c>
      <c r="O756" s="18">
        <f t="shared" ca="1" si="76"/>
        <v>0.80681818181818177</v>
      </c>
      <c r="P756" s="19">
        <f t="shared" si="78"/>
        <v>11</v>
      </c>
      <c r="Q756" s="16" t="str">
        <f>IF(COUNTIF($B$2:B756,B756)=1,SUMIF($B$2:$B$1097,B756,$L$2:$L$1097),"")</f>
        <v/>
      </c>
    </row>
    <row r="757" spans="1:18" ht="12.75" x14ac:dyDescent="0.2">
      <c r="A757" s="3">
        <v>756</v>
      </c>
      <c r="B757" s="26">
        <v>45177</v>
      </c>
      <c r="C757" s="23" t="s">
        <v>36</v>
      </c>
      <c r="D757" s="4">
        <v>7</v>
      </c>
      <c r="E757" s="24" t="s">
        <v>33</v>
      </c>
      <c r="F757" s="5" t="s">
        <v>11</v>
      </c>
      <c r="G757" s="5" t="s">
        <v>11</v>
      </c>
      <c r="H757" s="5" t="s">
        <v>14</v>
      </c>
      <c r="I757" s="5" t="s">
        <v>13</v>
      </c>
      <c r="J757" s="5" t="s">
        <v>56</v>
      </c>
      <c r="K757" s="6">
        <v>19</v>
      </c>
      <c r="L757" s="15">
        <v>209</v>
      </c>
      <c r="M757" s="15">
        <f t="shared" ca="1" si="79"/>
        <v>1</v>
      </c>
      <c r="N757" s="16">
        <f t="shared" ca="1" si="77"/>
        <v>208</v>
      </c>
      <c r="O757" s="18">
        <f t="shared" ca="1" si="76"/>
        <v>0.99521531100478466</v>
      </c>
      <c r="P757" s="19">
        <f t="shared" si="78"/>
        <v>11</v>
      </c>
      <c r="Q757" s="16">
        <f>IF(COUNTIF($B$2:B757,B757)=1,SUMIF($B$2:$B$1097,B757,$L$2:$L$1097),"")</f>
        <v>209</v>
      </c>
      <c r="R757" s="16">
        <f t="shared" ref="R757:R758" si="82">AVERAGE(Q737:Q757)</f>
        <v>474.83333333333331</v>
      </c>
    </row>
    <row r="758" spans="1:18" ht="12.75" x14ac:dyDescent="0.2">
      <c r="A758" s="3">
        <v>757</v>
      </c>
      <c r="B758" s="26">
        <v>45179</v>
      </c>
      <c r="C758" s="23" t="s">
        <v>36</v>
      </c>
      <c r="D758" s="4">
        <v>2</v>
      </c>
      <c r="E758" s="24" t="s">
        <v>33</v>
      </c>
      <c r="F758" s="5" t="s">
        <v>11</v>
      </c>
      <c r="G758" s="5" t="s">
        <v>11</v>
      </c>
      <c r="H758" s="5" t="s">
        <v>14</v>
      </c>
      <c r="I758" s="5" t="s">
        <v>13</v>
      </c>
      <c r="J758" s="5" t="s">
        <v>52</v>
      </c>
      <c r="K758" s="6">
        <v>23</v>
      </c>
      <c r="L758" s="15">
        <v>253</v>
      </c>
      <c r="M758" s="15">
        <f t="shared" ca="1" si="79"/>
        <v>29</v>
      </c>
      <c r="N758" s="16">
        <f t="shared" ca="1" si="77"/>
        <v>224</v>
      </c>
      <c r="O758" s="18">
        <f t="shared" ca="1" si="76"/>
        <v>0.88537549407114624</v>
      </c>
      <c r="P758" s="19">
        <f t="shared" si="78"/>
        <v>11</v>
      </c>
      <c r="Q758" s="16">
        <f>IF(COUNTIF($B$2:B758,B758)=1,SUMIF($B$2:$B$1097,B758,$L$2:$L$1097),"")</f>
        <v>649</v>
      </c>
      <c r="R758" s="16">
        <f t="shared" si="82"/>
        <v>485.83333333333331</v>
      </c>
    </row>
    <row r="759" spans="1:18" ht="12.75" x14ac:dyDescent="0.2">
      <c r="A759" s="3">
        <v>758</v>
      </c>
      <c r="B759" s="26">
        <v>45179</v>
      </c>
      <c r="C759" s="23" t="s">
        <v>36</v>
      </c>
      <c r="D759" s="4">
        <v>2</v>
      </c>
      <c r="E759" s="24" t="s">
        <v>33</v>
      </c>
      <c r="F759" s="5" t="s">
        <v>11</v>
      </c>
      <c r="G759" s="5" t="s">
        <v>11</v>
      </c>
      <c r="H759" s="5" t="s">
        <v>14</v>
      </c>
      <c r="I759" s="5" t="s">
        <v>15</v>
      </c>
      <c r="J759" s="5" t="s">
        <v>54</v>
      </c>
      <c r="K759" s="6">
        <v>11</v>
      </c>
      <c r="L759" s="15">
        <v>121</v>
      </c>
      <c r="M759" s="15">
        <f t="shared" ca="1" si="79"/>
        <v>50</v>
      </c>
      <c r="N759" s="16">
        <f t="shared" ca="1" si="77"/>
        <v>71</v>
      </c>
      <c r="O759" s="18">
        <f t="shared" ca="1" si="76"/>
        <v>0.58677685950413228</v>
      </c>
      <c r="P759" s="19">
        <f t="shared" si="78"/>
        <v>11</v>
      </c>
      <c r="Q759" s="16" t="str">
        <f>IF(COUNTIF($B$2:B759,B759)=1,SUMIF($B$2:$B$1097,B759,$L$2:$L$1097),"")</f>
        <v/>
      </c>
    </row>
    <row r="760" spans="1:18" ht="12.75" x14ac:dyDescent="0.2">
      <c r="A760" s="3">
        <v>759</v>
      </c>
      <c r="B760" s="26">
        <v>45179</v>
      </c>
      <c r="C760" s="23" t="s">
        <v>36</v>
      </c>
      <c r="D760" s="4">
        <v>2</v>
      </c>
      <c r="E760" s="24" t="s">
        <v>33</v>
      </c>
      <c r="F760" s="5" t="s">
        <v>11</v>
      </c>
      <c r="G760" s="5" t="s">
        <v>11</v>
      </c>
      <c r="H760" s="5" t="s">
        <v>14</v>
      </c>
      <c r="I760" s="5" t="s">
        <v>16</v>
      </c>
      <c r="J760" s="5" t="s">
        <v>54</v>
      </c>
      <c r="K760" s="6">
        <v>9</v>
      </c>
      <c r="L760" s="15">
        <v>99</v>
      </c>
      <c r="M760" s="15">
        <f t="shared" ca="1" si="79"/>
        <v>30</v>
      </c>
      <c r="N760" s="16">
        <f t="shared" ca="1" si="77"/>
        <v>69</v>
      </c>
      <c r="O760" s="18">
        <f t="shared" ca="1" si="76"/>
        <v>0.69696969696969702</v>
      </c>
      <c r="P760" s="19">
        <f t="shared" si="78"/>
        <v>11</v>
      </c>
      <c r="Q760" s="16" t="str">
        <f>IF(COUNTIF($B$2:B760,B760)=1,SUMIF($B$2:$B$1097,B760,$L$2:$L$1097),"")</f>
        <v/>
      </c>
    </row>
    <row r="761" spans="1:18" ht="12.75" x14ac:dyDescent="0.2">
      <c r="A761" s="3">
        <v>760</v>
      </c>
      <c r="B761" s="26">
        <v>45179</v>
      </c>
      <c r="C761" s="23" t="s">
        <v>36</v>
      </c>
      <c r="D761" s="4">
        <v>2</v>
      </c>
      <c r="E761" s="24" t="s">
        <v>33</v>
      </c>
      <c r="F761" s="5" t="s">
        <v>11</v>
      </c>
      <c r="G761" s="5" t="s">
        <v>11</v>
      </c>
      <c r="H761" s="5" t="s">
        <v>14</v>
      </c>
      <c r="I761" s="5" t="s">
        <v>17</v>
      </c>
      <c r="J761" s="5" t="s">
        <v>54</v>
      </c>
      <c r="K761" s="6">
        <v>16</v>
      </c>
      <c r="L761" s="15">
        <v>176</v>
      </c>
      <c r="M761" s="15">
        <f t="shared" ca="1" si="79"/>
        <v>50</v>
      </c>
      <c r="N761" s="16">
        <f t="shared" ca="1" si="77"/>
        <v>126</v>
      </c>
      <c r="O761" s="18">
        <f t="shared" ca="1" si="76"/>
        <v>0.71590909090909094</v>
      </c>
      <c r="P761" s="19">
        <f t="shared" si="78"/>
        <v>11</v>
      </c>
      <c r="Q761" s="16" t="str">
        <f>IF(COUNTIF($B$2:B761,B761)=1,SUMIF($B$2:$B$1097,B761,$L$2:$L$1097),"")</f>
        <v/>
      </c>
    </row>
    <row r="762" spans="1:18" ht="12.75" x14ac:dyDescent="0.2">
      <c r="A762" s="3">
        <v>761</v>
      </c>
      <c r="B762" s="26">
        <v>45180</v>
      </c>
      <c r="C762" s="23" t="s">
        <v>36</v>
      </c>
      <c r="D762" s="4">
        <v>3</v>
      </c>
      <c r="E762" s="24" t="s">
        <v>33</v>
      </c>
      <c r="F762" s="5" t="s">
        <v>11</v>
      </c>
      <c r="G762" s="5" t="s">
        <v>11</v>
      </c>
      <c r="H762" s="5" t="s">
        <v>14</v>
      </c>
      <c r="I762" s="5" t="s">
        <v>13</v>
      </c>
      <c r="J762" s="5" t="s">
        <v>56</v>
      </c>
      <c r="K762" s="6">
        <v>17</v>
      </c>
      <c r="L762" s="15">
        <v>187</v>
      </c>
      <c r="M762" s="15">
        <f t="shared" ca="1" si="79"/>
        <v>39</v>
      </c>
      <c r="N762" s="16">
        <f t="shared" ca="1" si="77"/>
        <v>148</v>
      </c>
      <c r="O762" s="18">
        <f t="shared" ca="1" si="76"/>
        <v>0.79144385026737973</v>
      </c>
      <c r="P762" s="19">
        <f t="shared" si="78"/>
        <v>11</v>
      </c>
      <c r="Q762" s="16">
        <f>IF(COUNTIF($B$2:B762,B762)=1,SUMIF($B$2:$B$1097,B762,$L$2:$L$1097),"")</f>
        <v>517</v>
      </c>
      <c r="R762" s="16">
        <f>AVERAGE(Q742:Q762)</f>
        <v>489.5</v>
      </c>
    </row>
    <row r="763" spans="1:18" ht="12.75" x14ac:dyDescent="0.2">
      <c r="A763" s="3">
        <v>762</v>
      </c>
      <c r="B763" s="26">
        <v>45180</v>
      </c>
      <c r="C763" s="23" t="s">
        <v>36</v>
      </c>
      <c r="D763" s="4">
        <v>3</v>
      </c>
      <c r="E763" s="24" t="s">
        <v>33</v>
      </c>
      <c r="F763" s="5" t="s">
        <v>11</v>
      </c>
      <c r="G763" s="5" t="s">
        <v>11</v>
      </c>
      <c r="H763" s="5" t="s">
        <v>14</v>
      </c>
      <c r="I763" s="5" t="s">
        <v>15</v>
      </c>
      <c r="J763" s="5" t="s">
        <v>56</v>
      </c>
      <c r="K763" s="6">
        <v>12</v>
      </c>
      <c r="L763" s="15">
        <v>132</v>
      </c>
      <c r="M763" s="15">
        <f t="shared" ca="1" si="79"/>
        <v>4</v>
      </c>
      <c r="N763" s="16">
        <f t="shared" ca="1" si="77"/>
        <v>128</v>
      </c>
      <c r="O763" s="18">
        <f t="shared" ca="1" si="76"/>
        <v>0.96969696969696972</v>
      </c>
      <c r="P763" s="19">
        <f t="shared" si="78"/>
        <v>11</v>
      </c>
      <c r="Q763" s="16" t="str">
        <f>IF(COUNTIF($B$2:B763,B763)=1,SUMIF($B$2:$B$1097,B763,$L$2:$L$1097),"")</f>
        <v/>
      </c>
    </row>
    <row r="764" spans="1:18" ht="12.75" x14ac:dyDescent="0.2">
      <c r="A764" s="3">
        <v>763</v>
      </c>
      <c r="B764" s="26">
        <v>45180</v>
      </c>
      <c r="C764" s="23" t="s">
        <v>36</v>
      </c>
      <c r="D764" s="4">
        <v>3</v>
      </c>
      <c r="E764" s="24" t="s">
        <v>33</v>
      </c>
      <c r="F764" s="5" t="s">
        <v>11</v>
      </c>
      <c r="G764" s="5" t="s">
        <v>11</v>
      </c>
      <c r="H764" s="5" t="s">
        <v>14</v>
      </c>
      <c r="I764" s="5" t="s">
        <v>16</v>
      </c>
      <c r="J764" s="5" t="s">
        <v>55</v>
      </c>
      <c r="K764" s="6">
        <v>5</v>
      </c>
      <c r="L764" s="15">
        <v>55</v>
      </c>
      <c r="M764" s="15">
        <f t="shared" ca="1" si="79"/>
        <v>4</v>
      </c>
      <c r="N764" s="16">
        <f t="shared" ca="1" si="77"/>
        <v>51</v>
      </c>
      <c r="O764" s="18">
        <f t="shared" ca="1" si="76"/>
        <v>0.92727272727272725</v>
      </c>
      <c r="P764" s="19">
        <f t="shared" si="78"/>
        <v>11</v>
      </c>
      <c r="Q764" s="16" t="str">
        <f>IF(COUNTIF($B$2:B764,B764)=1,SUMIF($B$2:$B$1097,B764,$L$2:$L$1097),"")</f>
        <v/>
      </c>
    </row>
    <row r="765" spans="1:18" ht="12.75" x14ac:dyDescent="0.2">
      <c r="A765" s="3">
        <v>764</v>
      </c>
      <c r="B765" s="26">
        <v>45180</v>
      </c>
      <c r="C765" s="23" t="s">
        <v>36</v>
      </c>
      <c r="D765" s="4">
        <v>3</v>
      </c>
      <c r="E765" s="24" t="s">
        <v>33</v>
      </c>
      <c r="F765" s="5" t="s">
        <v>11</v>
      </c>
      <c r="G765" s="5" t="s">
        <v>11</v>
      </c>
      <c r="H765" s="5" t="s">
        <v>14</v>
      </c>
      <c r="I765" s="5" t="s">
        <v>17</v>
      </c>
      <c r="J765" s="5" t="s">
        <v>53</v>
      </c>
      <c r="K765" s="6">
        <v>13</v>
      </c>
      <c r="L765" s="15">
        <v>143</v>
      </c>
      <c r="M765" s="15">
        <f t="shared" ca="1" si="79"/>
        <v>14</v>
      </c>
      <c r="N765" s="16">
        <f t="shared" ca="1" si="77"/>
        <v>129</v>
      </c>
      <c r="O765" s="18">
        <f t="shared" ca="1" si="76"/>
        <v>0.90209790209790208</v>
      </c>
      <c r="P765" s="19">
        <f t="shared" si="78"/>
        <v>11</v>
      </c>
      <c r="Q765" s="16" t="str">
        <f>IF(COUNTIF($B$2:B765,B765)=1,SUMIF($B$2:$B$1097,B765,$L$2:$L$1097),"")</f>
        <v/>
      </c>
    </row>
    <row r="766" spans="1:18" ht="12.75" x14ac:dyDescent="0.2">
      <c r="A766" s="3">
        <v>765</v>
      </c>
      <c r="B766" s="26">
        <v>45181</v>
      </c>
      <c r="C766" s="23" t="s">
        <v>36</v>
      </c>
      <c r="D766" s="4">
        <v>4</v>
      </c>
      <c r="E766" s="24" t="s">
        <v>33</v>
      </c>
      <c r="F766" s="5" t="s">
        <v>11</v>
      </c>
      <c r="G766" s="5" t="s">
        <v>11</v>
      </c>
      <c r="H766" s="5" t="s">
        <v>14</v>
      </c>
      <c r="I766" s="5" t="s">
        <v>13</v>
      </c>
      <c r="J766" s="5" t="s">
        <v>52</v>
      </c>
      <c r="K766" s="6">
        <v>15</v>
      </c>
      <c r="L766" s="15">
        <v>165</v>
      </c>
      <c r="M766" s="15">
        <f t="shared" ca="1" si="79"/>
        <v>43</v>
      </c>
      <c r="N766" s="16">
        <f t="shared" ca="1" si="77"/>
        <v>122</v>
      </c>
      <c r="O766" s="18">
        <f t="shared" ca="1" si="76"/>
        <v>0.73939393939393938</v>
      </c>
      <c r="P766" s="19">
        <f t="shared" si="78"/>
        <v>11</v>
      </c>
      <c r="Q766" s="16">
        <f>IF(COUNTIF($B$2:B766,B766)=1,SUMIF($B$2:$B$1097,B766,$L$2:$L$1097),"")</f>
        <v>418</v>
      </c>
      <c r="R766" s="16">
        <f>AVERAGE(Q746:Q766)</f>
        <v>485.83333333333331</v>
      </c>
    </row>
    <row r="767" spans="1:18" ht="12.75" x14ac:dyDescent="0.2">
      <c r="A767" s="3">
        <v>766</v>
      </c>
      <c r="B767" s="26">
        <v>45181</v>
      </c>
      <c r="C767" s="23" t="s">
        <v>36</v>
      </c>
      <c r="D767" s="4">
        <v>4</v>
      </c>
      <c r="E767" s="24" t="s">
        <v>33</v>
      </c>
      <c r="F767" s="5" t="s">
        <v>11</v>
      </c>
      <c r="G767" s="5" t="s">
        <v>11</v>
      </c>
      <c r="H767" s="5" t="s">
        <v>14</v>
      </c>
      <c r="I767" s="5" t="s">
        <v>15</v>
      </c>
      <c r="J767" s="5" t="s">
        <v>54</v>
      </c>
      <c r="K767" s="6">
        <v>6</v>
      </c>
      <c r="L767" s="15">
        <v>66</v>
      </c>
      <c r="M767" s="15">
        <f t="shared" ca="1" si="79"/>
        <v>39</v>
      </c>
      <c r="N767" s="16">
        <f t="shared" ca="1" si="77"/>
        <v>27</v>
      </c>
      <c r="O767" s="18">
        <f t="shared" ca="1" si="76"/>
        <v>0.40909090909090912</v>
      </c>
      <c r="P767" s="19">
        <f t="shared" si="78"/>
        <v>11</v>
      </c>
      <c r="Q767" s="16" t="str">
        <f>IF(COUNTIF($B$2:B767,B767)=1,SUMIF($B$2:$B$1097,B767,$L$2:$L$1097),"")</f>
        <v/>
      </c>
    </row>
    <row r="768" spans="1:18" ht="12.75" x14ac:dyDescent="0.2">
      <c r="A768" s="3">
        <v>767</v>
      </c>
      <c r="B768" s="26">
        <v>45181</v>
      </c>
      <c r="C768" s="23" t="s">
        <v>36</v>
      </c>
      <c r="D768" s="4">
        <v>4</v>
      </c>
      <c r="E768" s="24" t="s">
        <v>33</v>
      </c>
      <c r="F768" s="5" t="s">
        <v>11</v>
      </c>
      <c r="G768" s="5" t="s">
        <v>11</v>
      </c>
      <c r="H768" s="5" t="s">
        <v>14</v>
      </c>
      <c r="I768" s="5" t="s">
        <v>16</v>
      </c>
      <c r="J768" s="5" t="s">
        <v>54</v>
      </c>
      <c r="K768" s="6">
        <v>5</v>
      </c>
      <c r="L768" s="15">
        <v>55</v>
      </c>
      <c r="M768" s="15">
        <f t="shared" ca="1" si="79"/>
        <v>44</v>
      </c>
      <c r="N768" s="16">
        <f t="shared" ca="1" si="77"/>
        <v>11</v>
      </c>
      <c r="O768" s="18">
        <f t="shared" ca="1" si="76"/>
        <v>0.2</v>
      </c>
      <c r="P768" s="19">
        <f t="shared" si="78"/>
        <v>11</v>
      </c>
      <c r="Q768" s="16" t="str">
        <f>IF(COUNTIF($B$2:B768,B768)=1,SUMIF($B$2:$B$1097,B768,$L$2:$L$1097),"")</f>
        <v/>
      </c>
    </row>
    <row r="769" spans="1:18" ht="12.75" x14ac:dyDescent="0.2">
      <c r="A769" s="3">
        <v>768</v>
      </c>
      <c r="B769" s="26">
        <v>45181</v>
      </c>
      <c r="C769" s="23" t="s">
        <v>36</v>
      </c>
      <c r="D769" s="4">
        <v>4</v>
      </c>
      <c r="E769" s="24" t="s">
        <v>33</v>
      </c>
      <c r="F769" s="5" t="s">
        <v>11</v>
      </c>
      <c r="G769" s="5" t="s">
        <v>11</v>
      </c>
      <c r="H769" s="5" t="s">
        <v>14</v>
      </c>
      <c r="I769" s="5" t="s">
        <v>17</v>
      </c>
      <c r="J769" s="5" t="s">
        <v>54</v>
      </c>
      <c r="K769" s="6">
        <v>12</v>
      </c>
      <c r="L769" s="15">
        <v>132</v>
      </c>
      <c r="M769" s="15">
        <f t="shared" ca="1" si="79"/>
        <v>4</v>
      </c>
      <c r="N769" s="16">
        <f t="shared" ca="1" si="77"/>
        <v>128</v>
      </c>
      <c r="O769" s="18">
        <f t="shared" ca="1" si="76"/>
        <v>0.96969696969696972</v>
      </c>
      <c r="P769" s="19">
        <f t="shared" si="78"/>
        <v>11</v>
      </c>
      <c r="Q769" s="16" t="str">
        <f>IF(COUNTIF($B$2:B769,B769)=1,SUMIF($B$2:$B$1097,B769,$L$2:$L$1097),"")</f>
        <v/>
      </c>
    </row>
    <row r="770" spans="1:18" ht="12.75" x14ac:dyDescent="0.2">
      <c r="A770" s="3">
        <v>769</v>
      </c>
      <c r="B770" s="26">
        <v>45182</v>
      </c>
      <c r="C770" s="23" t="s">
        <v>36</v>
      </c>
      <c r="D770" s="4">
        <v>5</v>
      </c>
      <c r="E770" s="24" t="s">
        <v>33</v>
      </c>
      <c r="F770" s="5" t="s">
        <v>11</v>
      </c>
      <c r="G770" s="5" t="s">
        <v>11</v>
      </c>
      <c r="H770" s="5" t="s">
        <v>14</v>
      </c>
      <c r="I770" s="5" t="s">
        <v>13</v>
      </c>
      <c r="J770" s="5" t="s">
        <v>56</v>
      </c>
      <c r="K770" s="6">
        <v>16</v>
      </c>
      <c r="L770" s="15">
        <v>176</v>
      </c>
      <c r="M770" s="15">
        <f t="shared" ca="1" si="79"/>
        <v>5</v>
      </c>
      <c r="N770" s="16">
        <f t="shared" ca="1" si="77"/>
        <v>171</v>
      </c>
      <c r="O770" s="18">
        <f t="shared" ref="O770:O833" ca="1" si="83">IF(L770=0, 0, N770/L770)</f>
        <v>0.97159090909090906</v>
      </c>
      <c r="P770" s="19">
        <f t="shared" si="78"/>
        <v>11</v>
      </c>
      <c r="Q770" s="16">
        <f>IF(COUNTIF($B$2:B770,B770)=1,SUMIF($B$2:$B$1097,B770,$L$2:$L$1097),"")</f>
        <v>473</v>
      </c>
      <c r="R770" s="16">
        <f>AVERAGE(Q750:Q770)</f>
        <v>484</v>
      </c>
    </row>
    <row r="771" spans="1:18" ht="12.75" x14ac:dyDescent="0.2">
      <c r="A771" s="3">
        <v>770</v>
      </c>
      <c r="B771" s="26">
        <v>45182</v>
      </c>
      <c r="C771" s="23" t="s">
        <v>36</v>
      </c>
      <c r="D771" s="4">
        <v>5</v>
      </c>
      <c r="E771" s="24" t="s">
        <v>33</v>
      </c>
      <c r="F771" s="5" t="s">
        <v>11</v>
      </c>
      <c r="G771" s="5" t="s">
        <v>11</v>
      </c>
      <c r="H771" s="5" t="s">
        <v>14</v>
      </c>
      <c r="I771" s="5" t="s">
        <v>15</v>
      </c>
      <c r="J771" s="5" t="s">
        <v>56</v>
      </c>
      <c r="K771" s="6">
        <v>11</v>
      </c>
      <c r="L771" s="15">
        <v>121</v>
      </c>
      <c r="M771" s="15">
        <f t="shared" ca="1" si="79"/>
        <v>24</v>
      </c>
      <c r="N771" s="16">
        <f t="shared" ref="N771:N834" ca="1" si="84">L771-M771</f>
        <v>97</v>
      </c>
      <c r="O771" s="18">
        <f t="shared" ca="1" si="83"/>
        <v>0.80165289256198347</v>
      </c>
      <c r="P771" s="19">
        <f t="shared" ref="P771:P834" si="85">IF(K771=0, 0, L771/K771)</f>
        <v>11</v>
      </c>
      <c r="Q771" s="16" t="str">
        <f>IF(COUNTIF($B$2:B771,B771)=1,SUMIF($B$2:$B$1097,B771,$L$2:$L$1097),"")</f>
        <v/>
      </c>
    </row>
    <row r="772" spans="1:18" ht="12.75" x14ac:dyDescent="0.2">
      <c r="A772" s="3">
        <v>771</v>
      </c>
      <c r="B772" s="26">
        <v>45182</v>
      </c>
      <c r="C772" s="23" t="s">
        <v>36</v>
      </c>
      <c r="D772" s="4">
        <v>5</v>
      </c>
      <c r="E772" s="24" t="s">
        <v>33</v>
      </c>
      <c r="F772" s="5" t="s">
        <v>11</v>
      </c>
      <c r="G772" s="5" t="s">
        <v>11</v>
      </c>
      <c r="H772" s="5" t="s">
        <v>14</v>
      </c>
      <c r="I772" s="5" t="s">
        <v>16</v>
      </c>
      <c r="J772" s="5" t="s">
        <v>55</v>
      </c>
      <c r="K772" s="6">
        <v>5</v>
      </c>
      <c r="L772" s="15">
        <v>55</v>
      </c>
      <c r="M772" s="15">
        <f t="shared" ca="1" si="79"/>
        <v>27</v>
      </c>
      <c r="N772" s="16">
        <f t="shared" ca="1" si="84"/>
        <v>28</v>
      </c>
      <c r="O772" s="18">
        <f t="shared" ca="1" si="83"/>
        <v>0.50909090909090904</v>
      </c>
      <c r="P772" s="19">
        <f t="shared" si="85"/>
        <v>11</v>
      </c>
      <c r="Q772" s="16" t="str">
        <f>IF(COUNTIF($B$2:B772,B772)=1,SUMIF($B$2:$B$1097,B772,$L$2:$L$1097),"")</f>
        <v/>
      </c>
    </row>
    <row r="773" spans="1:18" ht="12.75" x14ac:dyDescent="0.2">
      <c r="A773" s="3">
        <v>772</v>
      </c>
      <c r="B773" s="26">
        <v>45182</v>
      </c>
      <c r="C773" s="23" t="s">
        <v>36</v>
      </c>
      <c r="D773" s="4">
        <v>5</v>
      </c>
      <c r="E773" s="24" t="s">
        <v>33</v>
      </c>
      <c r="F773" s="5" t="s">
        <v>11</v>
      </c>
      <c r="G773" s="5" t="s">
        <v>11</v>
      </c>
      <c r="H773" s="5" t="s">
        <v>14</v>
      </c>
      <c r="I773" s="5" t="s">
        <v>17</v>
      </c>
      <c r="J773" s="5" t="s">
        <v>53</v>
      </c>
      <c r="K773" s="6">
        <v>11</v>
      </c>
      <c r="L773" s="15">
        <v>121</v>
      </c>
      <c r="M773" s="15">
        <f t="shared" ca="1" si="79"/>
        <v>12</v>
      </c>
      <c r="N773" s="16">
        <f t="shared" ca="1" si="84"/>
        <v>109</v>
      </c>
      <c r="O773" s="18">
        <f t="shared" ca="1" si="83"/>
        <v>0.90082644628099173</v>
      </c>
      <c r="P773" s="19">
        <f t="shared" si="85"/>
        <v>11</v>
      </c>
      <c r="Q773" s="16" t="str">
        <f>IF(COUNTIF($B$2:B773,B773)=1,SUMIF($B$2:$B$1097,B773,$L$2:$L$1097),"")</f>
        <v/>
      </c>
    </row>
    <row r="774" spans="1:18" ht="12.75" x14ac:dyDescent="0.2">
      <c r="A774" s="3">
        <v>773</v>
      </c>
      <c r="B774" s="26">
        <v>45183</v>
      </c>
      <c r="C774" s="23" t="s">
        <v>36</v>
      </c>
      <c r="D774" s="4">
        <v>6</v>
      </c>
      <c r="E774" s="24" t="s">
        <v>33</v>
      </c>
      <c r="F774" s="5" t="s">
        <v>11</v>
      </c>
      <c r="G774" s="5" t="s">
        <v>11</v>
      </c>
      <c r="H774" s="5" t="s">
        <v>14</v>
      </c>
      <c r="I774" s="5" t="s">
        <v>13</v>
      </c>
      <c r="J774" s="5" t="s">
        <v>52</v>
      </c>
      <c r="K774" s="6">
        <v>18</v>
      </c>
      <c r="L774" s="15">
        <v>198</v>
      </c>
      <c r="M774" s="15">
        <f t="shared" ca="1" si="79"/>
        <v>43</v>
      </c>
      <c r="N774" s="16">
        <f t="shared" ca="1" si="84"/>
        <v>155</v>
      </c>
      <c r="O774" s="18">
        <f t="shared" ca="1" si="83"/>
        <v>0.78282828282828287</v>
      </c>
      <c r="P774" s="19">
        <f t="shared" si="85"/>
        <v>11</v>
      </c>
      <c r="Q774" s="16">
        <f>IF(COUNTIF($B$2:B774,B774)=1,SUMIF($B$2:$B$1097,B774,$L$2:$L$1097),"")</f>
        <v>572</v>
      </c>
      <c r="R774" s="16">
        <f>AVERAGE(Q754:Q774)</f>
        <v>473</v>
      </c>
    </row>
    <row r="775" spans="1:18" ht="12.75" x14ac:dyDescent="0.2">
      <c r="A775" s="3">
        <v>774</v>
      </c>
      <c r="B775" s="26">
        <v>45183</v>
      </c>
      <c r="C775" s="23" t="s">
        <v>36</v>
      </c>
      <c r="D775" s="4">
        <v>6</v>
      </c>
      <c r="E775" s="24" t="s">
        <v>33</v>
      </c>
      <c r="F775" s="5" t="s">
        <v>11</v>
      </c>
      <c r="G775" s="5" t="s">
        <v>11</v>
      </c>
      <c r="H775" s="5" t="s">
        <v>14</v>
      </c>
      <c r="I775" s="5" t="s">
        <v>15</v>
      </c>
      <c r="J775" s="5" t="s">
        <v>55</v>
      </c>
      <c r="K775" s="6">
        <v>8</v>
      </c>
      <c r="L775" s="15">
        <v>88</v>
      </c>
      <c r="M775" s="15">
        <f t="shared" ca="1" si="79"/>
        <v>21</v>
      </c>
      <c r="N775" s="16">
        <f t="shared" ca="1" si="84"/>
        <v>67</v>
      </c>
      <c r="O775" s="18">
        <f t="shared" ca="1" si="83"/>
        <v>0.76136363636363635</v>
      </c>
      <c r="P775" s="19">
        <f t="shared" si="85"/>
        <v>11</v>
      </c>
      <c r="Q775" s="16" t="str">
        <f>IF(COUNTIF($B$2:B775,B775)=1,SUMIF($B$2:$B$1097,B775,$L$2:$L$1097),"")</f>
        <v/>
      </c>
    </row>
    <row r="776" spans="1:18" ht="12.75" x14ac:dyDescent="0.2">
      <c r="A776" s="3">
        <v>775</v>
      </c>
      <c r="B776" s="26">
        <v>45183</v>
      </c>
      <c r="C776" s="23" t="s">
        <v>36</v>
      </c>
      <c r="D776" s="4">
        <v>6</v>
      </c>
      <c r="E776" s="24" t="s">
        <v>33</v>
      </c>
      <c r="F776" s="5" t="s">
        <v>11</v>
      </c>
      <c r="G776" s="5" t="s">
        <v>11</v>
      </c>
      <c r="H776" s="5" t="s">
        <v>14</v>
      </c>
      <c r="I776" s="5" t="s">
        <v>16</v>
      </c>
      <c r="J776" s="5" t="s">
        <v>55</v>
      </c>
      <c r="K776" s="6">
        <v>8</v>
      </c>
      <c r="L776" s="15">
        <v>88</v>
      </c>
      <c r="M776" s="15">
        <f t="shared" ca="1" si="79"/>
        <v>34</v>
      </c>
      <c r="N776" s="16">
        <f t="shared" ca="1" si="84"/>
        <v>54</v>
      </c>
      <c r="O776" s="18">
        <f t="shared" ca="1" si="83"/>
        <v>0.61363636363636365</v>
      </c>
      <c r="P776" s="19">
        <f t="shared" si="85"/>
        <v>11</v>
      </c>
      <c r="Q776" s="16" t="str">
        <f>IF(COUNTIF($B$2:B776,B776)=1,SUMIF($B$2:$B$1097,B776,$L$2:$L$1097),"")</f>
        <v/>
      </c>
    </row>
    <row r="777" spans="1:18" ht="12.75" x14ac:dyDescent="0.2">
      <c r="A777" s="3">
        <v>776</v>
      </c>
      <c r="B777" s="26">
        <v>45183</v>
      </c>
      <c r="C777" s="23" t="s">
        <v>36</v>
      </c>
      <c r="D777" s="4">
        <v>6</v>
      </c>
      <c r="E777" s="24" t="s">
        <v>33</v>
      </c>
      <c r="F777" s="5" t="s">
        <v>11</v>
      </c>
      <c r="G777" s="5" t="s">
        <v>11</v>
      </c>
      <c r="H777" s="5" t="s">
        <v>14</v>
      </c>
      <c r="I777" s="5" t="s">
        <v>17</v>
      </c>
      <c r="J777" s="5" t="s">
        <v>53</v>
      </c>
      <c r="K777" s="6">
        <v>18</v>
      </c>
      <c r="L777" s="15">
        <v>198</v>
      </c>
      <c r="M777" s="15">
        <f t="shared" ref="M777:M840" ca="1" si="86">RANDBETWEEN(1,50)</f>
        <v>30</v>
      </c>
      <c r="N777" s="16">
        <f t="shared" ca="1" si="84"/>
        <v>168</v>
      </c>
      <c r="O777" s="18">
        <f t="shared" ca="1" si="83"/>
        <v>0.84848484848484851</v>
      </c>
      <c r="P777" s="19">
        <f t="shared" si="85"/>
        <v>11</v>
      </c>
      <c r="Q777" s="16" t="str">
        <f>IF(COUNTIF($B$2:B777,B777)=1,SUMIF($B$2:$B$1097,B777,$L$2:$L$1097),"")</f>
        <v/>
      </c>
    </row>
    <row r="778" spans="1:18" ht="12.75" x14ac:dyDescent="0.2">
      <c r="A778" s="3">
        <v>777</v>
      </c>
      <c r="B778" s="26">
        <v>45184</v>
      </c>
      <c r="C778" s="23" t="s">
        <v>36</v>
      </c>
      <c r="D778" s="4">
        <v>7</v>
      </c>
      <c r="E778" s="24" t="s">
        <v>33</v>
      </c>
      <c r="F778" s="5" t="s">
        <v>11</v>
      </c>
      <c r="G778" s="5" t="s">
        <v>11</v>
      </c>
      <c r="H778" s="5" t="s">
        <v>14</v>
      </c>
      <c r="I778" s="5" t="s">
        <v>13</v>
      </c>
      <c r="J778" s="5" t="s">
        <v>56</v>
      </c>
      <c r="K778" s="6">
        <v>23</v>
      </c>
      <c r="L778" s="15">
        <v>253</v>
      </c>
      <c r="M778" s="15">
        <f t="shared" ca="1" si="86"/>
        <v>14</v>
      </c>
      <c r="N778" s="16">
        <f t="shared" ca="1" si="84"/>
        <v>239</v>
      </c>
      <c r="O778" s="18">
        <f t="shared" ca="1" si="83"/>
        <v>0.94466403162055335</v>
      </c>
      <c r="P778" s="19">
        <f t="shared" si="85"/>
        <v>11</v>
      </c>
      <c r="Q778" s="16">
        <f>IF(COUNTIF($B$2:B778,B778)=1,SUMIF($B$2:$B$1097,B778,$L$2:$L$1097),"")</f>
        <v>253</v>
      </c>
      <c r="R778" s="16">
        <f t="shared" ref="R778:R779" si="87">AVERAGE(Q758:Q778)</f>
        <v>480.33333333333331</v>
      </c>
    </row>
    <row r="779" spans="1:18" ht="12.75" x14ac:dyDescent="0.2">
      <c r="A779" s="3">
        <v>778</v>
      </c>
      <c r="B779" s="26">
        <v>45186</v>
      </c>
      <c r="C779" s="23" t="s">
        <v>36</v>
      </c>
      <c r="D779" s="4">
        <v>2</v>
      </c>
      <c r="E779" s="24" t="s">
        <v>33</v>
      </c>
      <c r="F779" s="5" t="s">
        <v>11</v>
      </c>
      <c r="G779" s="5" t="s">
        <v>11</v>
      </c>
      <c r="H779" s="5" t="s">
        <v>14</v>
      </c>
      <c r="I779" s="5" t="s">
        <v>13</v>
      </c>
      <c r="J779" s="5" t="s">
        <v>52</v>
      </c>
      <c r="K779" s="6">
        <v>19</v>
      </c>
      <c r="L779" s="15">
        <v>209</v>
      </c>
      <c r="M779" s="15">
        <f t="shared" ca="1" si="86"/>
        <v>30</v>
      </c>
      <c r="N779" s="16">
        <f t="shared" ca="1" si="84"/>
        <v>179</v>
      </c>
      <c r="O779" s="18">
        <f t="shared" ca="1" si="83"/>
        <v>0.8564593301435407</v>
      </c>
      <c r="P779" s="19">
        <f t="shared" si="85"/>
        <v>11</v>
      </c>
      <c r="Q779" s="16">
        <f>IF(COUNTIF($B$2:B779,B779)=1,SUMIF($B$2:$B$1097,B779,$L$2:$L$1097),"")</f>
        <v>583</v>
      </c>
      <c r="R779" s="16">
        <f t="shared" si="87"/>
        <v>469.33333333333331</v>
      </c>
    </row>
    <row r="780" spans="1:18" ht="12.75" x14ac:dyDescent="0.2">
      <c r="A780" s="3">
        <v>779</v>
      </c>
      <c r="B780" s="26">
        <v>45186</v>
      </c>
      <c r="C780" s="23" t="s">
        <v>36</v>
      </c>
      <c r="D780" s="4">
        <v>2</v>
      </c>
      <c r="E780" s="24" t="s">
        <v>33</v>
      </c>
      <c r="F780" s="5" t="s">
        <v>11</v>
      </c>
      <c r="G780" s="5" t="s">
        <v>11</v>
      </c>
      <c r="H780" s="5" t="s">
        <v>14</v>
      </c>
      <c r="I780" s="5" t="s">
        <v>15</v>
      </c>
      <c r="J780" s="5" t="s">
        <v>54</v>
      </c>
      <c r="K780" s="6">
        <v>10</v>
      </c>
      <c r="L780" s="15">
        <v>110</v>
      </c>
      <c r="M780" s="15">
        <f t="shared" ca="1" si="86"/>
        <v>38</v>
      </c>
      <c r="N780" s="16">
        <f t="shared" ca="1" si="84"/>
        <v>72</v>
      </c>
      <c r="O780" s="18">
        <f t="shared" ca="1" si="83"/>
        <v>0.65454545454545454</v>
      </c>
      <c r="P780" s="19">
        <f t="shared" si="85"/>
        <v>11</v>
      </c>
      <c r="Q780" s="16" t="str">
        <f>IF(COUNTIF($B$2:B780,B780)=1,SUMIF($B$2:$B$1097,B780,$L$2:$L$1097),"")</f>
        <v/>
      </c>
    </row>
    <row r="781" spans="1:18" ht="12.75" x14ac:dyDescent="0.2">
      <c r="A781" s="3">
        <v>780</v>
      </c>
      <c r="B781" s="26">
        <v>45186</v>
      </c>
      <c r="C781" s="23" t="s">
        <v>36</v>
      </c>
      <c r="D781" s="4">
        <v>2</v>
      </c>
      <c r="E781" s="24" t="s">
        <v>33</v>
      </c>
      <c r="F781" s="5" t="s">
        <v>11</v>
      </c>
      <c r="G781" s="5" t="s">
        <v>11</v>
      </c>
      <c r="H781" s="5" t="s">
        <v>14</v>
      </c>
      <c r="I781" s="5" t="s">
        <v>16</v>
      </c>
      <c r="J781" s="5" t="s">
        <v>54</v>
      </c>
      <c r="K781" s="6">
        <v>9</v>
      </c>
      <c r="L781" s="15">
        <v>99</v>
      </c>
      <c r="M781" s="15">
        <f t="shared" ca="1" si="86"/>
        <v>27</v>
      </c>
      <c r="N781" s="16">
        <f t="shared" ca="1" si="84"/>
        <v>72</v>
      </c>
      <c r="O781" s="18">
        <f t="shared" ca="1" si="83"/>
        <v>0.72727272727272729</v>
      </c>
      <c r="P781" s="19">
        <f t="shared" si="85"/>
        <v>11</v>
      </c>
      <c r="Q781" s="16" t="str">
        <f>IF(COUNTIF($B$2:B781,B781)=1,SUMIF($B$2:$B$1097,B781,$L$2:$L$1097),"")</f>
        <v/>
      </c>
    </row>
    <row r="782" spans="1:18" ht="12.75" x14ac:dyDescent="0.2">
      <c r="A782" s="3">
        <v>781</v>
      </c>
      <c r="B782" s="26">
        <v>45186</v>
      </c>
      <c r="C782" s="23" t="s">
        <v>36</v>
      </c>
      <c r="D782" s="4">
        <v>2</v>
      </c>
      <c r="E782" s="24" t="s">
        <v>33</v>
      </c>
      <c r="F782" s="5" t="s">
        <v>11</v>
      </c>
      <c r="G782" s="5" t="s">
        <v>11</v>
      </c>
      <c r="H782" s="5" t="s">
        <v>14</v>
      </c>
      <c r="I782" s="5" t="s">
        <v>17</v>
      </c>
      <c r="J782" s="5" t="s">
        <v>54</v>
      </c>
      <c r="K782" s="6">
        <v>15</v>
      </c>
      <c r="L782" s="15">
        <v>165</v>
      </c>
      <c r="M782" s="15">
        <f t="shared" ca="1" si="86"/>
        <v>13</v>
      </c>
      <c r="N782" s="16">
        <f t="shared" ca="1" si="84"/>
        <v>152</v>
      </c>
      <c r="O782" s="18">
        <f t="shared" ca="1" si="83"/>
        <v>0.92121212121212126</v>
      </c>
      <c r="P782" s="19">
        <f t="shared" si="85"/>
        <v>11</v>
      </c>
      <c r="Q782" s="16" t="str">
        <f>IF(COUNTIF($B$2:B782,B782)=1,SUMIF($B$2:$B$1097,B782,$L$2:$L$1097),"")</f>
        <v/>
      </c>
    </row>
    <row r="783" spans="1:18" ht="12.75" x14ac:dyDescent="0.2">
      <c r="A783" s="3">
        <v>782</v>
      </c>
      <c r="B783" s="26">
        <v>45187</v>
      </c>
      <c r="C783" s="23" t="s">
        <v>36</v>
      </c>
      <c r="D783" s="4">
        <v>3</v>
      </c>
      <c r="E783" s="24" t="s">
        <v>33</v>
      </c>
      <c r="F783" s="5" t="s">
        <v>11</v>
      </c>
      <c r="G783" s="5" t="s">
        <v>11</v>
      </c>
      <c r="H783" s="5" t="s">
        <v>14</v>
      </c>
      <c r="I783" s="5" t="s">
        <v>13</v>
      </c>
      <c r="J783" s="5" t="s">
        <v>56</v>
      </c>
      <c r="K783" s="6">
        <v>16</v>
      </c>
      <c r="L783" s="15">
        <v>176</v>
      </c>
      <c r="M783" s="15">
        <f t="shared" ca="1" si="86"/>
        <v>29</v>
      </c>
      <c r="N783" s="16">
        <f t="shared" ca="1" si="84"/>
        <v>147</v>
      </c>
      <c r="O783" s="18">
        <f t="shared" ca="1" si="83"/>
        <v>0.83522727272727271</v>
      </c>
      <c r="P783" s="19">
        <f t="shared" si="85"/>
        <v>11</v>
      </c>
      <c r="Q783" s="16">
        <f>IF(COUNTIF($B$2:B783,B783)=1,SUMIF($B$2:$B$1097,B783,$L$2:$L$1097),"")</f>
        <v>495</v>
      </c>
      <c r="R783" s="16">
        <f>AVERAGE(Q763:Q783)</f>
        <v>465.66666666666669</v>
      </c>
    </row>
    <row r="784" spans="1:18" ht="12.75" x14ac:dyDescent="0.2">
      <c r="A784" s="3">
        <v>783</v>
      </c>
      <c r="B784" s="26">
        <v>45187</v>
      </c>
      <c r="C784" s="23" t="s">
        <v>36</v>
      </c>
      <c r="D784" s="4">
        <v>3</v>
      </c>
      <c r="E784" s="24" t="s">
        <v>33</v>
      </c>
      <c r="F784" s="5" t="s">
        <v>11</v>
      </c>
      <c r="G784" s="5" t="s">
        <v>11</v>
      </c>
      <c r="H784" s="5" t="s">
        <v>14</v>
      </c>
      <c r="I784" s="5" t="s">
        <v>15</v>
      </c>
      <c r="J784" s="5" t="s">
        <v>56</v>
      </c>
      <c r="K784" s="6">
        <v>13</v>
      </c>
      <c r="L784" s="15">
        <v>143</v>
      </c>
      <c r="M784" s="15">
        <f t="shared" ca="1" si="86"/>
        <v>9</v>
      </c>
      <c r="N784" s="16">
        <f t="shared" ca="1" si="84"/>
        <v>134</v>
      </c>
      <c r="O784" s="18">
        <f t="shared" ca="1" si="83"/>
        <v>0.93706293706293708</v>
      </c>
      <c r="P784" s="19">
        <f t="shared" si="85"/>
        <v>11</v>
      </c>
      <c r="Q784" s="16" t="str">
        <f>IF(COUNTIF($B$2:B784,B784)=1,SUMIF($B$2:$B$1097,B784,$L$2:$L$1097),"")</f>
        <v/>
      </c>
    </row>
    <row r="785" spans="1:18" ht="12.75" x14ac:dyDescent="0.2">
      <c r="A785" s="3">
        <v>784</v>
      </c>
      <c r="B785" s="26">
        <v>45187</v>
      </c>
      <c r="C785" s="23" t="s">
        <v>36</v>
      </c>
      <c r="D785" s="4">
        <v>3</v>
      </c>
      <c r="E785" s="24" t="s">
        <v>33</v>
      </c>
      <c r="F785" s="5" t="s">
        <v>11</v>
      </c>
      <c r="G785" s="5" t="s">
        <v>11</v>
      </c>
      <c r="H785" s="5" t="s">
        <v>14</v>
      </c>
      <c r="I785" s="5" t="s">
        <v>16</v>
      </c>
      <c r="J785" s="5" t="s">
        <v>55</v>
      </c>
      <c r="K785" s="6">
        <v>5</v>
      </c>
      <c r="L785" s="15">
        <v>55</v>
      </c>
      <c r="M785" s="15">
        <f t="shared" ca="1" si="86"/>
        <v>34</v>
      </c>
      <c r="N785" s="16">
        <f t="shared" ca="1" si="84"/>
        <v>21</v>
      </c>
      <c r="O785" s="18">
        <f t="shared" ca="1" si="83"/>
        <v>0.38181818181818183</v>
      </c>
      <c r="P785" s="19">
        <f t="shared" si="85"/>
        <v>11</v>
      </c>
      <c r="Q785" s="16" t="str">
        <f>IF(COUNTIF($B$2:B785,B785)=1,SUMIF($B$2:$B$1097,B785,$L$2:$L$1097),"")</f>
        <v/>
      </c>
    </row>
    <row r="786" spans="1:18" ht="12.75" x14ac:dyDescent="0.2">
      <c r="A786" s="3">
        <v>785</v>
      </c>
      <c r="B786" s="26">
        <v>45187</v>
      </c>
      <c r="C786" s="23" t="s">
        <v>36</v>
      </c>
      <c r="D786" s="4">
        <v>3</v>
      </c>
      <c r="E786" s="24" t="s">
        <v>33</v>
      </c>
      <c r="F786" s="5" t="s">
        <v>11</v>
      </c>
      <c r="G786" s="5" t="s">
        <v>11</v>
      </c>
      <c r="H786" s="5" t="s">
        <v>14</v>
      </c>
      <c r="I786" s="5" t="s">
        <v>17</v>
      </c>
      <c r="J786" s="5" t="s">
        <v>53</v>
      </c>
      <c r="K786" s="6">
        <v>11</v>
      </c>
      <c r="L786" s="15">
        <v>121</v>
      </c>
      <c r="M786" s="15">
        <f t="shared" ca="1" si="86"/>
        <v>6</v>
      </c>
      <c r="N786" s="16">
        <f t="shared" ca="1" si="84"/>
        <v>115</v>
      </c>
      <c r="O786" s="18">
        <f t="shared" ca="1" si="83"/>
        <v>0.95041322314049592</v>
      </c>
      <c r="P786" s="19">
        <f t="shared" si="85"/>
        <v>11</v>
      </c>
      <c r="Q786" s="16" t="str">
        <f>IF(COUNTIF($B$2:B786,B786)=1,SUMIF($B$2:$B$1097,B786,$L$2:$L$1097),"")</f>
        <v/>
      </c>
    </row>
    <row r="787" spans="1:18" ht="12.75" x14ac:dyDescent="0.2">
      <c r="A787" s="3">
        <v>786</v>
      </c>
      <c r="B787" s="26">
        <v>45188</v>
      </c>
      <c r="C787" s="23" t="s">
        <v>36</v>
      </c>
      <c r="D787" s="4">
        <v>4</v>
      </c>
      <c r="E787" s="24" t="s">
        <v>33</v>
      </c>
      <c r="F787" s="5" t="s">
        <v>11</v>
      </c>
      <c r="G787" s="5" t="s">
        <v>11</v>
      </c>
      <c r="H787" s="5" t="s">
        <v>14</v>
      </c>
      <c r="I787" s="5" t="s">
        <v>13</v>
      </c>
      <c r="J787" s="5" t="s">
        <v>52</v>
      </c>
      <c r="K787" s="6">
        <v>16</v>
      </c>
      <c r="L787" s="15">
        <v>176</v>
      </c>
      <c r="M787" s="15">
        <f t="shared" ca="1" si="86"/>
        <v>28</v>
      </c>
      <c r="N787" s="16">
        <f t="shared" ca="1" si="84"/>
        <v>148</v>
      </c>
      <c r="O787" s="18">
        <f t="shared" ca="1" si="83"/>
        <v>0.84090909090909094</v>
      </c>
      <c r="P787" s="19">
        <f t="shared" si="85"/>
        <v>11</v>
      </c>
      <c r="Q787" s="16">
        <f>IF(COUNTIF($B$2:B787,B787)=1,SUMIF($B$2:$B$1097,B787,$L$2:$L$1097),"")</f>
        <v>440</v>
      </c>
      <c r="R787" s="16">
        <f>AVERAGE(Q767:Q787)</f>
        <v>469.33333333333331</v>
      </c>
    </row>
    <row r="788" spans="1:18" ht="12.75" x14ac:dyDescent="0.2">
      <c r="A788" s="3">
        <v>787</v>
      </c>
      <c r="B788" s="26">
        <v>45188</v>
      </c>
      <c r="C788" s="23" t="s">
        <v>36</v>
      </c>
      <c r="D788" s="4">
        <v>4</v>
      </c>
      <c r="E788" s="24" t="s">
        <v>33</v>
      </c>
      <c r="F788" s="5" t="s">
        <v>11</v>
      </c>
      <c r="G788" s="5" t="s">
        <v>11</v>
      </c>
      <c r="H788" s="5" t="s">
        <v>14</v>
      </c>
      <c r="I788" s="5" t="s">
        <v>15</v>
      </c>
      <c r="J788" s="5" t="s">
        <v>54</v>
      </c>
      <c r="K788" s="6">
        <v>7</v>
      </c>
      <c r="L788" s="15">
        <v>77</v>
      </c>
      <c r="M788" s="15">
        <f t="shared" ca="1" si="86"/>
        <v>13</v>
      </c>
      <c r="N788" s="16">
        <f t="shared" ca="1" si="84"/>
        <v>64</v>
      </c>
      <c r="O788" s="18">
        <f t="shared" ca="1" si="83"/>
        <v>0.83116883116883122</v>
      </c>
      <c r="P788" s="19">
        <f t="shared" si="85"/>
        <v>11</v>
      </c>
      <c r="Q788" s="16" t="str">
        <f>IF(COUNTIF($B$2:B788,B788)=1,SUMIF($B$2:$B$1097,B788,$L$2:$L$1097),"")</f>
        <v/>
      </c>
    </row>
    <row r="789" spans="1:18" ht="12.75" x14ac:dyDescent="0.2">
      <c r="A789" s="3">
        <v>788</v>
      </c>
      <c r="B789" s="26">
        <v>45188</v>
      </c>
      <c r="C789" s="23" t="s">
        <v>36</v>
      </c>
      <c r="D789" s="4">
        <v>4</v>
      </c>
      <c r="E789" s="24" t="s">
        <v>33</v>
      </c>
      <c r="F789" s="5" t="s">
        <v>11</v>
      </c>
      <c r="G789" s="5" t="s">
        <v>11</v>
      </c>
      <c r="H789" s="5" t="s">
        <v>14</v>
      </c>
      <c r="I789" s="5" t="s">
        <v>16</v>
      </c>
      <c r="J789" s="5" t="s">
        <v>54</v>
      </c>
      <c r="K789" s="6">
        <v>5</v>
      </c>
      <c r="L789" s="15">
        <v>55</v>
      </c>
      <c r="M789" s="15">
        <f t="shared" ca="1" si="86"/>
        <v>50</v>
      </c>
      <c r="N789" s="16">
        <f t="shared" ca="1" si="84"/>
        <v>5</v>
      </c>
      <c r="O789" s="18">
        <f t="shared" ca="1" si="83"/>
        <v>9.0909090909090912E-2</v>
      </c>
      <c r="P789" s="19">
        <f t="shared" si="85"/>
        <v>11</v>
      </c>
      <c r="Q789" s="16" t="str">
        <f>IF(COUNTIF($B$2:B789,B789)=1,SUMIF($B$2:$B$1097,B789,$L$2:$L$1097),"")</f>
        <v/>
      </c>
    </row>
    <row r="790" spans="1:18" ht="12.75" x14ac:dyDescent="0.2">
      <c r="A790" s="3">
        <v>789</v>
      </c>
      <c r="B790" s="26">
        <v>45188</v>
      </c>
      <c r="C790" s="23" t="s">
        <v>36</v>
      </c>
      <c r="D790" s="4">
        <v>4</v>
      </c>
      <c r="E790" s="24" t="s">
        <v>33</v>
      </c>
      <c r="F790" s="5" t="s">
        <v>11</v>
      </c>
      <c r="G790" s="5" t="s">
        <v>11</v>
      </c>
      <c r="H790" s="5" t="s">
        <v>14</v>
      </c>
      <c r="I790" s="5" t="s">
        <v>17</v>
      </c>
      <c r="J790" s="5" t="s">
        <v>54</v>
      </c>
      <c r="K790" s="6">
        <v>12</v>
      </c>
      <c r="L790" s="15">
        <v>132</v>
      </c>
      <c r="M790" s="15">
        <f t="shared" ca="1" si="86"/>
        <v>32</v>
      </c>
      <c r="N790" s="16">
        <f t="shared" ca="1" si="84"/>
        <v>100</v>
      </c>
      <c r="O790" s="18">
        <f t="shared" ca="1" si="83"/>
        <v>0.75757575757575757</v>
      </c>
      <c r="P790" s="19">
        <f t="shared" si="85"/>
        <v>11</v>
      </c>
      <c r="Q790" s="16" t="str">
        <f>IF(COUNTIF($B$2:B790,B790)=1,SUMIF($B$2:$B$1097,B790,$L$2:$L$1097),"")</f>
        <v/>
      </c>
    </row>
    <row r="791" spans="1:18" ht="12.75" x14ac:dyDescent="0.2">
      <c r="A791" s="3">
        <v>790</v>
      </c>
      <c r="B791" s="26">
        <v>45189</v>
      </c>
      <c r="C791" s="23" t="s">
        <v>36</v>
      </c>
      <c r="D791" s="4">
        <v>5</v>
      </c>
      <c r="E791" s="24" t="s">
        <v>33</v>
      </c>
      <c r="F791" s="5" t="s">
        <v>11</v>
      </c>
      <c r="G791" s="5" t="s">
        <v>11</v>
      </c>
      <c r="H791" s="5" t="s">
        <v>14</v>
      </c>
      <c r="I791" s="5" t="s">
        <v>13</v>
      </c>
      <c r="J791" s="5" t="s">
        <v>56</v>
      </c>
      <c r="K791" s="6">
        <v>17</v>
      </c>
      <c r="L791" s="15">
        <v>187</v>
      </c>
      <c r="M791" s="15">
        <f t="shared" ca="1" si="86"/>
        <v>31</v>
      </c>
      <c r="N791" s="16">
        <f t="shared" ca="1" si="84"/>
        <v>156</v>
      </c>
      <c r="O791" s="18">
        <f t="shared" ca="1" si="83"/>
        <v>0.83422459893048129</v>
      </c>
      <c r="P791" s="19">
        <f t="shared" si="85"/>
        <v>11</v>
      </c>
      <c r="Q791" s="16">
        <f>IF(COUNTIF($B$2:B791,B791)=1,SUMIF($B$2:$B$1097,B791,$L$2:$L$1097),"")</f>
        <v>539</v>
      </c>
      <c r="R791" s="16">
        <f>AVERAGE(Q771:Q791)</f>
        <v>480.33333333333331</v>
      </c>
    </row>
    <row r="792" spans="1:18" ht="12.75" x14ac:dyDescent="0.2">
      <c r="A792" s="3">
        <v>791</v>
      </c>
      <c r="B792" s="26">
        <v>45189</v>
      </c>
      <c r="C792" s="23" t="s">
        <v>36</v>
      </c>
      <c r="D792" s="4">
        <v>5</v>
      </c>
      <c r="E792" s="24" t="s">
        <v>33</v>
      </c>
      <c r="F792" s="5" t="s">
        <v>11</v>
      </c>
      <c r="G792" s="5" t="s">
        <v>11</v>
      </c>
      <c r="H792" s="5" t="s">
        <v>14</v>
      </c>
      <c r="I792" s="5" t="s">
        <v>15</v>
      </c>
      <c r="J792" s="5" t="s">
        <v>56</v>
      </c>
      <c r="K792" s="6">
        <v>13</v>
      </c>
      <c r="L792" s="15">
        <v>143</v>
      </c>
      <c r="M792" s="15">
        <f t="shared" ca="1" si="86"/>
        <v>48</v>
      </c>
      <c r="N792" s="16">
        <f t="shared" ca="1" si="84"/>
        <v>95</v>
      </c>
      <c r="O792" s="18">
        <f t="shared" ca="1" si="83"/>
        <v>0.66433566433566438</v>
      </c>
      <c r="P792" s="19">
        <f t="shared" si="85"/>
        <v>11</v>
      </c>
      <c r="Q792" s="16" t="str">
        <f>IF(COUNTIF($B$2:B792,B792)=1,SUMIF($B$2:$B$1097,B792,$L$2:$L$1097),"")</f>
        <v/>
      </c>
    </row>
    <row r="793" spans="1:18" ht="12.75" x14ac:dyDescent="0.2">
      <c r="A793" s="3">
        <v>792</v>
      </c>
      <c r="B793" s="26">
        <v>45189</v>
      </c>
      <c r="C793" s="23" t="s">
        <v>36</v>
      </c>
      <c r="D793" s="4">
        <v>5</v>
      </c>
      <c r="E793" s="24" t="s">
        <v>33</v>
      </c>
      <c r="F793" s="5" t="s">
        <v>11</v>
      </c>
      <c r="G793" s="5" t="s">
        <v>11</v>
      </c>
      <c r="H793" s="5" t="s">
        <v>14</v>
      </c>
      <c r="I793" s="5" t="s">
        <v>16</v>
      </c>
      <c r="J793" s="5" t="s">
        <v>55</v>
      </c>
      <c r="K793" s="6">
        <v>5</v>
      </c>
      <c r="L793" s="15">
        <v>55</v>
      </c>
      <c r="M793" s="15">
        <f t="shared" ca="1" si="86"/>
        <v>19</v>
      </c>
      <c r="N793" s="16">
        <f t="shared" ca="1" si="84"/>
        <v>36</v>
      </c>
      <c r="O793" s="18">
        <f t="shared" ca="1" si="83"/>
        <v>0.65454545454545454</v>
      </c>
      <c r="P793" s="19">
        <f t="shared" si="85"/>
        <v>11</v>
      </c>
      <c r="Q793" s="16" t="str">
        <f>IF(COUNTIF($B$2:B793,B793)=1,SUMIF($B$2:$B$1097,B793,$L$2:$L$1097),"")</f>
        <v/>
      </c>
    </row>
    <row r="794" spans="1:18" ht="12.75" x14ac:dyDescent="0.2">
      <c r="A794" s="3">
        <v>793</v>
      </c>
      <c r="B794" s="26">
        <v>45189</v>
      </c>
      <c r="C794" s="23" t="s">
        <v>36</v>
      </c>
      <c r="D794" s="4">
        <v>5</v>
      </c>
      <c r="E794" s="24" t="s">
        <v>33</v>
      </c>
      <c r="F794" s="5" t="s">
        <v>11</v>
      </c>
      <c r="G794" s="5" t="s">
        <v>11</v>
      </c>
      <c r="H794" s="5" t="s">
        <v>14</v>
      </c>
      <c r="I794" s="5" t="s">
        <v>17</v>
      </c>
      <c r="J794" s="5" t="s">
        <v>53</v>
      </c>
      <c r="K794" s="6">
        <v>14</v>
      </c>
      <c r="L794" s="15">
        <v>154</v>
      </c>
      <c r="M794" s="15">
        <f t="shared" ca="1" si="86"/>
        <v>50</v>
      </c>
      <c r="N794" s="16">
        <f t="shared" ca="1" si="84"/>
        <v>104</v>
      </c>
      <c r="O794" s="18">
        <f t="shared" ca="1" si="83"/>
        <v>0.67532467532467533</v>
      </c>
      <c r="P794" s="19">
        <f t="shared" si="85"/>
        <v>11</v>
      </c>
      <c r="Q794" s="16" t="str">
        <f>IF(COUNTIF($B$2:B794,B794)=1,SUMIF($B$2:$B$1097,B794,$L$2:$L$1097),"")</f>
        <v/>
      </c>
    </row>
    <row r="795" spans="1:18" ht="12.75" x14ac:dyDescent="0.2">
      <c r="A795" s="3">
        <v>794</v>
      </c>
      <c r="B795" s="26">
        <v>45190</v>
      </c>
      <c r="C795" s="23" t="s">
        <v>36</v>
      </c>
      <c r="D795" s="4">
        <v>6</v>
      </c>
      <c r="E795" s="24" t="s">
        <v>33</v>
      </c>
      <c r="F795" s="5" t="s">
        <v>11</v>
      </c>
      <c r="G795" s="5" t="s">
        <v>11</v>
      </c>
      <c r="H795" s="5" t="s">
        <v>14</v>
      </c>
      <c r="I795" s="5" t="s">
        <v>13</v>
      </c>
      <c r="J795" s="5" t="s">
        <v>52</v>
      </c>
      <c r="K795" s="6">
        <v>20</v>
      </c>
      <c r="L795" s="15">
        <v>220</v>
      </c>
      <c r="M795" s="15">
        <f t="shared" ca="1" si="86"/>
        <v>27</v>
      </c>
      <c r="N795" s="16">
        <f t="shared" ca="1" si="84"/>
        <v>193</v>
      </c>
      <c r="O795" s="18">
        <f t="shared" ca="1" si="83"/>
        <v>0.87727272727272732</v>
      </c>
      <c r="P795" s="19">
        <f t="shared" si="85"/>
        <v>11</v>
      </c>
      <c r="Q795" s="16">
        <f>IF(COUNTIF($B$2:B795,B795)=1,SUMIF($B$2:$B$1097,B795,$L$2:$L$1097),"")</f>
        <v>627</v>
      </c>
      <c r="R795" s="16">
        <f>AVERAGE(Q775:Q795)</f>
        <v>489.5</v>
      </c>
    </row>
    <row r="796" spans="1:18" ht="12.75" x14ac:dyDescent="0.2">
      <c r="A796" s="3">
        <v>795</v>
      </c>
      <c r="B796" s="26">
        <v>45190</v>
      </c>
      <c r="C796" s="23" t="s">
        <v>36</v>
      </c>
      <c r="D796" s="4">
        <v>6</v>
      </c>
      <c r="E796" s="24" t="s">
        <v>33</v>
      </c>
      <c r="F796" s="5" t="s">
        <v>11</v>
      </c>
      <c r="G796" s="5" t="s">
        <v>11</v>
      </c>
      <c r="H796" s="5" t="s">
        <v>14</v>
      </c>
      <c r="I796" s="5" t="s">
        <v>15</v>
      </c>
      <c r="J796" s="5" t="s">
        <v>55</v>
      </c>
      <c r="K796" s="6">
        <v>11</v>
      </c>
      <c r="L796" s="15">
        <v>121</v>
      </c>
      <c r="M796" s="15">
        <f t="shared" ca="1" si="86"/>
        <v>20</v>
      </c>
      <c r="N796" s="16">
        <f t="shared" ca="1" si="84"/>
        <v>101</v>
      </c>
      <c r="O796" s="18">
        <f t="shared" ca="1" si="83"/>
        <v>0.83471074380165289</v>
      </c>
      <c r="P796" s="19">
        <f t="shared" si="85"/>
        <v>11</v>
      </c>
      <c r="Q796" s="16" t="str">
        <f>IF(COUNTIF($B$2:B796,B796)=1,SUMIF($B$2:$B$1097,B796,$L$2:$L$1097),"")</f>
        <v/>
      </c>
    </row>
    <row r="797" spans="1:18" ht="12.75" x14ac:dyDescent="0.2">
      <c r="A797" s="3">
        <v>796</v>
      </c>
      <c r="B797" s="26">
        <v>45190</v>
      </c>
      <c r="C797" s="23" t="s">
        <v>36</v>
      </c>
      <c r="D797" s="4">
        <v>6</v>
      </c>
      <c r="E797" s="24" t="s">
        <v>33</v>
      </c>
      <c r="F797" s="5" t="s">
        <v>11</v>
      </c>
      <c r="G797" s="5" t="s">
        <v>11</v>
      </c>
      <c r="H797" s="5" t="s">
        <v>14</v>
      </c>
      <c r="I797" s="5" t="s">
        <v>16</v>
      </c>
      <c r="J797" s="5" t="s">
        <v>55</v>
      </c>
      <c r="K797" s="6">
        <v>8</v>
      </c>
      <c r="L797" s="15">
        <v>88</v>
      </c>
      <c r="M797" s="15">
        <f t="shared" ca="1" si="86"/>
        <v>8</v>
      </c>
      <c r="N797" s="16">
        <f t="shared" ca="1" si="84"/>
        <v>80</v>
      </c>
      <c r="O797" s="18">
        <f t="shared" ca="1" si="83"/>
        <v>0.90909090909090906</v>
      </c>
      <c r="P797" s="19">
        <f t="shared" si="85"/>
        <v>11</v>
      </c>
      <c r="Q797" s="16" t="str">
        <f>IF(COUNTIF($B$2:B797,B797)=1,SUMIF($B$2:$B$1097,B797,$L$2:$L$1097),"")</f>
        <v/>
      </c>
    </row>
    <row r="798" spans="1:18" ht="12.75" x14ac:dyDescent="0.2">
      <c r="A798" s="3">
        <v>797</v>
      </c>
      <c r="B798" s="26">
        <v>45190</v>
      </c>
      <c r="C798" s="23" t="s">
        <v>36</v>
      </c>
      <c r="D798" s="4">
        <v>6</v>
      </c>
      <c r="E798" s="24" t="s">
        <v>33</v>
      </c>
      <c r="F798" s="5" t="s">
        <v>11</v>
      </c>
      <c r="G798" s="5" t="s">
        <v>11</v>
      </c>
      <c r="H798" s="5" t="s">
        <v>14</v>
      </c>
      <c r="I798" s="5" t="s">
        <v>17</v>
      </c>
      <c r="J798" s="5" t="s">
        <v>53</v>
      </c>
      <c r="K798" s="6">
        <v>18</v>
      </c>
      <c r="L798" s="15">
        <v>198</v>
      </c>
      <c r="M798" s="15">
        <f t="shared" ca="1" si="86"/>
        <v>2</v>
      </c>
      <c r="N798" s="16">
        <f t="shared" ca="1" si="84"/>
        <v>196</v>
      </c>
      <c r="O798" s="18">
        <f t="shared" ca="1" si="83"/>
        <v>0.98989898989898994</v>
      </c>
      <c r="P798" s="19">
        <f t="shared" si="85"/>
        <v>11</v>
      </c>
      <c r="Q798" s="16" t="str">
        <f>IF(COUNTIF($B$2:B798,B798)=1,SUMIF($B$2:$B$1097,B798,$L$2:$L$1097),"")</f>
        <v/>
      </c>
    </row>
    <row r="799" spans="1:18" ht="12.75" x14ac:dyDescent="0.2">
      <c r="A799" s="3">
        <v>798</v>
      </c>
      <c r="B799" s="26">
        <v>45191</v>
      </c>
      <c r="C799" s="23" t="s">
        <v>36</v>
      </c>
      <c r="D799" s="4">
        <v>7</v>
      </c>
      <c r="E799" s="24" t="s">
        <v>33</v>
      </c>
      <c r="F799" s="5" t="s">
        <v>11</v>
      </c>
      <c r="G799" s="5" t="s">
        <v>11</v>
      </c>
      <c r="H799" s="5" t="s">
        <v>14</v>
      </c>
      <c r="I799" s="5" t="s">
        <v>13</v>
      </c>
      <c r="J799" s="5" t="s">
        <v>56</v>
      </c>
      <c r="K799" s="6">
        <v>19</v>
      </c>
      <c r="L799" s="15">
        <v>209</v>
      </c>
      <c r="M799" s="15">
        <f t="shared" ca="1" si="86"/>
        <v>4</v>
      </c>
      <c r="N799" s="16">
        <f t="shared" ca="1" si="84"/>
        <v>205</v>
      </c>
      <c r="O799" s="18">
        <f t="shared" ca="1" si="83"/>
        <v>0.98086124401913877</v>
      </c>
      <c r="P799" s="19">
        <f t="shared" si="85"/>
        <v>11</v>
      </c>
      <c r="Q799" s="16">
        <f>IF(COUNTIF($B$2:B799,B799)=1,SUMIF($B$2:$B$1097,B799,$L$2:$L$1097),"")</f>
        <v>209</v>
      </c>
      <c r="R799" s="16">
        <f t="shared" ref="R799:R800" si="88">AVERAGE(Q779:Q799)</f>
        <v>482.16666666666669</v>
      </c>
    </row>
    <row r="800" spans="1:18" ht="12.75" x14ac:dyDescent="0.2">
      <c r="A800" s="3">
        <v>799</v>
      </c>
      <c r="B800" s="26">
        <v>45193</v>
      </c>
      <c r="C800" s="23" t="s">
        <v>36</v>
      </c>
      <c r="D800" s="4">
        <v>2</v>
      </c>
      <c r="E800" s="24" t="s">
        <v>33</v>
      </c>
      <c r="F800" s="5" t="s">
        <v>11</v>
      </c>
      <c r="G800" s="5" t="s">
        <v>10</v>
      </c>
      <c r="H800" s="5" t="s">
        <v>38</v>
      </c>
      <c r="I800" s="5" t="s">
        <v>13</v>
      </c>
      <c r="J800" s="5" t="s">
        <v>52</v>
      </c>
      <c r="K800" s="6">
        <v>23</v>
      </c>
      <c r="L800" s="15">
        <v>229</v>
      </c>
      <c r="M800" s="15">
        <f t="shared" ca="1" si="86"/>
        <v>10</v>
      </c>
      <c r="N800" s="16">
        <f t="shared" ca="1" si="84"/>
        <v>219</v>
      </c>
      <c r="O800" s="18">
        <f t="shared" ca="1" si="83"/>
        <v>0.95633187772925765</v>
      </c>
      <c r="P800" s="19">
        <f t="shared" si="85"/>
        <v>9.9565217391304355</v>
      </c>
      <c r="Q800" s="16">
        <f>IF(COUNTIF($B$2:B800,B800)=1,SUMIF($B$2:$B$1097,B800,$L$2:$L$1097),"")</f>
        <v>955</v>
      </c>
      <c r="R800" s="16">
        <f t="shared" si="88"/>
        <v>544.16666666666663</v>
      </c>
    </row>
    <row r="801" spans="1:18" ht="12.75" x14ac:dyDescent="0.2">
      <c r="A801" s="3">
        <v>800</v>
      </c>
      <c r="B801" s="26">
        <v>45193</v>
      </c>
      <c r="C801" s="23" t="s">
        <v>36</v>
      </c>
      <c r="D801" s="4">
        <v>2</v>
      </c>
      <c r="E801" s="24" t="s">
        <v>33</v>
      </c>
      <c r="F801" s="5" t="s">
        <v>11</v>
      </c>
      <c r="G801" s="5" t="s">
        <v>10</v>
      </c>
      <c r="H801" s="5" t="s">
        <v>38</v>
      </c>
      <c r="I801" s="5" t="s">
        <v>15</v>
      </c>
      <c r="J801" s="5" t="s">
        <v>54</v>
      </c>
      <c r="K801" s="6">
        <v>23</v>
      </c>
      <c r="L801" s="15">
        <v>237</v>
      </c>
      <c r="M801" s="15">
        <f t="shared" ca="1" si="86"/>
        <v>27</v>
      </c>
      <c r="N801" s="16">
        <f t="shared" ca="1" si="84"/>
        <v>210</v>
      </c>
      <c r="O801" s="18">
        <f t="shared" ca="1" si="83"/>
        <v>0.88607594936708856</v>
      </c>
      <c r="P801" s="19">
        <f t="shared" si="85"/>
        <v>10.304347826086957</v>
      </c>
      <c r="Q801" s="16" t="str">
        <f>IF(COUNTIF($B$2:B801,B801)=1,SUMIF($B$2:$B$1097,B801,$L$2:$L$1097),"")</f>
        <v/>
      </c>
    </row>
    <row r="802" spans="1:18" ht="12.75" x14ac:dyDescent="0.2">
      <c r="A802" s="3">
        <v>801</v>
      </c>
      <c r="B802" s="26">
        <v>45193</v>
      </c>
      <c r="C802" s="23" t="s">
        <v>36</v>
      </c>
      <c r="D802" s="4">
        <v>2</v>
      </c>
      <c r="E802" s="24" t="s">
        <v>33</v>
      </c>
      <c r="F802" s="5" t="s">
        <v>11</v>
      </c>
      <c r="G802" s="5" t="s">
        <v>10</v>
      </c>
      <c r="H802" s="5" t="s">
        <v>38</v>
      </c>
      <c r="I802" s="5" t="s">
        <v>16</v>
      </c>
      <c r="J802" s="5" t="s">
        <v>54</v>
      </c>
      <c r="K802" s="6">
        <v>26</v>
      </c>
      <c r="L802" s="15">
        <v>230</v>
      </c>
      <c r="M802" s="15">
        <f t="shared" ca="1" si="86"/>
        <v>20</v>
      </c>
      <c r="N802" s="16">
        <f t="shared" ca="1" si="84"/>
        <v>210</v>
      </c>
      <c r="O802" s="18">
        <f t="shared" ca="1" si="83"/>
        <v>0.91304347826086951</v>
      </c>
      <c r="P802" s="19">
        <f t="shared" si="85"/>
        <v>8.8461538461538467</v>
      </c>
      <c r="Q802" s="16" t="str">
        <f>IF(COUNTIF($B$2:B802,B802)=1,SUMIF($B$2:$B$1097,B802,$L$2:$L$1097),"")</f>
        <v/>
      </c>
    </row>
    <row r="803" spans="1:18" ht="12.75" x14ac:dyDescent="0.2">
      <c r="A803" s="3">
        <v>802</v>
      </c>
      <c r="B803" s="26">
        <v>45193</v>
      </c>
      <c r="C803" s="23" t="s">
        <v>36</v>
      </c>
      <c r="D803" s="4">
        <v>2</v>
      </c>
      <c r="E803" s="24" t="s">
        <v>33</v>
      </c>
      <c r="F803" s="5" t="s">
        <v>11</v>
      </c>
      <c r="G803" s="5" t="s">
        <v>10</v>
      </c>
      <c r="H803" s="5" t="s">
        <v>38</v>
      </c>
      <c r="I803" s="5" t="s">
        <v>17</v>
      </c>
      <c r="J803" s="5" t="s">
        <v>54</v>
      </c>
      <c r="K803" s="6">
        <v>25</v>
      </c>
      <c r="L803" s="15">
        <v>259</v>
      </c>
      <c r="M803" s="15">
        <f t="shared" ca="1" si="86"/>
        <v>20</v>
      </c>
      <c r="N803" s="16">
        <f t="shared" ca="1" si="84"/>
        <v>239</v>
      </c>
      <c r="O803" s="18">
        <f t="shared" ca="1" si="83"/>
        <v>0.92277992277992282</v>
      </c>
      <c r="P803" s="19">
        <f t="shared" si="85"/>
        <v>10.36</v>
      </c>
      <c r="Q803" s="16" t="str">
        <f>IF(COUNTIF($B$2:B803,B803)=1,SUMIF($B$2:$B$1097,B803,$L$2:$L$1097),"")</f>
        <v/>
      </c>
    </row>
    <row r="804" spans="1:18" ht="12.75" x14ac:dyDescent="0.2">
      <c r="A804" s="3">
        <v>803</v>
      </c>
      <c r="B804" s="26">
        <v>45194</v>
      </c>
      <c r="C804" s="23" t="s">
        <v>36</v>
      </c>
      <c r="D804" s="4">
        <v>3</v>
      </c>
      <c r="E804" s="24" t="s">
        <v>33</v>
      </c>
      <c r="F804" s="5" t="s">
        <v>11</v>
      </c>
      <c r="G804" s="5" t="s">
        <v>10</v>
      </c>
      <c r="H804" s="5" t="s">
        <v>38</v>
      </c>
      <c r="I804" s="5" t="s">
        <v>13</v>
      </c>
      <c r="J804" s="5" t="s">
        <v>56</v>
      </c>
      <c r="K804" s="6">
        <v>21</v>
      </c>
      <c r="L804" s="15">
        <v>191</v>
      </c>
      <c r="M804" s="15">
        <f t="shared" ca="1" si="86"/>
        <v>21</v>
      </c>
      <c r="N804" s="16">
        <f t="shared" ca="1" si="84"/>
        <v>170</v>
      </c>
      <c r="O804" s="18">
        <f t="shared" ca="1" si="83"/>
        <v>0.89005235602094246</v>
      </c>
      <c r="P804" s="19">
        <f t="shared" si="85"/>
        <v>9.0952380952380949</v>
      </c>
      <c r="Q804" s="16">
        <f>IF(COUNTIF($B$2:B804,B804)=1,SUMIF($B$2:$B$1097,B804,$L$2:$L$1097),"")</f>
        <v>806</v>
      </c>
      <c r="R804" s="16">
        <f>AVERAGE(Q784:Q804)</f>
        <v>596</v>
      </c>
    </row>
    <row r="805" spans="1:18" ht="12.75" x14ac:dyDescent="0.2">
      <c r="A805" s="3">
        <v>804</v>
      </c>
      <c r="B805" s="26">
        <v>45194</v>
      </c>
      <c r="C805" s="23" t="s">
        <v>36</v>
      </c>
      <c r="D805" s="4">
        <v>3</v>
      </c>
      <c r="E805" s="24" t="s">
        <v>33</v>
      </c>
      <c r="F805" s="5" t="s">
        <v>11</v>
      </c>
      <c r="G805" s="5" t="s">
        <v>10</v>
      </c>
      <c r="H805" s="5" t="s">
        <v>38</v>
      </c>
      <c r="I805" s="5" t="s">
        <v>15</v>
      </c>
      <c r="J805" s="5" t="s">
        <v>56</v>
      </c>
      <c r="K805" s="6">
        <v>23</v>
      </c>
      <c r="L805" s="15">
        <v>205</v>
      </c>
      <c r="M805" s="15">
        <f t="shared" ca="1" si="86"/>
        <v>30</v>
      </c>
      <c r="N805" s="16">
        <f t="shared" ca="1" si="84"/>
        <v>175</v>
      </c>
      <c r="O805" s="18">
        <f t="shared" ca="1" si="83"/>
        <v>0.85365853658536583</v>
      </c>
      <c r="P805" s="19">
        <f t="shared" si="85"/>
        <v>8.9130434782608692</v>
      </c>
      <c r="Q805" s="16" t="str">
        <f>IF(COUNTIF($B$2:B805,B805)=1,SUMIF($B$2:$B$1097,B805,$L$2:$L$1097),"")</f>
        <v/>
      </c>
    </row>
    <row r="806" spans="1:18" ht="12.75" x14ac:dyDescent="0.2">
      <c r="A806" s="3">
        <v>805</v>
      </c>
      <c r="B806" s="26">
        <v>45194</v>
      </c>
      <c r="C806" s="23" t="s">
        <v>36</v>
      </c>
      <c r="D806" s="4">
        <v>3</v>
      </c>
      <c r="E806" s="24" t="s">
        <v>33</v>
      </c>
      <c r="F806" s="5" t="s">
        <v>11</v>
      </c>
      <c r="G806" s="5" t="s">
        <v>10</v>
      </c>
      <c r="H806" s="5" t="s">
        <v>38</v>
      </c>
      <c r="I806" s="5" t="s">
        <v>16</v>
      </c>
      <c r="J806" s="5" t="s">
        <v>55</v>
      </c>
      <c r="K806" s="6">
        <v>21</v>
      </c>
      <c r="L806" s="15">
        <v>191</v>
      </c>
      <c r="M806" s="15">
        <f t="shared" ca="1" si="86"/>
        <v>19</v>
      </c>
      <c r="N806" s="16">
        <f t="shared" ca="1" si="84"/>
        <v>172</v>
      </c>
      <c r="O806" s="18">
        <f t="shared" ca="1" si="83"/>
        <v>0.90052356020942403</v>
      </c>
      <c r="P806" s="19">
        <f t="shared" si="85"/>
        <v>9.0952380952380949</v>
      </c>
      <c r="Q806" s="16" t="str">
        <f>IF(COUNTIF($B$2:B806,B806)=1,SUMIF($B$2:$B$1097,B806,$L$2:$L$1097),"")</f>
        <v/>
      </c>
    </row>
    <row r="807" spans="1:18" ht="12.75" x14ac:dyDescent="0.2">
      <c r="A807" s="3">
        <v>806</v>
      </c>
      <c r="B807" s="26">
        <v>45194</v>
      </c>
      <c r="C807" s="23" t="s">
        <v>36</v>
      </c>
      <c r="D807" s="4">
        <v>3</v>
      </c>
      <c r="E807" s="24" t="s">
        <v>33</v>
      </c>
      <c r="F807" s="5" t="s">
        <v>11</v>
      </c>
      <c r="G807" s="5" t="s">
        <v>10</v>
      </c>
      <c r="H807" s="5" t="s">
        <v>38</v>
      </c>
      <c r="I807" s="5" t="s">
        <v>17</v>
      </c>
      <c r="J807" s="5" t="s">
        <v>53</v>
      </c>
      <c r="K807" s="6">
        <v>25</v>
      </c>
      <c r="L807" s="15">
        <v>219</v>
      </c>
      <c r="M807" s="15">
        <f t="shared" ca="1" si="86"/>
        <v>4</v>
      </c>
      <c r="N807" s="16">
        <f t="shared" ca="1" si="84"/>
        <v>215</v>
      </c>
      <c r="O807" s="18">
        <f t="shared" ca="1" si="83"/>
        <v>0.9817351598173516</v>
      </c>
      <c r="P807" s="19">
        <f t="shared" si="85"/>
        <v>8.76</v>
      </c>
      <c r="Q807" s="16" t="str">
        <f>IF(COUNTIF($B$2:B807,B807)=1,SUMIF($B$2:$B$1097,B807,$L$2:$L$1097),"")</f>
        <v/>
      </c>
    </row>
    <row r="808" spans="1:18" ht="12.75" x14ac:dyDescent="0.2">
      <c r="A808" s="3">
        <v>807</v>
      </c>
      <c r="B808" s="26">
        <v>45195</v>
      </c>
      <c r="C808" s="23" t="s">
        <v>36</v>
      </c>
      <c r="D808" s="4">
        <v>4</v>
      </c>
      <c r="E808" s="24" t="s">
        <v>33</v>
      </c>
      <c r="F808" s="5" t="s">
        <v>11</v>
      </c>
      <c r="G808" s="5" t="s">
        <v>10</v>
      </c>
      <c r="H808" s="5" t="s">
        <v>38</v>
      </c>
      <c r="I808" s="5" t="s">
        <v>13</v>
      </c>
      <c r="J808" s="5" t="s">
        <v>52</v>
      </c>
      <c r="K808" s="6">
        <v>27</v>
      </c>
      <c r="L808" s="15">
        <v>233</v>
      </c>
      <c r="M808" s="15">
        <f t="shared" ca="1" si="86"/>
        <v>46</v>
      </c>
      <c r="N808" s="16">
        <f t="shared" ca="1" si="84"/>
        <v>187</v>
      </c>
      <c r="O808" s="18">
        <f t="shared" ca="1" si="83"/>
        <v>0.80257510729613735</v>
      </c>
      <c r="P808" s="19">
        <f t="shared" si="85"/>
        <v>8.6296296296296298</v>
      </c>
      <c r="Q808" s="16">
        <f>IF(COUNTIF($B$2:B808,B808)=1,SUMIF($B$2:$B$1097,B808,$L$2:$L$1097),"")</f>
        <v>781</v>
      </c>
      <c r="R808" s="16">
        <f>AVERAGE(Q788:Q808)</f>
        <v>652.83333333333337</v>
      </c>
    </row>
    <row r="809" spans="1:18" ht="12.75" x14ac:dyDescent="0.2">
      <c r="A809" s="3">
        <v>808</v>
      </c>
      <c r="B809" s="26">
        <v>45195</v>
      </c>
      <c r="C809" s="23" t="s">
        <v>36</v>
      </c>
      <c r="D809" s="4">
        <v>4</v>
      </c>
      <c r="E809" s="24" t="s">
        <v>33</v>
      </c>
      <c r="F809" s="5" t="s">
        <v>11</v>
      </c>
      <c r="G809" s="5" t="s">
        <v>10</v>
      </c>
      <c r="H809" s="5" t="s">
        <v>38</v>
      </c>
      <c r="I809" s="5" t="s">
        <v>15</v>
      </c>
      <c r="J809" s="5" t="s">
        <v>54</v>
      </c>
      <c r="K809" s="6">
        <v>22</v>
      </c>
      <c r="L809" s="15">
        <v>178</v>
      </c>
      <c r="M809" s="15">
        <f t="shared" ca="1" si="86"/>
        <v>12</v>
      </c>
      <c r="N809" s="16">
        <f t="shared" ca="1" si="84"/>
        <v>166</v>
      </c>
      <c r="O809" s="18">
        <f t="shared" ca="1" si="83"/>
        <v>0.93258426966292129</v>
      </c>
      <c r="P809" s="19">
        <f t="shared" si="85"/>
        <v>8.0909090909090917</v>
      </c>
      <c r="Q809" s="16" t="str">
        <f>IF(COUNTIF($B$2:B809,B809)=1,SUMIF($B$2:$B$1097,B809,$L$2:$L$1097),"")</f>
        <v/>
      </c>
    </row>
    <row r="810" spans="1:18" ht="12.75" x14ac:dyDescent="0.2">
      <c r="A810" s="3">
        <v>809</v>
      </c>
      <c r="B810" s="26">
        <v>45195</v>
      </c>
      <c r="C810" s="23" t="s">
        <v>36</v>
      </c>
      <c r="D810" s="4">
        <v>4</v>
      </c>
      <c r="E810" s="24" t="s">
        <v>33</v>
      </c>
      <c r="F810" s="5" t="s">
        <v>11</v>
      </c>
      <c r="G810" s="5" t="s">
        <v>10</v>
      </c>
      <c r="H810" s="5" t="s">
        <v>38</v>
      </c>
      <c r="I810" s="5" t="s">
        <v>16</v>
      </c>
      <c r="J810" s="5" t="s">
        <v>54</v>
      </c>
      <c r="K810" s="6">
        <v>17</v>
      </c>
      <c r="L810" s="15">
        <v>163</v>
      </c>
      <c r="M810" s="15">
        <f t="shared" ca="1" si="86"/>
        <v>31</v>
      </c>
      <c r="N810" s="16">
        <f t="shared" ca="1" si="84"/>
        <v>132</v>
      </c>
      <c r="O810" s="18">
        <f t="shared" ca="1" si="83"/>
        <v>0.80981595092024539</v>
      </c>
      <c r="P810" s="19">
        <f t="shared" si="85"/>
        <v>9.5882352941176467</v>
      </c>
      <c r="Q810" s="16" t="str">
        <f>IF(COUNTIF($B$2:B810,B810)=1,SUMIF($B$2:$B$1097,B810,$L$2:$L$1097),"")</f>
        <v/>
      </c>
    </row>
    <row r="811" spans="1:18" ht="12.75" x14ac:dyDescent="0.2">
      <c r="A811" s="3">
        <v>810</v>
      </c>
      <c r="B811" s="26">
        <v>45195</v>
      </c>
      <c r="C811" s="23" t="s">
        <v>36</v>
      </c>
      <c r="D811" s="4">
        <v>4</v>
      </c>
      <c r="E811" s="24" t="s">
        <v>33</v>
      </c>
      <c r="F811" s="5" t="s">
        <v>11</v>
      </c>
      <c r="G811" s="5" t="s">
        <v>10</v>
      </c>
      <c r="H811" s="5" t="s">
        <v>38</v>
      </c>
      <c r="I811" s="5" t="s">
        <v>17</v>
      </c>
      <c r="J811" s="5" t="s">
        <v>54</v>
      </c>
      <c r="K811" s="6">
        <v>21</v>
      </c>
      <c r="L811" s="15">
        <v>207</v>
      </c>
      <c r="M811" s="15">
        <f t="shared" ca="1" si="86"/>
        <v>10</v>
      </c>
      <c r="N811" s="16">
        <f t="shared" ca="1" si="84"/>
        <v>197</v>
      </c>
      <c r="O811" s="18">
        <f t="shared" ca="1" si="83"/>
        <v>0.95169082125603865</v>
      </c>
      <c r="P811" s="19">
        <f t="shared" si="85"/>
        <v>9.8571428571428577</v>
      </c>
      <c r="Q811" s="16" t="str">
        <f>IF(COUNTIF($B$2:B811,B811)=1,SUMIF($B$2:$B$1097,B811,$L$2:$L$1097),"")</f>
        <v/>
      </c>
    </row>
    <row r="812" spans="1:18" ht="12.75" x14ac:dyDescent="0.2">
      <c r="A812" s="3">
        <v>811</v>
      </c>
      <c r="B812" s="26">
        <v>45196</v>
      </c>
      <c r="C812" s="23" t="s">
        <v>36</v>
      </c>
      <c r="D812" s="4">
        <v>5</v>
      </c>
      <c r="E812" s="24" t="s">
        <v>33</v>
      </c>
      <c r="F812" s="5" t="s">
        <v>11</v>
      </c>
      <c r="G812" s="5" t="s">
        <v>10</v>
      </c>
      <c r="H812" s="5" t="s">
        <v>38</v>
      </c>
      <c r="I812" s="5" t="s">
        <v>13</v>
      </c>
      <c r="J812" s="5" t="s">
        <v>56</v>
      </c>
      <c r="K812" s="6">
        <v>19</v>
      </c>
      <c r="L812" s="15">
        <v>177</v>
      </c>
      <c r="M812" s="15">
        <f t="shared" ca="1" si="86"/>
        <v>1</v>
      </c>
      <c r="N812" s="16">
        <f t="shared" ca="1" si="84"/>
        <v>176</v>
      </c>
      <c r="O812" s="18">
        <f t="shared" ca="1" si="83"/>
        <v>0.99435028248587576</v>
      </c>
      <c r="P812" s="19">
        <f t="shared" si="85"/>
        <v>9.3157894736842106</v>
      </c>
      <c r="Q812" s="16">
        <f>IF(COUNTIF($B$2:B812,B812)=1,SUMIF($B$2:$B$1097,B812,$L$2:$L$1097),"")</f>
        <v>757</v>
      </c>
      <c r="R812" s="16">
        <f>AVERAGE(Q792:Q812)</f>
        <v>689.16666666666663</v>
      </c>
    </row>
    <row r="813" spans="1:18" ht="12.75" x14ac:dyDescent="0.2">
      <c r="A813" s="3">
        <v>812</v>
      </c>
      <c r="B813" s="26">
        <v>45196</v>
      </c>
      <c r="C813" s="23" t="s">
        <v>36</v>
      </c>
      <c r="D813" s="4">
        <v>5</v>
      </c>
      <c r="E813" s="24" t="s">
        <v>33</v>
      </c>
      <c r="F813" s="5" t="s">
        <v>11</v>
      </c>
      <c r="G813" s="5" t="s">
        <v>10</v>
      </c>
      <c r="H813" s="5" t="s">
        <v>38</v>
      </c>
      <c r="I813" s="5" t="s">
        <v>15</v>
      </c>
      <c r="J813" s="5" t="s">
        <v>56</v>
      </c>
      <c r="K813" s="6">
        <v>23</v>
      </c>
      <c r="L813" s="15">
        <v>197</v>
      </c>
      <c r="M813" s="15">
        <f t="shared" ca="1" si="86"/>
        <v>17</v>
      </c>
      <c r="N813" s="16">
        <f t="shared" ca="1" si="84"/>
        <v>180</v>
      </c>
      <c r="O813" s="18">
        <f t="shared" ca="1" si="83"/>
        <v>0.91370558375634514</v>
      </c>
      <c r="P813" s="19">
        <f t="shared" si="85"/>
        <v>8.5652173913043477</v>
      </c>
      <c r="Q813" s="16" t="str">
        <f>IF(COUNTIF($B$2:B813,B813)=1,SUMIF($B$2:$B$1097,B813,$L$2:$L$1097),"")</f>
        <v/>
      </c>
    </row>
    <row r="814" spans="1:18" ht="12.75" x14ac:dyDescent="0.2">
      <c r="A814" s="3">
        <v>813</v>
      </c>
      <c r="B814" s="26">
        <v>45196</v>
      </c>
      <c r="C814" s="23" t="s">
        <v>36</v>
      </c>
      <c r="D814" s="4">
        <v>5</v>
      </c>
      <c r="E814" s="24" t="s">
        <v>33</v>
      </c>
      <c r="F814" s="5" t="s">
        <v>11</v>
      </c>
      <c r="G814" s="5" t="s">
        <v>10</v>
      </c>
      <c r="H814" s="5" t="s">
        <v>38</v>
      </c>
      <c r="I814" s="5" t="s">
        <v>16</v>
      </c>
      <c r="J814" s="5" t="s">
        <v>55</v>
      </c>
      <c r="K814" s="6">
        <v>22</v>
      </c>
      <c r="L814" s="15">
        <v>178</v>
      </c>
      <c r="M814" s="15">
        <f t="shared" ca="1" si="86"/>
        <v>50</v>
      </c>
      <c r="N814" s="16">
        <f t="shared" ca="1" si="84"/>
        <v>128</v>
      </c>
      <c r="O814" s="18">
        <f t="shared" ca="1" si="83"/>
        <v>0.7191011235955056</v>
      </c>
      <c r="P814" s="19">
        <f t="shared" si="85"/>
        <v>8.0909090909090917</v>
      </c>
      <c r="Q814" s="16" t="str">
        <f>IF(COUNTIF($B$2:B814,B814)=1,SUMIF($B$2:$B$1097,B814,$L$2:$L$1097),"")</f>
        <v/>
      </c>
    </row>
    <row r="815" spans="1:18" ht="12.75" x14ac:dyDescent="0.2">
      <c r="A815" s="3">
        <v>814</v>
      </c>
      <c r="B815" s="26">
        <v>45196</v>
      </c>
      <c r="C815" s="23" t="s">
        <v>36</v>
      </c>
      <c r="D815" s="4">
        <v>5</v>
      </c>
      <c r="E815" s="24" t="s">
        <v>33</v>
      </c>
      <c r="F815" s="5" t="s">
        <v>11</v>
      </c>
      <c r="G815" s="5" t="s">
        <v>10</v>
      </c>
      <c r="H815" s="5" t="s">
        <v>38</v>
      </c>
      <c r="I815" s="5" t="s">
        <v>17</v>
      </c>
      <c r="J815" s="5" t="s">
        <v>53</v>
      </c>
      <c r="K815" s="6">
        <v>23</v>
      </c>
      <c r="L815" s="15">
        <v>205</v>
      </c>
      <c r="M815" s="15">
        <f t="shared" ca="1" si="86"/>
        <v>42</v>
      </c>
      <c r="N815" s="16">
        <f t="shared" ca="1" si="84"/>
        <v>163</v>
      </c>
      <c r="O815" s="18">
        <f t="shared" ca="1" si="83"/>
        <v>0.79512195121951224</v>
      </c>
      <c r="P815" s="19">
        <f t="shared" si="85"/>
        <v>8.9130434782608692</v>
      </c>
      <c r="Q815" s="16" t="str">
        <f>IF(COUNTIF($B$2:B815,B815)=1,SUMIF($B$2:$B$1097,B815,$L$2:$L$1097),"")</f>
        <v/>
      </c>
    </row>
    <row r="816" spans="1:18" ht="12.75" x14ac:dyDescent="0.2">
      <c r="A816" s="3">
        <v>815</v>
      </c>
      <c r="B816" s="26">
        <v>45197</v>
      </c>
      <c r="C816" s="23" t="s">
        <v>36</v>
      </c>
      <c r="D816" s="4">
        <v>6</v>
      </c>
      <c r="E816" s="24" t="s">
        <v>33</v>
      </c>
      <c r="F816" s="5" t="s">
        <v>11</v>
      </c>
      <c r="G816" s="5" t="s">
        <v>10</v>
      </c>
      <c r="H816" s="5" t="s">
        <v>38</v>
      </c>
      <c r="I816" s="5" t="s">
        <v>13</v>
      </c>
      <c r="J816" s="5" t="s">
        <v>52</v>
      </c>
      <c r="K816" s="6">
        <v>21</v>
      </c>
      <c r="L816" s="15">
        <v>215</v>
      </c>
      <c r="M816" s="15">
        <f t="shared" ca="1" si="86"/>
        <v>30</v>
      </c>
      <c r="N816" s="16">
        <f t="shared" ca="1" si="84"/>
        <v>185</v>
      </c>
      <c r="O816" s="18">
        <f t="shared" ca="1" si="83"/>
        <v>0.86046511627906974</v>
      </c>
      <c r="P816" s="19">
        <f t="shared" si="85"/>
        <v>10.238095238095237</v>
      </c>
      <c r="Q816" s="16">
        <f>IF(COUNTIF($B$2:B816,B816)=1,SUMIF($B$2:$B$1097,B816,$L$2:$L$1097),"")</f>
        <v>936</v>
      </c>
      <c r="R816" s="16">
        <f>AVERAGE(Q796:Q816)</f>
        <v>740.66666666666663</v>
      </c>
    </row>
    <row r="817" spans="1:18" ht="12.75" x14ac:dyDescent="0.2">
      <c r="A817" s="3">
        <v>816</v>
      </c>
      <c r="B817" s="26">
        <v>45197</v>
      </c>
      <c r="C817" s="23" t="s">
        <v>36</v>
      </c>
      <c r="D817" s="4">
        <v>6</v>
      </c>
      <c r="E817" s="24" t="s">
        <v>33</v>
      </c>
      <c r="F817" s="5" t="s">
        <v>11</v>
      </c>
      <c r="G817" s="5" t="s">
        <v>10</v>
      </c>
      <c r="H817" s="5" t="s">
        <v>38</v>
      </c>
      <c r="I817" s="5" t="s">
        <v>15</v>
      </c>
      <c r="J817" s="5" t="s">
        <v>55</v>
      </c>
      <c r="K817" s="6">
        <v>25</v>
      </c>
      <c r="L817" s="15">
        <v>243</v>
      </c>
      <c r="M817" s="15">
        <f t="shared" ca="1" si="86"/>
        <v>25</v>
      </c>
      <c r="N817" s="16">
        <f t="shared" ca="1" si="84"/>
        <v>218</v>
      </c>
      <c r="O817" s="18">
        <f t="shared" ca="1" si="83"/>
        <v>0.89711934156378603</v>
      </c>
      <c r="P817" s="19">
        <f t="shared" si="85"/>
        <v>9.7200000000000006</v>
      </c>
      <c r="Q817" s="16" t="str">
        <f>IF(COUNTIF($B$2:B817,B817)=1,SUMIF($B$2:$B$1097,B817,$L$2:$L$1097),"")</f>
        <v/>
      </c>
    </row>
    <row r="818" spans="1:18" ht="12.75" x14ac:dyDescent="0.2">
      <c r="A818" s="3">
        <v>817</v>
      </c>
      <c r="B818" s="26">
        <v>45197</v>
      </c>
      <c r="C818" s="23" t="s">
        <v>36</v>
      </c>
      <c r="D818" s="4">
        <v>6</v>
      </c>
      <c r="E818" s="24" t="s">
        <v>33</v>
      </c>
      <c r="F818" s="5" t="s">
        <v>11</v>
      </c>
      <c r="G818" s="5" t="s">
        <v>10</v>
      </c>
      <c r="H818" s="5" t="s">
        <v>38</v>
      </c>
      <c r="I818" s="5" t="s">
        <v>16</v>
      </c>
      <c r="J818" s="5" t="s">
        <v>55</v>
      </c>
      <c r="K818" s="6">
        <v>24</v>
      </c>
      <c r="L818" s="15">
        <v>224</v>
      </c>
      <c r="M818" s="15">
        <f t="shared" ca="1" si="86"/>
        <v>31</v>
      </c>
      <c r="N818" s="16">
        <f t="shared" ca="1" si="84"/>
        <v>193</v>
      </c>
      <c r="O818" s="18">
        <f t="shared" ca="1" si="83"/>
        <v>0.8616071428571429</v>
      </c>
      <c r="P818" s="19">
        <f t="shared" si="85"/>
        <v>9.3333333333333339</v>
      </c>
      <c r="Q818" s="16" t="str">
        <f>IF(COUNTIF($B$2:B818,B818)=1,SUMIF($B$2:$B$1097,B818,$L$2:$L$1097),"")</f>
        <v/>
      </c>
    </row>
    <row r="819" spans="1:18" ht="12.75" x14ac:dyDescent="0.2">
      <c r="A819" s="3">
        <v>818</v>
      </c>
      <c r="B819" s="26">
        <v>45197</v>
      </c>
      <c r="C819" s="23" t="s">
        <v>36</v>
      </c>
      <c r="D819" s="4">
        <v>6</v>
      </c>
      <c r="E819" s="24" t="s">
        <v>33</v>
      </c>
      <c r="F819" s="5" t="s">
        <v>11</v>
      </c>
      <c r="G819" s="5" t="s">
        <v>10</v>
      </c>
      <c r="H819" s="5" t="s">
        <v>38</v>
      </c>
      <c r="I819" s="5" t="s">
        <v>17</v>
      </c>
      <c r="J819" s="5" t="s">
        <v>53</v>
      </c>
      <c r="K819" s="6">
        <v>26</v>
      </c>
      <c r="L819" s="15">
        <v>254</v>
      </c>
      <c r="M819" s="15">
        <f t="shared" ca="1" si="86"/>
        <v>6</v>
      </c>
      <c r="N819" s="16">
        <f t="shared" ca="1" si="84"/>
        <v>248</v>
      </c>
      <c r="O819" s="18">
        <f t="shared" ca="1" si="83"/>
        <v>0.97637795275590555</v>
      </c>
      <c r="P819" s="19">
        <f t="shared" si="85"/>
        <v>9.7692307692307701</v>
      </c>
      <c r="Q819" s="16" t="str">
        <f>IF(COUNTIF($B$2:B819,B819)=1,SUMIF($B$2:$B$1097,B819,$L$2:$L$1097),"")</f>
        <v/>
      </c>
    </row>
    <row r="820" spans="1:18" ht="12.75" x14ac:dyDescent="0.2">
      <c r="A820" s="3">
        <v>819</v>
      </c>
      <c r="B820" s="26">
        <v>45198</v>
      </c>
      <c r="C820" s="23" t="s">
        <v>36</v>
      </c>
      <c r="D820" s="4">
        <v>7</v>
      </c>
      <c r="E820" s="24" t="s">
        <v>33</v>
      </c>
      <c r="F820" s="5" t="s">
        <v>11</v>
      </c>
      <c r="G820" s="5" t="s">
        <v>10</v>
      </c>
      <c r="H820" s="5" t="s">
        <v>38</v>
      </c>
      <c r="I820" s="5" t="s">
        <v>13</v>
      </c>
      <c r="J820" s="5" t="s">
        <v>56</v>
      </c>
      <c r="K820" s="6">
        <v>23</v>
      </c>
      <c r="L820" s="15">
        <v>213</v>
      </c>
      <c r="M820" s="15">
        <f t="shared" ca="1" si="86"/>
        <v>23</v>
      </c>
      <c r="N820" s="16">
        <f t="shared" ca="1" si="84"/>
        <v>190</v>
      </c>
      <c r="O820" s="18">
        <f t="shared" ca="1" si="83"/>
        <v>0.892018779342723</v>
      </c>
      <c r="P820" s="19">
        <f t="shared" si="85"/>
        <v>9.2608695652173907</v>
      </c>
      <c r="Q820" s="16">
        <f>IF(COUNTIF($B$2:B820,B820)=1,SUMIF($B$2:$B$1097,B820,$L$2:$L$1097),"")</f>
        <v>213</v>
      </c>
      <c r="R820" s="16">
        <f t="shared" ref="R820:R821" si="89">AVERAGE(Q800:Q820)</f>
        <v>741.33333333333337</v>
      </c>
    </row>
    <row r="821" spans="1:18" ht="12.75" x14ac:dyDescent="0.2">
      <c r="A821" s="3">
        <v>820</v>
      </c>
      <c r="B821" s="26">
        <v>45200</v>
      </c>
      <c r="C821" s="23" t="s">
        <v>39</v>
      </c>
      <c r="D821" s="4">
        <v>2</v>
      </c>
      <c r="E821" s="24" t="s">
        <v>40</v>
      </c>
      <c r="F821" s="5" t="s">
        <v>11</v>
      </c>
      <c r="G821" s="5" t="s">
        <v>11</v>
      </c>
      <c r="H821" s="5" t="s">
        <v>14</v>
      </c>
      <c r="I821" s="5" t="s">
        <v>13</v>
      </c>
      <c r="J821" s="5" t="s">
        <v>52</v>
      </c>
      <c r="K821" s="6">
        <v>19</v>
      </c>
      <c r="L821" s="15">
        <v>209</v>
      </c>
      <c r="M821" s="15">
        <f t="shared" ca="1" si="86"/>
        <v>10</v>
      </c>
      <c r="N821" s="16">
        <f t="shared" ca="1" si="84"/>
        <v>199</v>
      </c>
      <c r="O821" s="18">
        <f t="shared" ca="1" si="83"/>
        <v>0.95215311004784686</v>
      </c>
      <c r="P821" s="19">
        <f t="shared" si="85"/>
        <v>11</v>
      </c>
      <c r="Q821" s="16">
        <f>IF(COUNTIF($B$2:B821,B821)=1,SUMIF($B$2:$B$1097,B821,$L$2:$L$1097),"")</f>
        <v>616</v>
      </c>
      <c r="R821" s="16">
        <f t="shared" si="89"/>
        <v>684.83333333333337</v>
      </c>
    </row>
    <row r="822" spans="1:18" ht="12.75" x14ac:dyDescent="0.2">
      <c r="A822" s="3">
        <v>821</v>
      </c>
      <c r="B822" s="26">
        <v>45200</v>
      </c>
      <c r="C822" s="23" t="s">
        <v>39</v>
      </c>
      <c r="D822" s="4">
        <v>2</v>
      </c>
      <c r="E822" s="24" t="s">
        <v>40</v>
      </c>
      <c r="F822" s="5" t="s">
        <v>11</v>
      </c>
      <c r="G822" s="5" t="s">
        <v>11</v>
      </c>
      <c r="H822" s="5" t="s">
        <v>14</v>
      </c>
      <c r="I822" s="5" t="s">
        <v>15</v>
      </c>
      <c r="J822" s="5" t="s">
        <v>54</v>
      </c>
      <c r="K822" s="6">
        <v>12</v>
      </c>
      <c r="L822" s="15">
        <v>132</v>
      </c>
      <c r="M822" s="15">
        <f t="shared" ca="1" si="86"/>
        <v>5</v>
      </c>
      <c r="N822" s="16">
        <f t="shared" ca="1" si="84"/>
        <v>127</v>
      </c>
      <c r="O822" s="18">
        <f t="shared" ca="1" si="83"/>
        <v>0.96212121212121215</v>
      </c>
      <c r="P822" s="19">
        <f t="shared" si="85"/>
        <v>11</v>
      </c>
      <c r="Q822" s="16" t="str">
        <f>IF(COUNTIF($B$2:B822,B822)=1,SUMIF($B$2:$B$1097,B822,$L$2:$L$1097),"")</f>
        <v/>
      </c>
    </row>
    <row r="823" spans="1:18" ht="12.75" x14ac:dyDescent="0.2">
      <c r="A823" s="3">
        <v>822</v>
      </c>
      <c r="B823" s="26">
        <v>45200</v>
      </c>
      <c r="C823" s="23" t="s">
        <v>39</v>
      </c>
      <c r="D823" s="4">
        <v>2</v>
      </c>
      <c r="E823" s="24" t="s">
        <v>40</v>
      </c>
      <c r="F823" s="5" t="s">
        <v>11</v>
      </c>
      <c r="G823" s="5" t="s">
        <v>11</v>
      </c>
      <c r="H823" s="5" t="s">
        <v>14</v>
      </c>
      <c r="I823" s="5" t="s">
        <v>16</v>
      </c>
      <c r="J823" s="5" t="s">
        <v>54</v>
      </c>
      <c r="K823" s="6">
        <v>10</v>
      </c>
      <c r="L823" s="15">
        <v>110</v>
      </c>
      <c r="M823" s="15">
        <f t="shared" ca="1" si="86"/>
        <v>11</v>
      </c>
      <c r="N823" s="16">
        <f t="shared" ca="1" si="84"/>
        <v>99</v>
      </c>
      <c r="O823" s="18">
        <f t="shared" ca="1" si="83"/>
        <v>0.9</v>
      </c>
      <c r="P823" s="19">
        <f t="shared" si="85"/>
        <v>11</v>
      </c>
      <c r="Q823" s="16" t="str">
        <f>IF(COUNTIF($B$2:B823,B823)=1,SUMIF($B$2:$B$1097,B823,$L$2:$L$1097),"")</f>
        <v/>
      </c>
    </row>
    <row r="824" spans="1:18" ht="12.75" x14ac:dyDescent="0.2">
      <c r="A824" s="3">
        <v>823</v>
      </c>
      <c r="B824" s="26">
        <v>45200</v>
      </c>
      <c r="C824" s="23" t="s">
        <v>39</v>
      </c>
      <c r="D824" s="4">
        <v>2</v>
      </c>
      <c r="E824" s="24" t="s">
        <v>40</v>
      </c>
      <c r="F824" s="5" t="s">
        <v>11</v>
      </c>
      <c r="G824" s="5" t="s">
        <v>11</v>
      </c>
      <c r="H824" s="5" t="s">
        <v>14</v>
      </c>
      <c r="I824" s="5" t="s">
        <v>17</v>
      </c>
      <c r="J824" s="5" t="s">
        <v>54</v>
      </c>
      <c r="K824" s="6">
        <v>15</v>
      </c>
      <c r="L824" s="15">
        <v>165</v>
      </c>
      <c r="M824" s="15">
        <f t="shared" ca="1" si="86"/>
        <v>30</v>
      </c>
      <c r="N824" s="16">
        <f t="shared" ca="1" si="84"/>
        <v>135</v>
      </c>
      <c r="O824" s="18">
        <f t="shared" ca="1" si="83"/>
        <v>0.81818181818181823</v>
      </c>
      <c r="P824" s="19">
        <f t="shared" si="85"/>
        <v>11</v>
      </c>
      <c r="Q824" s="16" t="str">
        <f>IF(COUNTIF($B$2:B824,B824)=1,SUMIF($B$2:$B$1097,B824,$L$2:$L$1097),"")</f>
        <v/>
      </c>
    </row>
    <row r="825" spans="1:18" ht="12.75" x14ac:dyDescent="0.2">
      <c r="A825" s="3">
        <v>824</v>
      </c>
      <c r="B825" s="26">
        <v>45201</v>
      </c>
      <c r="C825" s="23" t="s">
        <v>39</v>
      </c>
      <c r="D825" s="4">
        <v>3</v>
      </c>
      <c r="E825" s="24" t="s">
        <v>40</v>
      </c>
      <c r="F825" s="5" t="s">
        <v>11</v>
      </c>
      <c r="G825" s="5" t="s">
        <v>11</v>
      </c>
      <c r="H825" s="5" t="s">
        <v>14</v>
      </c>
      <c r="I825" s="5" t="s">
        <v>13</v>
      </c>
      <c r="J825" s="5" t="s">
        <v>56</v>
      </c>
      <c r="K825" s="6">
        <v>17</v>
      </c>
      <c r="L825" s="15">
        <v>187</v>
      </c>
      <c r="M825" s="15">
        <f t="shared" ca="1" si="86"/>
        <v>9</v>
      </c>
      <c r="N825" s="16">
        <f t="shared" ca="1" si="84"/>
        <v>178</v>
      </c>
      <c r="O825" s="18">
        <f t="shared" ca="1" si="83"/>
        <v>0.95187165775401072</v>
      </c>
      <c r="P825" s="19">
        <f t="shared" si="85"/>
        <v>11</v>
      </c>
      <c r="Q825" s="16">
        <f>IF(COUNTIF($B$2:B825,B825)=1,SUMIF($B$2:$B$1097,B825,$L$2:$L$1097),"")</f>
        <v>484</v>
      </c>
      <c r="R825" s="16">
        <f>AVERAGE(Q805:Q825)</f>
        <v>631.16666666666663</v>
      </c>
    </row>
    <row r="826" spans="1:18" ht="12.75" x14ac:dyDescent="0.2">
      <c r="A826" s="3">
        <v>825</v>
      </c>
      <c r="B826" s="26">
        <v>45201</v>
      </c>
      <c r="C826" s="23" t="s">
        <v>39</v>
      </c>
      <c r="D826" s="4">
        <v>3</v>
      </c>
      <c r="E826" s="24" t="s">
        <v>40</v>
      </c>
      <c r="F826" s="5" t="s">
        <v>11</v>
      </c>
      <c r="G826" s="5" t="s">
        <v>11</v>
      </c>
      <c r="H826" s="5" t="s">
        <v>14</v>
      </c>
      <c r="I826" s="5" t="s">
        <v>15</v>
      </c>
      <c r="J826" s="5" t="s">
        <v>56</v>
      </c>
      <c r="K826" s="6">
        <v>11</v>
      </c>
      <c r="L826" s="15">
        <v>121</v>
      </c>
      <c r="M826" s="15">
        <f t="shared" ca="1" si="86"/>
        <v>19</v>
      </c>
      <c r="N826" s="16">
        <f t="shared" ca="1" si="84"/>
        <v>102</v>
      </c>
      <c r="O826" s="18">
        <f t="shared" ca="1" si="83"/>
        <v>0.84297520661157022</v>
      </c>
      <c r="P826" s="19">
        <f t="shared" si="85"/>
        <v>11</v>
      </c>
      <c r="Q826" s="16" t="str">
        <f>IF(COUNTIF($B$2:B826,B826)=1,SUMIF($B$2:$B$1097,B826,$L$2:$L$1097),"")</f>
        <v/>
      </c>
    </row>
    <row r="827" spans="1:18" ht="12.75" x14ac:dyDescent="0.2">
      <c r="A827" s="3">
        <v>826</v>
      </c>
      <c r="B827" s="26">
        <v>45201</v>
      </c>
      <c r="C827" s="23" t="s">
        <v>39</v>
      </c>
      <c r="D827" s="4">
        <v>3</v>
      </c>
      <c r="E827" s="24" t="s">
        <v>40</v>
      </c>
      <c r="F827" s="5" t="s">
        <v>11</v>
      </c>
      <c r="G827" s="5" t="s">
        <v>11</v>
      </c>
      <c r="H827" s="5" t="s">
        <v>14</v>
      </c>
      <c r="I827" s="5" t="s">
        <v>16</v>
      </c>
      <c r="J827" s="5" t="s">
        <v>55</v>
      </c>
      <c r="K827" s="6">
        <v>5</v>
      </c>
      <c r="L827" s="15">
        <v>55</v>
      </c>
      <c r="M827" s="15">
        <f t="shared" ca="1" si="86"/>
        <v>40</v>
      </c>
      <c r="N827" s="16">
        <f t="shared" ca="1" si="84"/>
        <v>15</v>
      </c>
      <c r="O827" s="18">
        <f t="shared" ca="1" si="83"/>
        <v>0.27272727272727271</v>
      </c>
      <c r="P827" s="19">
        <f t="shared" si="85"/>
        <v>11</v>
      </c>
      <c r="Q827" s="16" t="str">
        <f>IF(COUNTIF($B$2:B827,B827)=1,SUMIF($B$2:$B$1097,B827,$L$2:$L$1097),"")</f>
        <v/>
      </c>
    </row>
    <row r="828" spans="1:18" ht="12.75" x14ac:dyDescent="0.2">
      <c r="A828" s="3">
        <v>827</v>
      </c>
      <c r="B828" s="26">
        <v>45201</v>
      </c>
      <c r="C828" s="23" t="s">
        <v>39</v>
      </c>
      <c r="D828" s="4">
        <v>3</v>
      </c>
      <c r="E828" s="24" t="s">
        <v>40</v>
      </c>
      <c r="F828" s="5" t="s">
        <v>11</v>
      </c>
      <c r="G828" s="5" t="s">
        <v>11</v>
      </c>
      <c r="H828" s="5" t="s">
        <v>14</v>
      </c>
      <c r="I828" s="5" t="s">
        <v>17</v>
      </c>
      <c r="J828" s="5" t="s">
        <v>53</v>
      </c>
      <c r="K828" s="6">
        <v>11</v>
      </c>
      <c r="L828" s="15">
        <v>121</v>
      </c>
      <c r="M828" s="15">
        <f t="shared" ca="1" si="86"/>
        <v>22</v>
      </c>
      <c r="N828" s="16">
        <f t="shared" ca="1" si="84"/>
        <v>99</v>
      </c>
      <c r="O828" s="18">
        <f t="shared" ca="1" si="83"/>
        <v>0.81818181818181823</v>
      </c>
      <c r="P828" s="19">
        <f t="shared" si="85"/>
        <v>11</v>
      </c>
      <c r="Q828" s="16" t="str">
        <f>IF(COUNTIF($B$2:B828,B828)=1,SUMIF($B$2:$B$1097,B828,$L$2:$L$1097),"")</f>
        <v/>
      </c>
    </row>
    <row r="829" spans="1:18" ht="12.75" x14ac:dyDescent="0.2">
      <c r="A829" s="3">
        <v>828</v>
      </c>
      <c r="B829" s="26">
        <v>45202</v>
      </c>
      <c r="C829" s="23" t="s">
        <v>39</v>
      </c>
      <c r="D829" s="4">
        <v>4</v>
      </c>
      <c r="E829" s="24" t="s">
        <v>40</v>
      </c>
      <c r="F829" s="5" t="s">
        <v>11</v>
      </c>
      <c r="G829" s="5" t="s">
        <v>11</v>
      </c>
      <c r="H829" s="5" t="s">
        <v>14</v>
      </c>
      <c r="I829" s="5" t="s">
        <v>13</v>
      </c>
      <c r="J829" s="5" t="s">
        <v>52</v>
      </c>
      <c r="K829" s="6">
        <v>15</v>
      </c>
      <c r="L829" s="15">
        <v>165</v>
      </c>
      <c r="M829" s="15">
        <f t="shared" ca="1" si="86"/>
        <v>27</v>
      </c>
      <c r="N829" s="16">
        <f t="shared" ca="1" si="84"/>
        <v>138</v>
      </c>
      <c r="O829" s="18">
        <f t="shared" ca="1" si="83"/>
        <v>0.83636363636363631</v>
      </c>
      <c r="P829" s="19">
        <f t="shared" si="85"/>
        <v>11</v>
      </c>
      <c r="Q829" s="16">
        <f>IF(COUNTIF($B$2:B829,B829)=1,SUMIF($B$2:$B$1097,B829,$L$2:$L$1097),"")</f>
        <v>374</v>
      </c>
      <c r="R829" s="16">
        <f>AVERAGE(Q809:Q829)</f>
        <v>563.33333333333337</v>
      </c>
    </row>
    <row r="830" spans="1:18" ht="12.75" x14ac:dyDescent="0.2">
      <c r="A830" s="3">
        <v>829</v>
      </c>
      <c r="B830" s="26">
        <v>45202</v>
      </c>
      <c r="C830" s="23" t="s">
        <v>39</v>
      </c>
      <c r="D830" s="4">
        <v>4</v>
      </c>
      <c r="E830" s="24" t="s">
        <v>40</v>
      </c>
      <c r="F830" s="5" t="s">
        <v>11</v>
      </c>
      <c r="G830" s="5" t="s">
        <v>11</v>
      </c>
      <c r="H830" s="5" t="s">
        <v>14</v>
      </c>
      <c r="I830" s="5" t="s">
        <v>15</v>
      </c>
      <c r="J830" s="5" t="s">
        <v>54</v>
      </c>
      <c r="K830" s="6">
        <v>5</v>
      </c>
      <c r="L830" s="15">
        <v>55</v>
      </c>
      <c r="M830" s="15">
        <f t="shared" ca="1" si="86"/>
        <v>38</v>
      </c>
      <c r="N830" s="16">
        <f t="shared" ca="1" si="84"/>
        <v>17</v>
      </c>
      <c r="O830" s="18">
        <f t="shared" ca="1" si="83"/>
        <v>0.30909090909090908</v>
      </c>
      <c r="P830" s="19">
        <f t="shared" si="85"/>
        <v>11</v>
      </c>
      <c r="Q830" s="16" t="str">
        <f>IF(COUNTIF($B$2:B830,B830)=1,SUMIF($B$2:$B$1097,B830,$L$2:$L$1097),"")</f>
        <v/>
      </c>
    </row>
    <row r="831" spans="1:18" ht="12.75" x14ac:dyDescent="0.2">
      <c r="A831" s="3">
        <v>830</v>
      </c>
      <c r="B831" s="26">
        <v>45202</v>
      </c>
      <c r="C831" s="23" t="s">
        <v>39</v>
      </c>
      <c r="D831" s="4">
        <v>4</v>
      </c>
      <c r="E831" s="24" t="s">
        <v>40</v>
      </c>
      <c r="F831" s="5" t="s">
        <v>11</v>
      </c>
      <c r="G831" s="5" t="s">
        <v>11</v>
      </c>
      <c r="H831" s="5" t="s">
        <v>14</v>
      </c>
      <c r="I831" s="5" t="s">
        <v>16</v>
      </c>
      <c r="J831" s="5" t="s">
        <v>54</v>
      </c>
      <c r="K831" s="6">
        <v>5</v>
      </c>
      <c r="L831" s="15">
        <v>55</v>
      </c>
      <c r="M831" s="15">
        <f t="shared" ca="1" si="86"/>
        <v>13</v>
      </c>
      <c r="N831" s="16">
        <f t="shared" ca="1" si="84"/>
        <v>42</v>
      </c>
      <c r="O831" s="18">
        <f t="shared" ca="1" si="83"/>
        <v>0.76363636363636367</v>
      </c>
      <c r="P831" s="19">
        <f t="shared" si="85"/>
        <v>11</v>
      </c>
      <c r="Q831" s="16" t="str">
        <f>IF(COUNTIF($B$2:B831,B831)=1,SUMIF($B$2:$B$1097,B831,$L$2:$L$1097),"")</f>
        <v/>
      </c>
    </row>
    <row r="832" spans="1:18" ht="12.75" x14ac:dyDescent="0.2">
      <c r="A832" s="3">
        <v>831</v>
      </c>
      <c r="B832" s="26">
        <v>45202</v>
      </c>
      <c r="C832" s="23" t="s">
        <v>39</v>
      </c>
      <c r="D832" s="4">
        <v>4</v>
      </c>
      <c r="E832" s="24" t="s">
        <v>40</v>
      </c>
      <c r="F832" s="5" t="s">
        <v>11</v>
      </c>
      <c r="G832" s="5" t="s">
        <v>11</v>
      </c>
      <c r="H832" s="5" t="s">
        <v>14</v>
      </c>
      <c r="I832" s="5" t="s">
        <v>17</v>
      </c>
      <c r="J832" s="5" t="s">
        <v>54</v>
      </c>
      <c r="K832" s="6">
        <v>9</v>
      </c>
      <c r="L832" s="15">
        <v>99</v>
      </c>
      <c r="M832" s="15">
        <f t="shared" ca="1" si="86"/>
        <v>5</v>
      </c>
      <c r="N832" s="16">
        <f t="shared" ca="1" si="84"/>
        <v>94</v>
      </c>
      <c r="O832" s="18">
        <f t="shared" ca="1" si="83"/>
        <v>0.9494949494949495</v>
      </c>
      <c r="P832" s="19">
        <f t="shared" si="85"/>
        <v>11</v>
      </c>
      <c r="Q832" s="16" t="str">
        <f>IF(COUNTIF($B$2:B832,B832)=1,SUMIF($B$2:$B$1097,B832,$L$2:$L$1097),"")</f>
        <v/>
      </c>
    </row>
    <row r="833" spans="1:18" ht="12.75" x14ac:dyDescent="0.2">
      <c r="A833" s="3">
        <v>832</v>
      </c>
      <c r="B833" s="26">
        <v>45203</v>
      </c>
      <c r="C833" s="23" t="s">
        <v>39</v>
      </c>
      <c r="D833" s="4">
        <v>5</v>
      </c>
      <c r="E833" s="24" t="s">
        <v>40</v>
      </c>
      <c r="F833" s="5" t="s">
        <v>11</v>
      </c>
      <c r="G833" s="5" t="s">
        <v>11</v>
      </c>
      <c r="H833" s="5" t="s">
        <v>14</v>
      </c>
      <c r="I833" s="5" t="s">
        <v>13</v>
      </c>
      <c r="J833" s="5" t="s">
        <v>56</v>
      </c>
      <c r="K833" s="6">
        <v>17</v>
      </c>
      <c r="L833" s="15">
        <v>187</v>
      </c>
      <c r="M833" s="15">
        <f t="shared" ca="1" si="86"/>
        <v>45</v>
      </c>
      <c r="N833" s="16">
        <f t="shared" ca="1" si="84"/>
        <v>142</v>
      </c>
      <c r="O833" s="18">
        <f t="shared" ca="1" si="83"/>
        <v>0.75935828877005351</v>
      </c>
      <c r="P833" s="19">
        <f t="shared" si="85"/>
        <v>11</v>
      </c>
      <c r="Q833" s="16">
        <f>IF(COUNTIF($B$2:B833,B833)=1,SUMIF($B$2:$B$1097,B833,$L$2:$L$1097),"")</f>
        <v>495</v>
      </c>
      <c r="R833" s="16">
        <f>AVERAGE(Q813:Q833)</f>
        <v>519.66666666666663</v>
      </c>
    </row>
    <row r="834" spans="1:18" ht="12.75" x14ac:dyDescent="0.2">
      <c r="A834" s="3">
        <v>833</v>
      </c>
      <c r="B834" s="26">
        <v>45203</v>
      </c>
      <c r="C834" s="23" t="s">
        <v>39</v>
      </c>
      <c r="D834" s="4">
        <v>5</v>
      </c>
      <c r="E834" s="24" t="s">
        <v>40</v>
      </c>
      <c r="F834" s="5" t="s">
        <v>11</v>
      </c>
      <c r="G834" s="5" t="s">
        <v>11</v>
      </c>
      <c r="H834" s="5" t="s">
        <v>14</v>
      </c>
      <c r="I834" s="5" t="s">
        <v>15</v>
      </c>
      <c r="J834" s="5" t="s">
        <v>56</v>
      </c>
      <c r="K834" s="6">
        <v>11</v>
      </c>
      <c r="L834" s="15">
        <v>121</v>
      </c>
      <c r="M834" s="15">
        <f t="shared" ca="1" si="86"/>
        <v>47</v>
      </c>
      <c r="N834" s="16">
        <f t="shared" ca="1" si="84"/>
        <v>74</v>
      </c>
      <c r="O834" s="18">
        <f t="shared" ref="O834:O897" ca="1" si="90">IF(L834=0, 0, N834/L834)</f>
        <v>0.61157024793388426</v>
      </c>
      <c r="P834" s="19">
        <f t="shared" si="85"/>
        <v>11</v>
      </c>
      <c r="Q834" s="16" t="str">
        <f>IF(COUNTIF($B$2:B834,B834)=1,SUMIF($B$2:$B$1097,B834,$L$2:$L$1097),"")</f>
        <v/>
      </c>
    </row>
    <row r="835" spans="1:18" ht="12.75" x14ac:dyDescent="0.2">
      <c r="A835" s="3">
        <v>834</v>
      </c>
      <c r="B835" s="26">
        <v>45203</v>
      </c>
      <c r="C835" s="23" t="s">
        <v>39</v>
      </c>
      <c r="D835" s="4">
        <v>5</v>
      </c>
      <c r="E835" s="24" t="s">
        <v>40</v>
      </c>
      <c r="F835" s="5" t="s">
        <v>11</v>
      </c>
      <c r="G835" s="5" t="s">
        <v>11</v>
      </c>
      <c r="H835" s="5" t="s">
        <v>14</v>
      </c>
      <c r="I835" s="5" t="s">
        <v>16</v>
      </c>
      <c r="J835" s="5" t="s">
        <v>55</v>
      </c>
      <c r="K835" s="6">
        <v>5</v>
      </c>
      <c r="L835" s="15">
        <v>55</v>
      </c>
      <c r="M835" s="15">
        <f t="shared" ca="1" si="86"/>
        <v>33</v>
      </c>
      <c r="N835" s="16">
        <f t="shared" ref="N835:N898" ca="1" si="91">L835-M835</f>
        <v>22</v>
      </c>
      <c r="O835" s="18">
        <f t="shared" ca="1" si="90"/>
        <v>0.4</v>
      </c>
      <c r="P835" s="19">
        <f t="shared" ref="P835:P898" si="92">IF(K835=0, 0, L835/K835)</f>
        <v>11</v>
      </c>
      <c r="Q835" s="16" t="str">
        <f>IF(COUNTIF($B$2:B835,B835)=1,SUMIF($B$2:$B$1097,B835,$L$2:$L$1097),"")</f>
        <v/>
      </c>
    </row>
    <row r="836" spans="1:18" ht="12.75" x14ac:dyDescent="0.2">
      <c r="A836" s="3">
        <v>835</v>
      </c>
      <c r="B836" s="26">
        <v>45203</v>
      </c>
      <c r="C836" s="23" t="s">
        <v>39</v>
      </c>
      <c r="D836" s="4">
        <v>5</v>
      </c>
      <c r="E836" s="24" t="s">
        <v>40</v>
      </c>
      <c r="F836" s="5" t="s">
        <v>11</v>
      </c>
      <c r="G836" s="5" t="s">
        <v>11</v>
      </c>
      <c r="H836" s="5" t="s">
        <v>14</v>
      </c>
      <c r="I836" s="5" t="s">
        <v>17</v>
      </c>
      <c r="J836" s="5" t="s">
        <v>53</v>
      </c>
      <c r="K836" s="6">
        <v>12</v>
      </c>
      <c r="L836" s="15">
        <v>132</v>
      </c>
      <c r="M836" s="15">
        <f t="shared" ca="1" si="86"/>
        <v>11</v>
      </c>
      <c r="N836" s="16">
        <f t="shared" ca="1" si="91"/>
        <v>121</v>
      </c>
      <c r="O836" s="18">
        <f t="shared" ca="1" si="90"/>
        <v>0.91666666666666663</v>
      </c>
      <c r="P836" s="19">
        <f t="shared" si="92"/>
        <v>11</v>
      </c>
      <c r="Q836" s="16" t="str">
        <f>IF(COUNTIF($B$2:B836,B836)=1,SUMIF($B$2:$B$1097,B836,$L$2:$L$1097),"")</f>
        <v/>
      </c>
    </row>
    <row r="837" spans="1:18" ht="12.75" x14ac:dyDescent="0.2">
      <c r="A837" s="3">
        <v>836</v>
      </c>
      <c r="B837" s="26">
        <v>45204</v>
      </c>
      <c r="C837" s="23" t="s">
        <v>39</v>
      </c>
      <c r="D837" s="4">
        <v>6</v>
      </c>
      <c r="E837" s="24" t="s">
        <v>40</v>
      </c>
      <c r="F837" s="5" t="s">
        <v>11</v>
      </c>
      <c r="G837" s="5" t="s">
        <v>11</v>
      </c>
      <c r="H837" s="5" t="s">
        <v>14</v>
      </c>
      <c r="I837" s="5" t="s">
        <v>13</v>
      </c>
      <c r="J837" s="5" t="s">
        <v>52</v>
      </c>
      <c r="K837" s="6">
        <v>19</v>
      </c>
      <c r="L837" s="15">
        <v>209</v>
      </c>
      <c r="M837" s="15">
        <f t="shared" ca="1" si="86"/>
        <v>32</v>
      </c>
      <c r="N837" s="16">
        <f t="shared" ca="1" si="91"/>
        <v>177</v>
      </c>
      <c r="O837" s="18">
        <f t="shared" ca="1" si="90"/>
        <v>0.84688995215311003</v>
      </c>
      <c r="P837" s="19">
        <f t="shared" si="92"/>
        <v>11</v>
      </c>
      <c r="Q837" s="16">
        <f>IF(COUNTIF($B$2:B837,B837)=1,SUMIF($B$2:$B$1097,B837,$L$2:$L$1097),"")</f>
        <v>616</v>
      </c>
      <c r="R837" s="16">
        <f>AVERAGE(Q817:Q837)</f>
        <v>466.33333333333331</v>
      </c>
    </row>
    <row r="838" spans="1:18" ht="12.75" x14ac:dyDescent="0.2">
      <c r="A838" s="3">
        <v>837</v>
      </c>
      <c r="B838" s="26">
        <v>45204</v>
      </c>
      <c r="C838" s="23" t="s">
        <v>39</v>
      </c>
      <c r="D838" s="4">
        <v>6</v>
      </c>
      <c r="E838" s="24" t="s">
        <v>40</v>
      </c>
      <c r="F838" s="5" t="s">
        <v>11</v>
      </c>
      <c r="G838" s="5" t="s">
        <v>11</v>
      </c>
      <c r="H838" s="5" t="s">
        <v>14</v>
      </c>
      <c r="I838" s="5" t="s">
        <v>15</v>
      </c>
      <c r="J838" s="5" t="s">
        <v>55</v>
      </c>
      <c r="K838" s="6">
        <v>11</v>
      </c>
      <c r="L838" s="15">
        <v>121</v>
      </c>
      <c r="M838" s="15">
        <f t="shared" ca="1" si="86"/>
        <v>31</v>
      </c>
      <c r="N838" s="16">
        <f t="shared" ca="1" si="91"/>
        <v>90</v>
      </c>
      <c r="O838" s="18">
        <f t="shared" ca="1" si="90"/>
        <v>0.74380165289256195</v>
      </c>
      <c r="P838" s="19">
        <f t="shared" si="92"/>
        <v>11</v>
      </c>
      <c r="Q838" s="16" t="str">
        <f>IF(COUNTIF($B$2:B838,B838)=1,SUMIF($B$2:$B$1097,B838,$L$2:$L$1097),"")</f>
        <v/>
      </c>
    </row>
    <row r="839" spans="1:18" ht="12.75" x14ac:dyDescent="0.2">
      <c r="A839" s="3">
        <v>838</v>
      </c>
      <c r="B839" s="26">
        <v>45204</v>
      </c>
      <c r="C839" s="23" t="s">
        <v>39</v>
      </c>
      <c r="D839" s="4">
        <v>6</v>
      </c>
      <c r="E839" s="24" t="s">
        <v>40</v>
      </c>
      <c r="F839" s="5" t="s">
        <v>11</v>
      </c>
      <c r="G839" s="5" t="s">
        <v>11</v>
      </c>
      <c r="H839" s="5" t="s">
        <v>14</v>
      </c>
      <c r="I839" s="5" t="s">
        <v>16</v>
      </c>
      <c r="J839" s="5" t="s">
        <v>55</v>
      </c>
      <c r="K839" s="6">
        <v>9</v>
      </c>
      <c r="L839" s="15">
        <v>99</v>
      </c>
      <c r="M839" s="15">
        <f t="shared" ca="1" si="86"/>
        <v>24</v>
      </c>
      <c r="N839" s="16">
        <f t="shared" ca="1" si="91"/>
        <v>75</v>
      </c>
      <c r="O839" s="18">
        <f t="shared" ca="1" si="90"/>
        <v>0.75757575757575757</v>
      </c>
      <c r="P839" s="19">
        <f t="shared" si="92"/>
        <v>11</v>
      </c>
      <c r="Q839" s="16" t="str">
        <f>IF(COUNTIF($B$2:B839,B839)=1,SUMIF($B$2:$B$1097,B839,$L$2:$L$1097),"")</f>
        <v/>
      </c>
    </row>
    <row r="840" spans="1:18" ht="12.75" x14ac:dyDescent="0.2">
      <c r="A840" s="3">
        <v>839</v>
      </c>
      <c r="B840" s="26">
        <v>45204</v>
      </c>
      <c r="C840" s="23" t="s">
        <v>39</v>
      </c>
      <c r="D840" s="4">
        <v>6</v>
      </c>
      <c r="E840" s="24" t="s">
        <v>40</v>
      </c>
      <c r="F840" s="5" t="s">
        <v>11</v>
      </c>
      <c r="G840" s="5" t="s">
        <v>11</v>
      </c>
      <c r="H840" s="5" t="s">
        <v>14</v>
      </c>
      <c r="I840" s="5" t="s">
        <v>17</v>
      </c>
      <c r="J840" s="5" t="s">
        <v>53</v>
      </c>
      <c r="K840" s="6">
        <v>17</v>
      </c>
      <c r="L840" s="15">
        <v>187</v>
      </c>
      <c r="M840" s="15">
        <f t="shared" ca="1" si="86"/>
        <v>25</v>
      </c>
      <c r="N840" s="16">
        <f t="shared" ca="1" si="91"/>
        <v>162</v>
      </c>
      <c r="O840" s="18">
        <f t="shared" ca="1" si="90"/>
        <v>0.86631016042780751</v>
      </c>
      <c r="P840" s="19">
        <f t="shared" si="92"/>
        <v>11</v>
      </c>
      <c r="Q840" s="16" t="str">
        <f>IF(COUNTIF($B$2:B840,B840)=1,SUMIF($B$2:$B$1097,B840,$L$2:$L$1097),"")</f>
        <v/>
      </c>
    </row>
    <row r="841" spans="1:18" ht="12.75" x14ac:dyDescent="0.2">
      <c r="A841" s="3">
        <v>840</v>
      </c>
      <c r="B841" s="26">
        <v>45205</v>
      </c>
      <c r="C841" s="23" t="s">
        <v>39</v>
      </c>
      <c r="D841" s="4">
        <v>7</v>
      </c>
      <c r="E841" s="24" t="s">
        <v>40</v>
      </c>
      <c r="F841" s="5" t="s">
        <v>11</v>
      </c>
      <c r="G841" s="5" t="s">
        <v>11</v>
      </c>
      <c r="H841" s="5" t="s">
        <v>14</v>
      </c>
      <c r="I841" s="5" t="s">
        <v>13</v>
      </c>
      <c r="J841" s="5" t="s">
        <v>56</v>
      </c>
      <c r="K841" s="6">
        <v>22</v>
      </c>
      <c r="L841" s="15">
        <v>242</v>
      </c>
      <c r="M841" s="15">
        <f t="shared" ref="M841:M904" ca="1" si="93">RANDBETWEEN(1,50)</f>
        <v>25</v>
      </c>
      <c r="N841" s="16">
        <f t="shared" ca="1" si="91"/>
        <v>217</v>
      </c>
      <c r="O841" s="18">
        <f t="shared" ca="1" si="90"/>
        <v>0.89669421487603307</v>
      </c>
      <c r="P841" s="19">
        <f t="shared" si="92"/>
        <v>11</v>
      </c>
      <c r="Q841" s="16">
        <f>IF(COUNTIF($B$2:B841,B841)=1,SUMIF($B$2:$B$1097,B841,$L$2:$L$1097),"")</f>
        <v>242</v>
      </c>
      <c r="R841" s="16">
        <f t="shared" ref="R841:R842" si="94">AVERAGE(Q821:Q841)</f>
        <v>471.16666666666669</v>
      </c>
    </row>
    <row r="842" spans="1:18" ht="12.75" x14ac:dyDescent="0.2">
      <c r="A842" s="3">
        <v>841</v>
      </c>
      <c r="B842" s="26">
        <v>45207</v>
      </c>
      <c r="C842" s="23" t="s">
        <v>39</v>
      </c>
      <c r="D842" s="4">
        <v>2</v>
      </c>
      <c r="E842" s="24" t="s">
        <v>40</v>
      </c>
      <c r="F842" s="5" t="s">
        <v>10</v>
      </c>
      <c r="G842" s="5" t="s">
        <v>11</v>
      </c>
      <c r="H842" s="5" t="s">
        <v>41</v>
      </c>
      <c r="I842" s="5" t="s">
        <v>13</v>
      </c>
      <c r="J842" s="5" t="s">
        <v>52</v>
      </c>
      <c r="K842" s="6">
        <v>17</v>
      </c>
      <c r="L842" s="15">
        <v>187</v>
      </c>
      <c r="M842" s="15">
        <f t="shared" ca="1" si="93"/>
        <v>27</v>
      </c>
      <c r="N842" s="16">
        <f t="shared" ca="1" si="91"/>
        <v>160</v>
      </c>
      <c r="O842" s="18">
        <f t="shared" ca="1" si="90"/>
        <v>0.85561497326203206</v>
      </c>
      <c r="P842" s="19">
        <f t="shared" si="92"/>
        <v>11</v>
      </c>
      <c r="Q842" s="16">
        <f>IF(COUNTIF($B$2:B842,B842)=1,SUMIF($B$2:$B$1097,B842,$L$2:$L$1097),"")</f>
        <v>539</v>
      </c>
      <c r="R842" s="16">
        <f t="shared" si="94"/>
        <v>458.33333333333331</v>
      </c>
    </row>
    <row r="843" spans="1:18" ht="12.75" x14ac:dyDescent="0.2">
      <c r="A843" s="3">
        <v>842</v>
      </c>
      <c r="B843" s="26">
        <v>45207</v>
      </c>
      <c r="C843" s="23" t="s">
        <v>39</v>
      </c>
      <c r="D843" s="4">
        <v>2</v>
      </c>
      <c r="E843" s="24" t="s">
        <v>40</v>
      </c>
      <c r="F843" s="5" t="s">
        <v>10</v>
      </c>
      <c r="G843" s="5" t="s">
        <v>11</v>
      </c>
      <c r="H843" s="5" t="s">
        <v>41</v>
      </c>
      <c r="I843" s="5" t="s">
        <v>15</v>
      </c>
      <c r="J843" s="5" t="s">
        <v>54</v>
      </c>
      <c r="K843" s="6">
        <v>9</v>
      </c>
      <c r="L843" s="15">
        <v>99</v>
      </c>
      <c r="M843" s="15">
        <f t="shared" ca="1" si="93"/>
        <v>10</v>
      </c>
      <c r="N843" s="16">
        <f t="shared" ca="1" si="91"/>
        <v>89</v>
      </c>
      <c r="O843" s="18">
        <f t="shared" ca="1" si="90"/>
        <v>0.89898989898989901</v>
      </c>
      <c r="P843" s="19">
        <f t="shared" si="92"/>
        <v>11</v>
      </c>
      <c r="Q843" s="16" t="str">
        <f>IF(COUNTIF($B$2:B843,B843)=1,SUMIF($B$2:$B$1097,B843,$L$2:$L$1097),"")</f>
        <v/>
      </c>
    </row>
    <row r="844" spans="1:18" ht="12.75" x14ac:dyDescent="0.2">
      <c r="A844" s="3">
        <v>843</v>
      </c>
      <c r="B844" s="26">
        <v>45207</v>
      </c>
      <c r="C844" s="23" t="s">
        <v>39</v>
      </c>
      <c r="D844" s="4">
        <v>2</v>
      </c>
      <c r="E844" s="24" t="s">
        <v>40</v>
      </c>
      <c r="F844" s="5" t="s">
        <v>10</v>
      </c>
      <c r="G844" s="5" t="s">
        <v>11</v>
      </c>
      <c r="H844" s="5" t="s">
        <v>41</v>
      </c>
      <c r="I844" s="5" t="s">
        <v>16</v>
      </c>
      <c r="J844" s="5" t="s">
        <v>54</v>
      </c>
      <c r="K844" s="6">
        <v>10</v>
      </c>
      <c r="L844" s="15">
        <v>110</v>
      </c>
      <c r="M844" s="15">
        <f t="shared" ca="1" si="93"/>
        <v>25</v>
      </c>
      <c r="N844" s="16">
        <f t="shared" ca="1" si="91"/>
        <v>85</v>
      </c>
      <c r="O844" s="18">
        <f t="shared" ca="1" si="90"/>
        <v>0.77272727272727271</v>
      </c>
      <c r="P844" s="19">
        <f t="shared" si="92"/>
        <v>11</v>
      </c>
      <c r="Q844" s="16" t="str">
        <f>IF(COUNTIF($B$2:B844,B844)=1,SUMIF($B$2:$B$1097,B844,$L$2:$L$1097),"")</f>
        <v/>
      </c>
    </row>
    <row r="845" spans="1:18" ht="12.75" x14ac:dyDescent="0.2">
      <c r="A845" s="3">
        <v>844</v>
      </c>
      <c r="B845" s="26">
        <v>45207</v>
      </c>
      <c r="C845" s="23" t="s">
        <v>39</v>
      </c>
      <c r="D845" s="4">
        <v>2</v>
      </c>
      <c r="E845" s="24" t="s">
        <v>40</v>
      </c>
      <c r="F845" s="5" t="s">
        <v>10</v>
      </c>
      <c r="G845" s="5" t="s">
        <v>11</v>
      </c>
      <c r="H845" s="5" t="s">
        <v>41</v>
      </c>
      <c r="I845" s="5" t="s">
        <v>17</v>
      </c>
      <c r="J845" s="5" t="s">
        <v>54</v>
      </c>
      <c r="K845" s="6">
        <v>13</v>
      </c>
      <c r="L845" s="15">
        <v>143</v>
      </c>
      <c r="M845" s="15">
        <f t="shared" ca="1" si="93"/>
        <v>33</v>
      </c>
      <c r="N845" s="16">
        <f t="shared" ca="1" si="91"/>
        <v>110</v>
      </c>
      <c r="O845" s="18">
        <f t="shared" ca="1" si="90"/>
        <v>0.76923076923076927</v>
      </c>
      <c r="P845" s="19">
        <f t="shared" si="92"/>
        <v>11</v>
      </c>
      <c r="Q845" s="16" t="str">
        <f>IF(COUNTIF($B$2:B845,B845)=1,SUMIF($B$2:$B$1097,B845,$L$2:$L$1097),"")</f>
        <v/>
      </c>
    </row>
    <row r="846" spans="1:18" ht="12.75" x14ac:dyDescent="0.2">
      <c r="A846" s="3">
        <v>845</v>
      </c>
      <c r="B846" s="26">
        <v>45208</v>
      </c>
      <c r="C846" s="23" t="s">
        <v>39</v>
      </c>
      <c r="D846" s="4">
        <v>3</v>
      </c>
      <c r="E846" s="24" t="s">
        <v>40</v>
      </c>
      <c r="F846" s="5" t="s">
        <v>11</v>
      </c>
      <c r="G846" s="5" t="s">
        <v>11</v>
      </c>
      <c r="H846" s="5" t="s">
        <v>14</v>
      </c>
      <c r="I846" s="5" t="s">
        <v>13</v>
      </c>
      <c r="J846" s="5" t="s">
        <v>56</v>
      </c>
      <c r="K846" s="6">
        <v>17</v>
      </c>
      <c r="L846" s="15">
        <v>187</v>
      </c>
      <c r="M846" s="15">
        <f t="shared" ca="1" si="93"/>
        <v>41</v>
      </c>
      <c r="N846" s="16">
        <f t="shared" ca="1" si="91"/>
        <v>146</v>
      </c>
      <c r="O846" s="18">
        <f t="shared" ca="1" si="90"/>
        <v>0.78074866310160429</v>
      </c>
      <c r="P846" s="19">
        <f t="shared" si="92"/>
        <v>11</v>
      </c>
      <c r="Q846" s="16">
        <f>IF(COUNTIF($B$2:B846,B846)=1,SUMIF($B$2:$B$1097,B846,$L$2:$L$1097),"")</f>
        <v>484</v>
      </c>
      <c r="R846" s="16">
        <f>AVERAGE(Q826:Q846)</f>
        <v>458.33333333333331</v>
      </c>
    </row>
    <row r="847" spans="1:18" ht="12.75" x14ac:dyDescent="0.2">
      <c r="A847" s="3">
        <v>846</v>
      </c>
      <c r="B847" s="26">
        <v>45208</v>
      </c>
      <c r="C847" s="23" t="s">
        <v>39</v>
      </c>
      <c r="D847" s="4">
        <v>3</v>
      </c>
      <c r="E847" s="24" t="s">
        <v>40</v>
      </c>
      <c r="F847" s="5" t="s">
        <v>11</v>
      </c>
      <c r="G847" s="5" t="s">
        <v>11</v>
      </c>
      <c r="H847" s="5" t="s">
        <v>14</v>
      </c>
      <c r="I847" s="5" t="s">
        <v>15</v>
      </c>
      <c r="J847" s="5" t="s">
        <v>56</v>
      </c>
      <c r="K847" s="6">
        <v>10</v>
      </c>
      <c r="L847" s="15">
        <v>110</v>
      </c>
      <c r="M847" s="15">
        <f t="shared" ca="1" si="93"/>
        <v>3</v>
      </c>
      <c r="N847" s="16">
        <f t="shared" ca="1" si="91"/>
        <v>107</v>
      </c>
      <c r="O847" s="18">
        <f t="shared" ca="1" si="90"/>
        <v>0.97272727272727277</v>
      </c>
      <c r="P847" s="19">
        <f t="shared" si="92"/>
        <v>11</v>
      </c>
      <c r="Q847" s="16" t="str">
        <f>IF(COUNTIF($B$2:B847,B847)=1,SUMIF($B$2:$B$1097,B847,$L$2:$L$1097),"")</f>
        <v/>
      </c>
    </row>
    <row r="848" spans="1:18" ht="12.75" x14ac:dyDescent="0.2">
      <c r="A848" s="3">
        <v>847</v>
      </c>
      <c r="B848" s="26">
        <v>45208</v>
      </c>
      <c r="C848" s="23" t="s">
        <v>39</v>
      </c>
      <c r="D848" s="4">
        <v>3</v>
      </c>
      <c r="E848" s="24" t="s">
        <v>40</v>
      </c>
      <c r="F848" s="5" t="s">
        <v>11</v>
      </c>
      <c r="G848" s="5" t="s">
        <v>11</v>
      </c>
      <c r="H848" s="5" t="s">
        <v>14</v>
      </c>
      <c r="I848" s="5" t="s">
        <v>16</v>
      </c>
      <c r="J848" s="5" t="s">
        <v>55</v>
      </c>
      <c r="K848" s="6">
        <v>5</v>
      </c>
      <c r="L848" s="15">
        <v>55</v>
      </c>
      <c r="M848" s="15">
        <f t="shared" ca="1" si="93"/>
        <v>40</v>
      </c>
      <c r="N848" s="16">
        <f t="shared" ca="1" si="91"/>
        <v>15</v>
      </c>
      <c r="O848" s="18">
        <f t="shared" ca="1" si="90"/>
        <v>0.27272727272727271</v>
      </c>
      <c r="P848" s="19">
        <f t="shared" si="92"/>
        <v>11</v>
      </c>
      <c r="Q848" s="16" t="str">
        <f>IF(COUNTIF($B$2:B848,B848)=1,SUMIF($B$2:$B$1097,B848,$L$2:$L$1097),"")</f>
        <v/>
      </c>
    </row>
    <row r="849" spans="1:18" ht="12.75" x14ac:dyDescent="0.2">
      <c r="A849" s="3">
        <v>848</v>
      </c>
      <c r="B849" s="26">
        <v>45208</v>
      </c>
      <c r="C849" s="23" t="s">
        <v>39</v>
      </c>
      <c r="D849" s="4">
        <v>3</v>
      </c>
      <c r="E849" s="24" t="s">
        <v>40</v>
      </c>
      <c r="F849" s="5" t="s">
        <v>11</v>
      </c>
      <c r="G849" s="5" t="s">
        <v>11</v>
      </c>
      <c r="H849" s="5" t="s">
        <v>14</v>
      </c>
      <c r="I849" s="5" t="s">
        <v>17</v>
      </c>
      <c r="J849" s="5" t="s">
        <v>53</v>
      </c>
      <c r="K849" s="6">
        <v>12</v>
      </c>
      <c r="L849" s="15">
        <v>132</v>
      </c>
      <c r="M849" s="15">
        <f t="shared" ca="1" si="93"/>
        <v>20</v>
      </c>
      <c r="N849" s="16">
        <f t="shared" ca="1" si="91"/>
        <v>112</v>
      </c>
      <c r="O849" s="18">
        <f t="shared" ca="1" si="90"/>
        <v>0.84848484848484851</v>
      </c>
      <c r="P849" s="19">
        <f t="shared" si="92"/>
        <v>11</v>
      </c>
      <c r="Q849" s="16" t="str">
        <f>IF(COUNTIF($B$2:B849,B849)=1,SUMIF($B$2:$B$1097,B849,$L$2:$L$1097),"")</f>
        <v/>
      </c>
    </row>
    <row r="850" spans="1:18" ht="12.75" x14ac:dyDescent="0.2">
      <c r="A850" s="3">
        <v>849</v>
      </c>
      <c r="B850" s="26">
        <v>45209</v>
      </c>
      <c r="C850" s="23" t="s">
        <v>39</v>
      </c>
      <c r="D850" s="4">
        <v>4</v>
      </c>
      <c r="E850" s="24" t="s">
        <v>40</v>
      </c>
      <c r="F850" s="5" t="s">
        <v>11</v>
      </c>
      <c r="G850" s="5" t="s">
        <v>11</v>
      </c>
      <c r="H850" s="5" t="s">
        <v>14</v>
      </c>
      <c r="I850" s="5" t="s">
        <v>13</v>
      </c>
      <c r="J850" s="5" t="s">
        <v>52</v>
      </c>
      <c r="K850" s="6">
        <v>14</v>
      </c>
      <c r="L850" s="15">
        <v>154</v>
      </c>
      <c r="M850" s="15">
        <f t="shared" ca="1" si="93"/>
        <v>43</v>
      </c>
      <c r="N850" s="16">
        <f t="shared" ca="1" si="91"/>
        <v>111</v>
      </c>
      <c r="O850" s="18">
        <f t="shared" ca="1" si="90"/>
        <v>0.72077922077922074</v>
      </c>
      <c r="P850" s="19">
        <f t="shared" si="92"/>
        <v>11</v>
      </c>
      <c r="Q850" s="16">
        <f>IF(COUNTIF($B$2:B850,B850)=1,SUMIF($B$2:$B$1097,B850,$L$2:$L$1097),"")</f>
        <v>374</v>
      </c>
      <c r="R850" s="16">
        <f>AVERAGE(Q830:Q850)</f>
        <v>458.33333333333331</v>
      </c>
    </row>
    <row r="851" spans="1:18" ht="12.75" x14ac:dyDescent="0.2">
      <c r="A851" s="3">
        <v>850</v>
      </c>
      <c r="B851" s="26">
        <v>45209</v>
      </c>
      <c r="C851" s="23" t="s">
        <v>39</v>
      </c>
      <c r="D851" s="4">
        <v>4</v>
      </c>
      <c r="E851" s="24" t="s">
        <v>40</v>
      </c>
      <c r="F851" s="5" t="s">
        <v>11</v>
      </c>
      <c r="G851" s="5" t="s">
        <v>11</v>
      </c>
      <c r="H851" s="5" t="s">
        <v>14</v>
      </c>
      <c r="I851" s="5" t="s">
        <v>15</v>
      </c>
      <c r="J851" s="5" t="s">
        <v>54</v>
      </c>
      <c r="K851" s="6">
        <v>6</v>
      </c>
      <c r="L851" s="15">
        <v>66</v>
      </c>
      <c r="M851" s="15">
        <f t="shared" ca="1" si="93"/>
        <v>41</v>
      </c>
      <c r="N851" s="16">
        <f t="shared" ca="1" si="91"/>
        <v>25</v>
      </c>
      <c r="O851" s="18">
        <f t="shared" ca="1" si="90"/>
        <v>0.37878787878787878</v>
      </c>
      <c r="P851" s="19">
        <f t="shared" si="92"/>
        <v>11</v>
      </c>
      <c r="Q851" s="16" t="str">
        <f>IF(COUNTIF($B$2:B851,B851)=1,SUMIF($B$2:$B$1097,B851,$L$2:$L$1097),"")</f>
        <v/>
      </c>
    </row>
    <row r="852" spans="1:18" ht="12.75" x14ac:dyDescent="0.2">
      <c r="A852" s="3">
        <v>851</v>
      </c>
      <c r="B852" s="26">
        <v>45209</v>
      </c>
      <c r="C852" s="23" t="s">
        <v>39</v>
      </c>
      <c r="D852" s="4">
        <v>4</v>
      </c>
      <c r="E852" s="24" t="s">
        <v>40</v>
      </c>
      <c r="F852" s="5" t="s">
        <v>11</v>
      </c>
      <c r="G852" s="5" t="s">
        <v>11</v>
      </c>
      <c r="H852" s="5" t="s">
        <v>14</v>
      </c>
      <c r="I852" s="5" t="s">
        <v>16</v>
      </c>
      <c r="J852" s="5" t="s">
        <v>54</v>
      </c>
      <c r="K852" s="6">
        <v>5</v>
      </c>
      <c r="L852" s="15">
        <v>55</v>
      </c>
      <c r="M852" s="15">
        <f t="shared" ca="1" si="93"/>
        <v>32</v>
      </c>
      <c r="N852" s="16">
        <f t="shared" ca="1" si="91"/>
        <v>23</v>
      </c>
      <c r="O852" s="18">
        <f t="shared" ca="1" si="90"/>
        <v>0.41818181818181815</v>
      </c>
      <c r="P852" s="19">
        <f t="shared" si="92"/>
        <v>11</v>
      </c>
      <c r="Q852" s="16" t="str">
        <f>IF(COUNTIF($B$2:B852,B852)=1,SUMIF($B$2:$B$1097,B852,$L$2:$L$1097),"")</f>
        <v/>
      </c>
    </row>
    <row r="853" spans="1:18" ht="12.75" x14ac:dyDescent="0.2">
      <c r="A853" s="3">
        <v>852</v>
      </c>
      <c r="B853" s="26">
        <v>45209</v>
      </c>
      <c r="C853" s="23" t="s">
        <v>39</v>
      </c>
      <c r="D853" s="4">
        <v>4</v>
      </c>
      <c r="E853" s="24" t="s">
        <v>40</v>
      </c>
      <c r="F853" s="5" t="s">
        <v>11</v>
      </c>
      <c r="G853" s="5" t="s">
        <v>11</v>
      </c>
      <c r="H853" s="5" t="s">
        <v>14</v>
      </c>
      <c r="I853" s="5" t="s">
        <v>17</v>
      </c>
      <c r="J853" s="5" t="s">
        <v>54</v>
      </c>
      <c r="K853" s="6">
        <v>9</v>
      </c>
      <c r="L853" s="15">
        <v>99</v>
      </c>
      <c r="M853" s="15">
        <f t="shared" ca="1" si="93"/>
        <v>34</v>
      </c>
      <c r="N853" s="16">
        <f t="shared" ca="1" si="91"/>
        <v>65</v>
      </c>
      <c r="O853" s="18">
        <f t="shared" ca="1" si="90"/>
        <v>0.65656565656565657</v>
      </c>
      <c r="P853" s="19">
        <f t="shared" si="92"/>
        <v>11</v>
      </c>
      <c r="Q853" s="16" t="str">
        <f>IF(COUNTIF($B$2:B853,B853)=1,SUMIF($B$2:$B$1097,B853,$L$2:$L$1097),"")</f>
        <v/>
      </c>
    </row>
    <row r="854" spans="1:18" ht="12.75" x14ac:dyDescent="0.2">
      <c r="A854" s="3">
        <v>853</v>
      </c>
      <c r="B854" s="26">
        <v>45210</v>
      </c>
      <c r="C854" s="23" t="s">
        <v>39</v>
      </c>
      <c r="D854" s="4">
        <v>5</v>
      </c>
      <c r="E854" s="24" t="s">
        <v>40</v>
      </c>
      <c r="F854" s="5" t="s">
        <v>11</v>
      </c>
      <c r="G854" s="5" t="s">
        <v>11</v>
      </c>
      <c r="H854" s="5" t="s">
        <v>14</v>
      </c>
      <c r="I854" s="5" t="s">
        <v>13</v>
      </c>
      <c r="J854" s="5" t="s">
        <v>56</v>
      </c>
      <c r="K854" s="6">
        <v>17</v>
      </c>
      <c r="L854" s="15">
        <v>187</v>
      </c>
      <c r="M854" s="15">
        <f t="shared" ca="1" si="93"/>
        <v>43</v>
      </c>
      <c r="N854" s="16">
        <f t="shared" ca="1" si="91"/>
        <v>144</v>
      </c>
      <c r="O854" s="18">
        <f t="shared" ca="1" si="90"/>
        <v>0.77005347593582885</v>
      </c>
      <c r="P854" s="19">
        <f t="shared" si="92"/>
        <v>11</v>
      </c>
      <c r="Q854" s="16">
        <f>IF(COUNTIF($B$2:B854,B854)=1,SUMIF($B$2:$B$1097,B854,$L$2:$L$1097),"")</f>
        <v>473</v>
      </c>
      <c r="R854" s="16">
        <f>AVERAGE(Q834:Q854)</f>
        <v>454.66666666666669</v>
      </c>
    </row>
    <row r="855" spans="1:18" ht="12.75" x14ac:dyDescent="0.2">
      <c r="A855" s="3">
        <v>854</v>
      </c>
      <c r="B855" s="26">
        <v>45210</v>
      </c>
      <c r="C855" s="23" t="s">
        <v>39</v>
      </c>
      <c r="D855" s="4">
        <v>5</v>
      </c>
      <c r="E855" s="24" t="s">
        <v>40</v>
      </c>
      <c r="F855" s="5" t="s">
        <v>11</v>
      </c>
      <c r="G855" s="5" t="s">
        <v>11</v>
      </c>
      <c r="H855" s="5" t="s">
        <v>14</v>
      </c>
      <c r="I855" s="5" t="s">
        <v>15</v>
      </c>
      <c r="J855" s="5" t="s">
        <v>56</v>
      </c>
      <c r="K855" s="6">
        <v>9</v>
      </c>
      <c r="L855" s="15">
        <v>99</v>
      </c>
      <c r="M855" s="15">
        <f t="shared" ca="1" si="93"/>
        <v>11</v>
      </c>
      <c r="N855" s="16">
        <f t="shared" ca="1" si="91"/>
        <v>88</v>
      </c>
      <c r="O855" s="18">
        <f t="shared" ca="1" si="90"/>
        <v>0.88888888888888884</v>
      </c>
      <c r="P855" s="19">
        <f t="shared" si="92"/>
        <v>11</v>
      </c>
      <c r="Q855" s="16" t="str">
        <f>IF(COUNTIF($B$2:B855,B855)=1,SUMIF($B$2:$B$1097,B855,$L$2:$L$1097),"")</f>
        <v/>
      </c>
    </row>
    <row r="856" spans="1:18" ht="12.75" x14ac:dyDescent="0.2">
      <c r="A856" s="3">
        <v>855</v>
      </c>
      <c r="B856" s="26">
        <v>45210</v>
      </c>
      <c r="C856" s="23" t="s">
        <v>39</v>
      </c>
      <c r="D856" s="4">
        <v>5</v>
      </c>
      <c r="E856" s="24" t="s">
        <v>40</v>
      </c>
      <c r="F856" s="5" t="s">
        <v>11</v>
      </c>
      <c r="G856" s="5" t="s">
        <v>11</v>
      </c>
      <c r="H856" s="5" t="s">
        <v>14</v>
      </c>
      <c r="I856" s="5" t="s">
        <v>16</v>
      </c>
      <c r="J856" s="5" t="s">
        <v>55</v>
      </c>
      <c r="K856" s="6">
        <v>5</v>
      </c>
      <c r="L856" s="15">
        <v>55</v>
      </c>
      <c r="M856" s="15">
        <f t="shared" ca="1" si="93"/>
        <v>4</v>
      </c>
      <c r="N856" s="16">
        <f t="shared" ca="1" si="91"/>
        <v>51</v>
      </c>
      <c r="O856" s="18">
        <f t="shared" ca="1" si="90"/>
        <v>0.92727272727272725</v>
      </c>
      <c r="P856" s="19">
        <f t="shared" si="92"/>
        <v>11</v>
      </c>
      <c r="Q856" s="16" t="str">
        <f>IF(COUNTIF($B$2:B856,B856)=1,SUMIF($B$2:$B$1097,B856,$L$2:$L$1097),"")</f>
        <v/>
      </c>
    </row>
    <row r="857" spans="1:18" ht="12.75" x14ac:dyDescent="0.2">
      <c r="A857" s="3">
        <v>856</v>
      </c>
      <c r="B857" s="26">
        <v>45210</v>
      </c>
      <c r="C857" s="23" t="s">
        <v>39</v>
      </c>
      <c r="D857" s="4">
        <v>5</v>
      </c>
      <c r="E857" s="24" t="s">
        <v>40</v>
      </c>
      <c r="F857" s="5" t="s">
        <v>11</v>
      </c>
      <c r="G857" s="5" t="s">
        <v>11</v>
      </c>
      <c r="H857" s="5" t="s">
        <v>14</v>
      </c>
      <c r="I857" s="5" t="s">
        <v>17</v>
      </c>
      <c r="J857" s="5" t="s">
        <v>53</v>
      </c>
      <c r="K857" s="6">
        <v>12</v>
      </c>
      <c r="L857" s="15">
        <v>132</v>
      </c>
      <c r="M857" s="15">
        <f t="shared" ca="1" si="93"/>
        <v>19</v>
      </c>
      <c r="N857" s="16">
        <f t="shared" ca="1" si="91"/>
        <v>113</v>
      </c>
      <c r="O857" s="18">
        <f t="shared" ca="1" si="90"/>
        <v>0.85606060606060608</v>
      </c>
      <c r="P857" s="19">
        <f t="shared" si="92"/>
        <v>11</v>
      </c>
      <c r="Q857" s="16" t="str">
        <f>IF(COUNTIF($B$2:B857,B857)=1,SUMIF($B$2:$B$1097,B857,$L$2:$L$1097),"")</f>
        <v/>
      </c>
    </row>
    <row r="858" spans="1:18" ht="12.75" x14ac:dyDescent="0.2">
      <c r="A858" s="3">
        <v>857</v>
      </c>
      <c r="B858" s="26">
        <v>45211</v>
      </c>
      <c r="C858" s="23" t="s">
        <v>39</v>
      </c>
      <c r="D858" s="4">
        <v>6</v>
      </c>
      <c r="E858" s="24" t="s">
        <v>40</v>
      </c>
      <c r="F858" s="5" t="s">
        <v>11</v>
      </c>
      <c r="G858" s="5" t="s">
        <v>11</v>
      </c>
      <c r="H858" s="5" t="s">
        <v>14</v>
      </c>
      <c r="I858" s="5" t="s">
        <v>13</v>
      </c>
      <c r="J858" s="5" t="s">
        <v>52</v>
      </c>
      <c r="K858" s="6">
        <v>23</v>
      </c>
      <c r="L858" s="15">
        <v>253</v>
      </c>
      <c r="M858" s="15">
        <f t="shared" ca="1" si="93"/>
        <v>5</v>
      </c>
      <c r="N858" s="16">
        <f t="shared" ca="1" si="91"/>
        <v>248</v>
      </c>
      <c r="O858" s="18">
        <f t="shared" ca="1" si="90"/>
        <v>0.98023715415019763</v>
      </c>
      <c r="P858" s="19">
        <f t="shared" si="92"/>
        <v>11</v>
      </c>
      <c r="Q858" s="16">
        <f>IF(COUNTIF($B$2:B858,B858)=1,SUMIF($B$2:$B$1097,B858,$L$2:$L$1097),"")</f>
        <v>693</v>
      </c>
      <c r="R858" s="16">
        <f>AVERAGE(Q838:Q858)</f>
        <v>467.5</v>
      </c>
    </row>
    <row r="859" spans="1:18" ht="12.75" x14ac:dyDescent="0.2">
      <c r="A859" s="3">
        <v>858</v>
      </c>
      <c r="B859" s="26">
        <v>45211</v>
      </c>
      <c r="C859" s="23" t="s">
        <v>39</v>
      </c>
      <c r="D859" s="4">
        <v>6</v>
      </c>
      <c r="E859" s="24" t="s">
        <v>40</v>
      </c>
      <c r="F859" s="5" t="s">
        <v>11</v>
      </c>
      <c r="G859" s="5" t="s">
        <v>11</v>
      </c>
      <c r="H859" s="5" t="s">
        <v>14</v>
      </c>
      <c r="I859" s="5" t="s">
        <v>15</v>
      </c>
      <c r="J859" s="5" t="s">
        <v>55</v>
      </c>
      <c r="K859" s="6">
        <v>10</v>
      </c>
      <c r="L859" s="15">
        <v>110</v>
      </c>
      <c r="M859" s="15">
        <f t="shared" ca="1" si="93"/>
        <v>42</v>
      </c>
      <c r="N859" s="16">
        <f t="shared" ca="1" si="91"/>
        <v>68</v>
      </c>
      <c r="O859" s="18">
        <f t="shared" ca="1" si="90"/>
        <v>0.61818181818181817</v>
      </c>
      <c r="P859" s="19">
        <f t="shared" si="92"/>
        <v>11</v>
      </c>
      <c r="Q859" s="16" t="str">
        <f>IF(COUNTIF($B$2:B859,B859)=1,SUMIF($B$2:$B$1097,B859,$L$2:$L$1097),"")</f>
        <v/>
      </c>
    </row>
    <row r="860" spans="1:18" ht="12.75" x14ac:dyDescent="0.2">
      <c r="A860" s="3">
        <v>859</v>
      </c>
      <c r="B860" s="26">
        <v>45211</v>
      </c>
      <c r="C860" s="23" t="s">
        <v>39</v>
      </c>
      <c r="D860" s="4">
        <v>6</v>
      </c>
      <c r="E860" s="24" t="s">
        <v>40</v>
      </c>
      <c r="F860" s="5" t="s">
        <v>11</v>
      </c>
      <c r="G860" s="5" t="s">
        <v>11</v>
      </c>
      <c r="H860" s="5" t="s">
        <v>14</v>
      </c>
      <c r="I860" s="5" t="s">
        <v>16</v>
      </c>
      <c r="J860" s="5" t="s">
        <v>55</v>
      </c>
      <c r="K860" s="6">
        <v>10</v>
      </c>
      <c r="L860" s="15">
        <v>110</v>
      </c>
      <c r="M860" s="15">
        <f t="shared" ca="1" si="93"/>
        <v>22</v>
      </c>
      <c r="N860" s="16">
        <f t="shared" ca="1" si="91"/>
        <v>88</v>
      </c>
      <c r="O860" s="18">
        <f t="shared" ca="1" si="90"/>
        <v>0.8</v>
      </c>
      <c r="P860" s="19">
        <f t="shared" si="92"/>
        <v>11</v>
      </c>
      <c r="Q860" s="16" t="str">
        <f>IF(COUNTIF($B$2:B860,B860)=1,SUMIF($B$2:$B$1097,B860,$L$2:$L$1097),"")</f>
        <v/>
      </c>
    </row>
    <row r="861" spans="1:18" ht="12.75" x14ac:dyDescent="0.2">
      <c r="A861" s="3">
        <v>860</v>
      </c>
      <c r="B861" s="26">
        <v>45211</v>
      </c>
      <c r="C861" s="23" t="s">
        <v>39</v>
      </c>
      <c r="D861" s="4">
        <v>6</v>
      </c>
      <c r="E861" s="24" t="s">
        <v>40</v>
      </c>
      <c r="F861" s="5" t="s">
        <v>11</v>
      </c>
      <c r="G861" s="5" t="s">
        <v>11</v>
      </c>
      <c r="H861" s="5" t="s">
        <v>14</v>
      </c>
      <c r="I861" s="5" t="s">
        <v>17</v>
      </c>
      <c r="J861" s="5" t="s">
        <v>53</v>
      </c>
      <c r="K861" s="6">
        <v>20</v>
      </c>
      <c r="L861" s="15">
        <v>220</v>
      </c>
      <c r="M861" s="15">
        <f t="shared" ca="1" si="93"/>
        <v>15</v>
      </c>
      <c r="N861" s="16">
        <f t="shared" ca="1" si="91"/>
        <v>205</v>
      </c>
      <c r="O861" s="18">
        <f t="shared" ca="1" si="90"/>
        <v>0.93181818181818177</v>
      </c>
      <c r="P861" s="19">
        <f t="shared" si="92"/>
        <v>11</v>
      </c>
      <c r="Q861" s="16" t="str">
        <f>IF(COUNTIF($B$2:B861,B861)=1,SUMIF($B$2:$B$1097,B861,$L$2:$L$1097),"")</f>
        <v/>
      </c>
    </row>
    <row r="862" spans="1:18" ht="12.75" x14ac:dyDescent="0.2">
      <c r="A862" s="3">
        <v>861</v>
      </c>
      <c r="B862" s="26">
        <v>45212</v>
      </c>
      <c r="C862" s="23" t="s">
        <v>39</v>
      </c>
      <c r="D862" s="4">
        <v>7</v>
      </c>
      <c r="E862" s="24" t="s">
        <v>40</v>
      </c>
      <c r="F862" s="5" t="s">
        <v>11</v>
      </c>
      <c r="G862" s="5" t="s">
        <v>11</v>
      </c>
      <c r="H862" s="5" t="s">
        <v>14</v>
      </c>
      <c r="I862" s="5" t="s">
        <v>13</v>
      </c>
      <c r="J862" s="5" t="s">
        <v>56</v>
      </c>
      <c r="K862" s="6">
        <v>20</v>
      </c>
      <c r="L862" s="15">
        <v>220</v>
      </c>
      <c r="M862" s="15">
        <f t="shared" ca="1" si="93"/>
        <v>39</v>
      </c>
      <c r="N862" s="16">
        <f t="shared" ca="1" si="91"/>
        <v>181</v>
      </c>
      <c r="O862" s="18">
        <f t="shared" ca="1" si="90"/>
        <v>0.82272727272727275</v>
      </c>
      <c r="P862" s="19">
        <f t="shared" si="92"/>
        <v>11</v>
      </c>
      <c r="Q862" s="16">
        <f>IF(COUNTIF($B$2:B862,B862)=1,SUMIF($B$2:$B$1097,B862,$L$2:$L$1097),"")</f>
        <v>220</v>
      </c>
      <c r="R862" s="16">
        <f t="shared" ref="R862:R863" si="95">AVERAGE(Q842:Q862)</f>
        <v>463.83333333333331</v>
      </c>
    </row>
    <row r="863" spans="1:18" ht="12.75" x14ac:dyDescent="0.2">
      <c r="A863" s="3">
        <v>862</v>
      </c>
      <c r="B863" s="26">
        <v>45214</v>
      </c>
      <c r="C863" s="23" t="s">
        <v>39</v>
      </c>
      <c r="D863" s="4">
        <v>2</v>
      </c>
      <c r="E863" s="24" t="s">
        <v>40</v>
      </c>
      <c r="F863" s="5" t="s">
        <v>11</v>
      </c>
      <c r="G863" s="5" t="s">
        <v>11</v>
      </c>
      <c r="H863" s="5" t="s">
        <v>14</v>
      </c>
      <c r="I863" s="5" t="s">
        <v>13</v>
      </c>
      <c r="J863" s="5" t="s">
        <v>52</v>
      </c>
      <c r="K863" s="6">
        <v>18</v>
      </c>
      <c r="L863" s="15">
        <v>198</v>
      </c>
      <c r="M863" s="15">
        <f t="shared" ca="1" si="93"/>
        <v>6</v>
      </c>
      <c r="N863" s="16">
        <f t="shared" ca="1" si="91"/>
        <v>192</v>
      </c>
      <c r="O863" s="18">
        <f t="shared" ca="1" si="90"/>
        <v>0.96969696969696972</v>
      </c>
      <c r="P863" s="19">
        <f t="shared" si="92"/>
        <v>11</v>
      </c>
      <c r="Q863" s="16">
        <f>IF(COUNTIF($B$2:B863,B863)=1,SUMIF($B$2:$B$1097,B863,$L$2:$L$1097),"")</f>
        <v>594</v>
      </c>
      <c r="R863" s="16">
        <f t="shared" si="95"/>
        <v>473</v>
      </c>
    </row>
    <row r="864" spans="1:18" ht="12.75" x14ac:dyDescent="0.2">
      <c r="A864" s="3">
        <v>863</v>
      </c>
      <c r="B864" s="26">
        <v>45214</v>
      </c>
      <c r="C864" s="23" t="s">
        <v>39</v>
      </c>
      <c r="D864" s="4">
        <v>2</v>
      </c>
      <c r="E864" s="24" t="s">
        <v>40</v>
      </c>
      <c r="F864" s="5" t="s">
        <v>11</v>
      </c>
      <c r="G864" s="5" t="s">
        <v>11</v>
      </c>
      <c r="H864" s="5" t="s">
        <v>14</v>
      </c>
      <c r="I864" s="5" t="s">
        <v>15</v>
      </c>
      <c r="J864" s="5" t="s">
        <v>54</v>
      </c>
      <c r="K864" s="6">
        <v>11</v>
      </c>
      <c r="L864" s="15">
        <v>121</v>
      </c>
      <c r="M864" s="15">
        <f t="shared" ca="1" si="93"/>
        <v>11</v>
      </c>
      <c r="N864" s="16">
        <f t="shared" ca="1" si="91"/>
        <v>110</v>
      </c>
      <c r="O864" s="18">
        <f t="shared" ca="1" si="90"/>
        <v>0.90909090909090906</v>
      </c>
      <c r="P864" s="19">
        <f t="shared" si="92"/>
        <v>11</v>
      </c>
      <c r="Q864" s="16" t="str">
        <f>IF(COUNTIF($B$2:B864,B864)=1,SUMIF($B$2:$B$1097,B864,$L$2:$L$1097),"")</f>
        <v/>
      </c>
    </row>
    <row r="865" spans="1:18" ht="12.75" x14ac:dyDescent="0.2">
      <c r="A865" s="3">
        <v>864</v>
      </c>
      <c r="B865" s="26">
        <v>45214</v>
      </c>
      <c r="C865" s="23" t="s">
        <v>39</v>
      </c>
      <c r="D865" s="4">
        <v>2</v>
      </c>
      <c r="E865" s="24" t="s">
        <v>40</v>
      </c>
      <c r="F865" s="5" t="s">
        <v>11</v>
      </c>
      <c r="G865" s="5" t="s">
        <v>11</v>
      </c>
      <c r="H865" s="5" t="s">
        <v>14</v>
      </c>
      <c r="I865" s="5" t="s">
        <v>16</v>
      </c>
      <c r="J865" s="5" t="s">
        <v>54</v>
      </c>
      <c r="K865" s="6">
        <v>10</v>
      </c>
      <c r="L865" s="15">
        <v>110</v>
      </c>
      <c r="M865" s="15">
        <f t="shared" ca="1" si="93"/>
        <v>29</v>
      </c>
      <c r="N865" s="16">
        <f t="shared" ca="1" si="91"/>
        <v>81</v>
      </c>
      <c r="O865" s="18">
        <f t="shared" ca="1" si="90"/>
        <v>0.73636363636363633</v>
      </c>
      <c r="P865" s="19">
        <f t="shared" si="92"/>
        <v>11</v>
      </c>
      <c r="Q865" s="16" t="str">
        <f>IF(COUNTIF($B$2:B865,B865)=1,SUMIF($B$2:$B$1097,B865,$L$2:$L$1097),"")</f>
        <v/>
      </c>
    </row>
    <row r="866" spans="1:18" ht="12.75" x14ac:dyDescent="0.2">
      <c r="A866" s="3">
        <v>865</v>
      </c>
      <c r="B866" s="26">
        <v>45214</v>
      </c>
      <c r="C866" s="23" t="s">
        <v>39</v>
      </c>
      <c r="D866" s="4">
        <v>2</v>
      </c>
      <c r="E866" s="24" t="s">
        <v>40</v>
      </c>
      <c r="F866" s="5" t="s">
        <v>11</v>
      </c>
      <c r="G866" s="5" t="s">
        <v>11</v>
      </c>
      <c r="H866" s="5" t="s">
        <v>14</v>
      </c>
      <c r="I866" s="5" t="s">
        <v>17</v>
      </c>
      <c r="J866" s="5" t="s">
        <v>54</v>
      </c>
      <c r="K866" s="6">
        <v>15</v>
      </c>
      <c r="L866" s="15">
        <v>165</v>
      </c>
      <c r="M866" s="15">
        <f t="shared" ca="1" si="93"/>
        <v>34</v>
      </c>
      <c r="N866" s="16">
        <f t="shared" ca="1" si="91"/>
        <v>131</v>
      </c>
      <c r="O866" s="18">
        <f t="shared" ca="1" si="90"/>
        <v>0.79393939393939394</v>
      </c>
      <c r="P866" s="19">
        <f t="shared" si="92"/>
        <v>11</v>
      </c>
      <c r="Q866" s="16" t="str">
        <f>IF(COUNTIF($B$2:B866,B866)=1,SUMIF($B$2:$B$1097,B866,$L$2:$L$1097),"")</f>
        <v/>
      </c>
    </row>
    <row r="867" spans="1:18" ht="12.75" x14ac:dyDescent="0.2">
      <c r="A867" s="3">
        <v>866</v>
      </c>
      <c r="B867" s="26">
        <v>45215</v>
      </c>
      <c r="C867" s="23" t="s">
        <v>39</v>
      </c>
      <c r="D867" s="4">
        <v>3</v>
      </c>
      <c r="E867" s="24" t="s">
        <v>40</v>
      </c>
      <c r="F867" s="5" t="s">
        <v>11</v>
      </c>
      <c r="G867" s="5" t="s">
        <v>11</v>
      </c>
      <c r="H867" s="5" t="s">
        <v>14</v>
      </c>
      <c r="I867" s="5" t="s">
        <v>13</v>
      </c>
      <c r="J867" s="5" t="s">
        <v>56</v>
      </c>
      <c r="K867" s="6">
        <v>15</v>
      </c>
      <c r="L867" s="15">
        <v>165</v>
      </c>
      <c r="M867" s="15">
        <f t="shared" ca="1" si="93"/>
        <v>4</v>
      </c>
      <c r="N867" s="16">
        <f t="shared" ca="1" si="91"/>
        <v>161</v>
      </c>
      <c r="O867" s="18">
        <f t="shared" ca="1" si="90"/>
        <v>0.97575757575757571</v>
      </c>
      <c r="P867" s="19">
        <f t="shared" si="92"/>
        <v>11</v>
      </c>
      <c r="Q867" s="16">
        <f>IF(COUNTIF($B$2:B867,B867)=1,SUMIF($B$2:$B$1097,B867,$L$2:$L$1097),"")</f>
        <v>473</v>
      </c>
      <c r="R867" s="16">
        <f>AVERAGE(Q847:Q867)</f>
        <v>471.16666666666669</v>
      </c>
    </row>
    <row r="868" spans="1:18" ht="12.75" x14ac:dyDescent="0.2">
      <c r="A868" s="3">
        <v>867</v>
      </c>
      <c r="B868" s="26">
        <v>45215</v>
      </c>
      <c r="C868" s="23" t="s">
        <v>39</v>
      </c>
      <c r="D868" s="4">
        <v>3</v>
      </c>
      <c r="E868" s="24" t="s">
        <v>40</v>
      </c>
      <c r="F868" s="5" t="s">
        <v>11</v>
      </c>
      <c r="G868" s="5" t="s">
        <v>11</v>
      </c>
      <c r="H868" s="5" t="s">
        <v>14</v>
      </c>
      <c r="I868" s="5" t="s">
        <v>15</v>
      </c>
      <c r="J868" s="5" t="s">
        <v>56</v>
      </c>
      <c r="K868" s="6">
        <v>11</v>
      </c>
      <c r="L868" s="15">
        <v>121</v>
      </c>
      <c r="M868" s="15">
        <f t="shared" ca="1" si="93"/>
        <v>37</v>
      </c>
      <c r="N868" s="16">
        <f t="shared" ca="1" si="91"/>
        <v>84</v>
      </c>
      <c r="O868" s="18">
        <f t="shared" ca="1" si="90"/>
        <v>0.69421487603305787</v>
      </c>
      <c r="P868" s="19">
        <f t="shared" si="92"/>
        <v>11</v>
      </c>
      <c r="Q868" s="16" t="str">
        <f>IF(COUNTIF($B$2:B868,B868)=1,SUMIF($B$2:$B$1097,B868,$L$2:$L$1097),"")</f>
        <v/>
      </c>
    </row>
    <row r="869" spans="1:18" ht="12.75" x14ac:dyDescent="0.2">
      <c r="A869" s="3">
        <v>868</v>
      </c>
      <c r="B869" s="26">
        <v>45215</v>
      </c>
      <c r="C869" s="23" t="s">
        <v>39</v>
      </c>
      <c r="D869" s="4">
        <v>3</v>
      </c>
      <c r="E869" s="24" t="s">
        <v>40</v>
      </c>
      <c r="F869" s="5" t="s">
        <v>11</v>
      </c>
      <c r="G869" s="5" t="s">
        <v>11</v>
      </c>
      <c r="H869" s="5" t="s">
        <v>14</v>
      </c>
      <c r="I869" s="5" t="s">
        <v>16</v>
      </c>
      <c r="J869" s="5" t="s">
        <v>55</v>
      </c>
      <c r="K869" s="6">
        <v>5</v>
      </c>
      <c r="L869" s="15">
        <v>55</v>
      </c>
      <c r="M869" s="15">
        <f t="shared" ca="1" si="93"/>
        <v>1</v>
      </c>
      <c r="N869" s="16">
        <f t="shared" ca="1" si="91"/>
        <v>54</v>
      </c>
      <c r="O869" s="18">
        <f t="shared" ca="1" si="90"/>
        <v>0.98181818181818181</v>
      </c>
      <c r="P869" s="19">
        <f t="shared" si="92"/>
        <v>11</v>
      </c>
      <c r="Q869" s="16" t="str">
        <f>IF(COUNTIF($B$2:B869,B869)=1,SUMIF($B$2:$B$1097,B869,$L$2:$L$1097),"")</f>
        <v/>
      </c>
    </row>
    <row r="870" spans="1:18" ht="12.75" x14ac:dyDescent="0.2">
      <c r="A870" s="3">
        <v>869</v>
      </c>
      <c r="B870" s="26">
        <v>45215</v>
      </c>
      <c r="C870" s="23" t="s">
        <v>39</v>
      </c>
      <c r="D870" s="4">
        <v>3</v>
      </c>
      <c r="E870" s="24" t="s">
        <v>40</v>
      </c>
      <c r="F870" s="5" t="s">
        <v>11</v>
      </c>
      <c r="G870" s="5" t="s">
        <v>11</v>
      </c>
      <c r="H870" s="5" t="s">
        <v>14</v>
      </c>
      <c r="I870" s="5" t="s">
        <v>17</v>
      </c>
      <c r="J870" s="5" t="s">
        <v>53</v>
      </c>
      <c r="K870" s="6">
        <v>12</v>
      </c>
      <c r="L870" s="15">
        <v>132</v>
      </c>
      <c r="M870" s="15">
        <f t="shared" ca="1" si="93"/>
        <v>33</v>
      </c>
      <c r="N870" s="16">
        <f t="shared" ca="1" si="91"/>
        <v>99</v>
      </c>
      <c r="O870" s="18">
        <f t="shared" ca="1" si="90"/>
        <v>0.75</v>
      </c>
      <c r="P870" s="19">
        <f t="shared" si="92"/>
        <v>11</v>
      </c>
      <c r="Q870" s="16" t="str">
        <f>IF(COUNTIF($B$2:B870,B870)=1,SUMIF($B$2:$B$1097,B870,$L$2:$L$1097),"")</f>
        <v/>
      </c>
    </row>
    <row r="871" spans="1:18" ht="12.75" x14ac:dyDescent="0.2">
      <c r="A871" s="3">
        <v>870</v>
      </c>
      <c r="B871" s="26">
        <v>45216</v>
      </c>
      <c r="C871" s="23" t="s">
        <v>39</v>
      </c>
      <c r="D871" s="4">
        <v>4</v>
      </c>
      <c r="E871" s="24" t="s">
        <v>40</v>
      </c>
      <c r="F871" s="5" t="s">
        <v>11</v>
      </c>
      <c r="G871" s="5" t="s">
        <v>11</v>
      </c>
      <c r="H871" s="5" t="s">
        <v>14</v>
      </c>
      <c r="I871" s="5" t="s">
        <v>13</v>
      </c>
      <c r="J871" s="5" t="s">
        <v>52</v>
      </c>
      <c r="K871" s="6">
        <v>15</v>
      </c>
      <c r="L871" s="15">
        <v>165</v>
      </c>
      <c r="M871" s="15">
        <f t="shared" ca="1" si="93"/>
        <v>36</v>
      </c>
      <c r="N871" s="16">
        <f t="shared" ca="1" si="91"/>
        <v>129</v>
      </c>
      <c r="O871" s="18">
        <f t="shared" ca="1" si="90"/>
        <v>0.78181818181818186</v>
      </c>
      <c r="P871" s="19">
        <f t="shared" si="92"/>
        <v>11</v>
      </c>
      <c r="Q871" s="16">
        <f>IF(COUNTIF($B$2:B871,B871)=1,SUMIF($B$2:$B$1097,B871,$L$2:$L$1097),"")</f>
        <v>418</v>
      </c>
      <c r="R871" s="16">
        <f>AVERAGE(Q851:Q871)</f>
        <v>478.5</v>
      </c>
    </row>
    <row r="872" spans="1:18" ht="12.75" x14ac:dyDescent="0.2">
      <c r="A872" s="3">
        <v>871</v>
      </c>
      <c r="B872" s="26">
        <v>45216</v>
      </c>
      <c r="C872" s="23" t="s">
        <v>39</v>
      </c>
      <c r="D872" s="4">
        <v>4</v>
      </c>
      <c r="E872" s="24" t="s">
        <v>40</v>
      </c>
      <c r="F872" s="5" t="s">
        <v>11</v>
      </c>
      <c r="G872" s="5" t="s">
        <v>11</v>
      </c>
      <c r="H872" s="5" t="s">
        <v>14</v>
      </c>
      <c r="I872" s="5" t="s">
        <v>15</v>
      </c>
      <c r="J872" s="5" t="s">
        <v>54</v>
      </c>
      <c r="K872" s="6">
        <v>6</v>
      </c>
      <c r="L872" s="15">
        <v>66</v>
      </c>
      <c r="M872" s="15">
        <f t="shared" ca="1" si="93"/>
        <v>41</v>
      </c>
      <c r="N872" s="16">
        <f t="shared" ca="1" si="91"/>
        <v>25</v>
      </c>
      <c r="O872" s="18">
        <f t="shared" ca="1" si="90"/>
        <v>0.37878787878787878</v>
      </c>
      <c r="P872" s="19">
        <f t="shared" si="92"/>
        <v>11</v>
      </c>
      <c r="Q872" s="16" t="str">
        <f>IF(COUNTIF($B$2:B872,B872)=1,SUMIF($B$2:$B$1097,B872,$L$2:$L$1097),"")</f>
        <v/>
      </c>
    </row>
    <row r="873" spans="1:18" ht="12.75" x14ac:dyDescent="0.2">
      <c r="A873" s="3">
        <v>872</v>
      </c>
      <c r="B873" s="26">
        <v>45216</v>
      </c>
      <c r="C873" s="23" t="s">
        <v>39</v>
      </c>
      <c r="D873" s="4">
        <v>4</v>
      </c>
      <c r="E873" s="24" t="s">
        <v>40</v>
      </c>
      <c r="F873" s="5" t="s">
        <v>11</v>
      </c>
      <c r="G873" s="5" t="s">
        <v>11</v>
      </c>
      <c r="H873" s="5" t="s">
        <v>14</v>
      </c>
      <c r="I873" s="5" t="s">
        <v>16</v>
      </c>
      <c r="J873" s="5" t="s">
        <v>54</v>
      </c>
      <c r="K873" s="6">
        <v>5</v>
      </c>
      <c r="L873" s="15">
        <v>55</v>
      </c>
      <c r="M873" s="15">
        <f t="shared" ca="1" si="93"/>
        <v>4</v>
      </c>
      <c r="N873" s="16">
        <f t="shared" ca="1" si="91"/>
        <v>51</v>
      </c>
      <c r="O873" s="18">
        <f t="shared" ca="1" si="90"/>
        <v>0.92727272727272725</v>
      </c>
      <c r="P873" s="19">
        <f t="shared" si="92"/>
        <v>11</v>
      </c>
      <c r="Q873" s="16" t="str">
        <f>IF(COUNTIF($B$2:B873,B873)=1,SUMIF($B$2:$B$1097,B873,$L$2:$L$1097),"")</f>
        <v/>
      </c>
    </row>
    <row r="874" spans="1:18" ht="12.75" x14ac:dyDescent="0.2">
      <c r="A874" s="3">
        <v>873</v>
      </c>
      <c r="B874" s="26">
        <v>45216</v>
      </c>
      <c r="C874" s="23" t="s">
        <v>39</v>
      </c>
      <c r="D874" s="4">
        <v>4</v>
      </c>
      <c r="E874" s="24" t="s">
        <v>40</v>
      </c>
      <c r="F874" s="5" t="s">
        <v>11</v>
      </c>
      <c r="G874" s="5" t="s">
        <v>11</v>
      </c>
      <c r="H874" s="5" t="s">
        <v>14</v>
      </c>
      <c r="I874" s="5" t="s">
        <v>17</v>
      </c>
      <c r="J874" s="5" t="s">
        <v>54</v>
      </c>
      <c r="K874" s="6">
        <v>12</v>
      </c>
      <c r="L874" s="15">
        <v>132</v>
      </c>
      <c r="M874" s="15">
        <f t="shared" ca="1" si="93"/>
        <v>9</v>
      </c>
      <c r="N874" s="16">
        <f t="shared" ca="1" si="91"/>
        <v>123</v>
      </c>
      <c r="O874" s="18">
        <f t="shared" ca="1" si="90"/>
        <v>0.93181818181818177</v>
      </c>
      <c r="P874" s="19">
        <f t="shared" si="92"/>
        <v>11</v>
      </c>
      <c r="Q874" s="16" t="str">
        <f>IF(COUNTIF($B$2:B874,B874)=1,SUMIF($B$2:$B$1097,B874,$L$2:$L$1097),"")</f>
        <v/>
      </c>
    </row>
    <row r="875" spans="1:18" ht="12.75" x14ac:dyDescent="0.2">
      <c r="A875" s="3">
        <v>874</v>
      </c>
      <c r="B875" s="26">
        <v>45217</v>
      </c>
      <c r="C875" s="23" t="s">
        <v>39</v>
      </c>
      <c r="D875" s="4">
        <v>5</v>
      </c>
      <c r="E875" s="24" t="s">
        <v>40</v>
      </c>
      <c r="F875" s="5" t="s">
        <v>11</v>
      </c>
      <c r="G875" s="5" t="s">
        <v>11</v>
      </c>
      <c r="H875" s="5" t="s">
        <v>14</v>
      </c>
      <c r="I875" s="5" t="s">
        <v>13</v>
      </c>
      <c r="J875" s="5" t="s">
        <v>56</v>
      </c>
      <c r="K875" s="6">
        <v>17</v>
      </c>
      <c r="L875" s="15">
        <v>187</v>
      </c>
      <c r="M875" s="15">
        <f t="shared" ca="1" si="93"/>
        <v>49</v>
      </c>
      <c r="N875" s="16">
        <f t="shared" ca="1" si="91"/>
        <v>138</v>
      </c>
      <c r="O875" s="18">
        <f t="shared" ca="1" si="90"/>
        <v>0.73796791443850263</v>
      </c>
      <c r="P875" s="19">
        <f t="shared" si="92"/>
        <v>11</v>
      </c>
      <c r="Q875" s="16">
        <f>IF(COUNTIF($B$2:B875,B875)=1,SUMIF($B$2:$B$1097,B875,$L$2:$L$1097),"")</f>
        <v>495</v>
      </c>
      <c r="R875" s="16">
        <f>AVERAGE(Q855:Q875)</f>
        <v>482.16666666666669</v>
      </c>
    </row>
    <row r="876" spans="1:18" ht="12.75" x14ac:dyDescent="0.2">
      <c r="A876" s="3">
        <v>875</v>
      </c>
      <c r="B876" s="26">
        <v>45217</v>
      </c>
      <c r="C876" s="23" t="s">
        <v>39</v>
      </c>
      <c r="D876" s="4">
        <v>5</v>
      </c>
      <c r="E876" s="24" t="s">
        <v>40</v>
      </c>
      <c r="F876" s="5" t="s">
        <v>11</v>
      </c>
      <c r="G876" s="5" t="s">
        <v>11</v>
      </c>
      <c r="H876" s="5" t="s">
        <v>14</v>
      </c>
      <c r="I876" s="5" t="s">
        <v>15</v>
      </c>
      <c r="J876" s="5" t="s">
        <v>56</v>
      </c>
      <c r="K876" s="6">
        <v>8</v>
      </c>
      <c r="L876" s="15">
        <v>88</v>
      </c>
      <c r="M876" s="15">
        <f t="shared" ca="1" si="93"/>
        <v>28</v>
      </c>
      <c r="N876" s="16">
        <f t="shared" ca="1" si="91"/>
        <v>60</v>
      </c>
      <c r="O876" s="18">
        <f t="shared" ca="1" si="90"/>
        <v>0.68181818181818177</v>
      </c>
      <c r="P876" s="19">
        <f t="shared" si="92"/>
        <v>11</v>
      </c>
      <c r="Q876" s="16" t="str">
        <f>IF(COUNTIF($B$2:B876,B876)=1,SUMIF($B$2:$B$1097,B876,$L$2:$L$1097),"")</f>
        <v/>
      </c>
    </row>
    <row r="877" spans="1:18" ht="12.75" x14ac:dyDescent="0.2">
      <c r="A877" s="3">
        <v>876</v>
      </c>
      <c r="B877" s="26">
        <v>45217</v>
      </c>
      <c r="C877" s="23" t="s">
        <v>39</v>
      </c>
      <c r="D877" s="4">
        <v>5</v>
      </c>
      <c r="E877" s="24" t="s">
        <v>40</v>
      </c>
      <c r="F877" s="5" t="s">
        <v>11</v>
      </c>
      <c r="G877" s="5" t="s">
        <v>11</v>
      </c>
      <c r="H877" s="5" t="s">
        <v>14</v>
      </c>
      <c r="I877" s="5" t="s">
        <v>16</v>
      </c>
      <c r="J877" s="5" t="s">
        <v>55</v>
      </c>
      <c r="K877" s="6">
        <v>5</v>
      </c>
      <c r="L877" s="15">
        <v>55</v>
      </c>
      <c r="M877" s="15">
        <f t="shared" ca="1" si="93"/>
        <v>18</v>
      </c>
      <c r="N877" s="16">
        <f t="shared" ca="1" si="91"/>
        <v>37</v>
      </c>
      <c r="O877" s="18">
        <f t="shared" ca="1" si="90"/>
        <v>0.67272727272727273</v>
      </c>
      <c r="P877" s="19">
        <f t="shared" si="92"/>
        <v>11</v>
      </c>
      <c r="Q877" s="16" t="str">
        <f>IF(COUNTIF($B$2:B877,B877)=1,SUMIF($B$2:$B$1097,B877,$L$2:$L$1097),"")</f>
        <v/>
      </c>
    </row>
    <row r="878" spans="1:18" ht="12.75" x14ac:dyDescent="0.2">
      <c r="A878" s="3">
        <v>877</v>
      </c>
      <c r="B878" s="26">
        <v>45217</v>
      </c>
      <c r="C878" s="23" t="s">
        <v>39</v>
      </c>
      <c r="D878" s="4">
        <v>5</v>
      </c>
      <c r="E878" s="24" t="s">
        <v>40</v>
      </c>
      <c r="F878" s="5" t="s">
        <v>11</v>
      </c>
      <c r="G878" s="5" t="s">
        <v>11</v>
      </c>
      <c r="H878" s="5" t="s">
        <v>14</v>
      </c>
      <c r="I878" s="5" t="s">
        <v>17</v>
      </c>
      <c r="J878" s="5" t="s">
        <v>53</v>
      </c>
      <c r="K878" s="6">
        <v>15</v>
      </c>
      <c r="L878" s="15">
        <v>165</v>
      </c>
      <c r="M878" s="15">
        <f t="shared" ca="1" si="93"/>
        <v>22</v>
      </c>
      <c r="N878" s="16">
        <f t="shared" ca="1" si="91"/>
        <v>143</v>
      </c>
      <c r="O878" s="18">
        <f t="shared" ca="1" si="90"/>
        <v>0.8666666666666667</v>
      </c>
      <c r="P878" s="19">
        <f t="shared" si="92"/>
        <v>11</v>
      </c>
      <c r="Q878" s="16" t="str">
        <f>IF(COUNTIF($B$2:B878,B878)=1,SUMIF($B$2:$B$1097,B878,$L$2:$L$1097),"")</f>
        <v/>
      </c>
    </row>
    <row r="879" spans="1:18" ht="12.75" x14ac:dyDescent="0.2">
      <c r="A879" s="3">
        <v>878</v>
      </c>
      <c r="B879" s="26">
        <v>45218</v>
      </c>
      <c r="C879" s="23" t="s">
        <v>39</v>
      </c>
      <c r="D879" s="4">
        <v>6</v>
      </c>
      <c r="E879" s="24" t="s">
        <v>40</v>
      </c>
      <c r="F879" s="5" t="s">
        <v>11</v>
      </c>
      <c r="G879" s="5" t="s">
        <v>11</v>
      </c>
      <c r="H879" s="5" t="s">
        <v>14</v>
      </c>
      <c r="I879" s="5" t="s">
        <v>13</v>
      </c>
      <c r="J879" s="5" t="s">
        <v>52</v>
      </c>
      <c r="K879" s="6">
        <v>22</v>
      </c>
      <c r="L879" s="15">
        <v>242</v>
      </c>
      <c r="M879" s="15">
        <f t="shared" ca="1" si="93"/>
        <v>12</v>
      </c>
      <c r="N879" s="16">
        <f t="shared" ca="1" si="91"/>
        <v>230</v>
      </c>
      <c r="O879" s="18">
        <f t="shared" ca="1" si="90"/>
        <v>0.95041322314049592</v>
      </c>
      <c r="P879" s="19">
        <f t="shared" si="92"/>
        <v>11</v>
      </c>
      <c r="Q879" s="16">
        <f>IF(COUNTIF($B$2:B879,B879)=1,SUMIF($B$2:$B$1097,B879,$L$2:$L$1097),"")</f>
        <v>638</v>
      </c>
      <c r="R879" s="16">
        <f>AVERAGE(Q859:Q879)</f>
        <v>473</v>
      </c>
    </row>
    <row r="880" spans="1:18" ht="12.75" x14ac:dyDescent="0.2">
      <c r="A880" s="3">
        <v>879</v>
      </c>
      <c r="B880" s="26">
        <v>45218</v>
      </c>
      <c r="C880" s="23" t="s">
        <v>39</v>
      </c>
      <c r="D880" s="4">
        <v>6</v>
      </c>
      <c r="E880" s="24" t="s">
        <v>40</v>
      </c>
      <c r="F880" s="5" t="s">
        <v>11</v>
      </c>
      <c r="G880" s="5" t="s">
        <v>11</v>
      </c>
      <c r="H880" s="5" t="s">
        <v>14</v>
      </c>
      <c r="I880" s="5" t="s">
        <v>15</v>
      </c>
      <c r="J880" s="5" t="s">
        <v>55</v>
      </c>
      <c r="K880" s="6">
        <v>9</v>
      </c>
      <c r="L880" s="15">
        <v>99</v>
      </c>
      <c r="M880" s="15">
        <f t="shared" ca="1" si="93"/>
        <v>27</v>
      </c>
      <c r="N880" s="16">
        <f t="shared" ca="1" si="91"/>
        <v>72</v>
      </c>
      <c r="O880" s="18">
        <f t="shared" ca="1" si="90"/>
        <v>0.72727272727272729</v>
      </c>
      <c r="P880" s="19">
        <f t="shared" si="92"/>
        <v>11</v>
      </c>
      <c r="Q880" s="16" t="str">
        <f>IF(COUNTIF($B$2:B880,B880)=1,SUMIF($B$2:$B$1097,B880,$L$2:$L$1097),"")</f>
        <v/>
      </c>
    </row>
    <row r="881" spans="1:18" ht="12.75" x14ac:dyDescent="0.2">
      <c r="A881" s="3">
        <v>880</v>
      </c>
      <c r="B881" s="26">
        <v>45218</v>
      </c>
      <c r="C881" s="23" t="s">
        <v>39</v>
      </c>
      <c r="D881" s="4">
        <v>6</v>
      </c>
      <c r="E881" s="24" t="s">
        <v>40</v>
      </c>
      <c r="F881" s="5" t="s">
        <v>11</v>
      </c>
      <c r="G881" s="5" t="s">
        <v>11</v>
      </c>
      <c r="H881" s="5" t="s">
        <v>14</v>
      </c>
      <c r="I881" s="5" t="s">
        <v>16</v>
      </c>
      <c r="J881" s="5" t="s">
        <v>55</v>
      </c>
      <c r="K881" s="6">
        <v>9</v>
      </c>
      <c r="L881" s="15">
        <v>99</v>
      </c>
      <c r="M881" s="15">
        <f t="shared" ca="1" si="93"/>
        <v>1</v>
      </c>
      <c r="N881" s="16">
        <f t="shared" ca="1" si="91"/>
        <v>98</v>
      </c>
      <c r="O881" s="18">
        <f t="shared" ca="1" si="90"/>
        <v>0.98989898989898994</v>
      </c>
      <c r="P881" s="19">
        <f t="shared" si="92"/>
        <v>11</v>
      </c>
      <c r="Q881" s="16" t="str">
        <f>IF(COUNTIF($B$2:B881,B881)=1,SUMIF($B$2:$B$1097,B881,$L$2:$L$1097),"")</f>
        <v/>
      </c>
    </row>
    <row r="882" spans="1:18" ht="12.75" x14ac:dyDescent="0.2">
      <c r="A882" s="3">
        <v>881</v>
      </c>
      <c r="B882" s="26">
        <v>45218</v>
      </c>
      <c r="C882" s="23" t="s">
        <v>39</v>
      </c>
      <c r="D882" s="4">
        <v>6</v>
      </c>
      <c r="E882" s="24" t="s">
        <v>40</v>
      </c>
      <c r="F882" s="5" t="s">
        <v>11</v>
      </c>
      <c r="G882" s="5" t="s">
        <v>11</v>
      </c>
      <c r="H882" s="5" t="s">
        <v>14</v>
      </c>
      <c r="I882" s="5" t="s">
        <v>17</v>
      </c>
      <c r="J882" s="5" t="s">
        <v>53</v>
      </c>
      <c r="K882" s="6">
        <v>18</v>
      </c>
      <c r="L882" s="15">
        <v>198</v>
      </c>
      <c r="M882" s="15">
        <f t="shared" ca="1" si="93"/>
        <v>45</v>
      </c>
      <c r="N882" s="16">
        <f t="shared" ca="1" si="91"/>
        <v>153</v>
      </c>
      <c r="O882" s="18">
        <f t="shared" ca="1" si="90"/>
        <v>0.77272727272727271</v>
      </c>
      <c r="P882" s="19">
        <f t="shared" si="92"/>
        <v>11</v>
      </c>
      <c r="Q882" s="16" t="str">
        <f>IF(COUNTIF($B$2:B882,B882)=1,SUMIF($B$2:$B$1097,B882,$L$2:$L$1097),"")</f>
        <v/>
      </c>
    </row>
    <row r="883" spans="1:18" ht="12.75" x14ac:dyDescent="0.2">
      <c r="A883" s="3">
        <v>882</v>
      </c>
      <c r="B883" s="26">
        <v>45219</v>
      </c>
      <c r="C883" s="23" t="s">
        <v>39</v>
      </c>
      <c r="D883" s="4">
        <v>7</v>
      </c>
      <c r="E883" s="24" t="s">
        <v>40</v>
      </c>
      <c r="F883" s="5" t="s">
        <v>11</v>
      </c>
      <c r="G883" s="5" t="s">
        <v>11</v>
      </c>
      <c r="H883" s="5" t="s">
        <v>14</v>
      </c>
      <c r="I883" s="5" t="s">
        <v>13</v>
      </c>
      <c r="J883" s="5" t="s">
        <v>56</v>
      </c>
      <c r="K883" s="6">
        <v>21</v>
      </c>
      <c r="L883" s="15">
        <v>231</v>
      </c>
      <c r="M883" s="15">
        <f t="shared" ca="1" si="93"/>
        <v>37</v>
      </c>
      <c r="N883" s="16">
        <f t="shared" ca="1" si="91"/>
        <v>194</v>
      </c>
      <c r="O883" s="18">
        <f t="shared" ca="1" si="90"/>
        <v>0.83982683982683981</v>
      </c>
      <c r="P883" s="19">
        <f t="shared" si="92"/>
        <v>11</v>
      </c>
      <c r="Q883" s="16">
        <f>IF(COUNTIF($B$2:B883,B883)=1,SUMIF($B$2:$B$1097,B883,$L$2:$L$1097),"")</f>
        <v>231</v>
      </c>
      <c r="R883" s="16">
        <f t="shared" ref="R883:R884" si="96">AVERAGE(Q863:Q883)</f>
        <v>474.83333333333331</v>
      </c>
    </row>
    <row r="884" spans="1:18" ht="12.75" x14ac:dyDescent="0.2">
      <c r="A884" s="3">
        <v>883</v>
      </c>
      <c r="B884" s="26">
        <v>45221</v>
      </c>
      <c r="C884" s="23" t="s">
        <v>39</v>
      </c>
      <c r="D884" s="4">
        <v>2</v>
      </c>
      <c r="E884" s="24" t="s">
        <v>40</v>
      </c>
      <c r="F884" s="5" t="s">
        <v>11</v>
      </c>
      <c r="G884" s="5" t="s">
        <v>11</v>
      </c>
      <c r="H884" s="5" t="s">
        <v>14</v>
      </c>
      <c r="I884" s="5" t="s">
        <v>13</v>
      </c>
      <c r="J884" s="5" t="s">
        <v>52</v>
      </c>
      <c r="K884" s="6">
        <v>22</v>
      </c>
      <c r="L884" s="15">
        <v>242</v>
      </c>
      <c r="M884" s="15">
        <f t="shared" ca="1" si="93"/>
        <v>45</v>
      </c>
      <c r="N884" s="16">
        <f t="shared" ca="1" si="91"/>
        <v>197</v>
      </c>
      <c r="O884" s="18">
        <f t="shared" ca="1" si="90"/>
        <v>0.81404958677685946</v>
      </c>
      <c r="P884" s="19">
        <f t="shared" si="92"/>
        <v>11</v>
      </c>
      <c r="Q884" s="16">
        <f>IF(COUNTIF($B$2:B884,B884)=1,SUMIF($B$2:$B$1097,B884,$L$2:$L$1097),"")</f>
        <v>583</v>
      </c>
      <c r="R884" s="16">
        <f t="shared" si="96"/>
        <v>473</v>
      </c>
    </row>
    <row r="885" spans="1:18" ht="12.75" x14ac:dyDescent="0.2">
      <c r="A885" s="3">
        <v>884</v>
      </c>
      <c r="B885" s="26">
        <v>45221</v>
      </c>
      <c r="C885" s="23" t="s">
        <v>39</v>
      </c>
      <c r="D885" s="4">
        <v>2</v>
      </c>
      <c r="E885" s="24" t="s">
        <v>40</v>
      </c>
      <c r="F885" s="5" t="s">
        <v>11</v>
      </c>
      <c r="G885" s="5" t="s">
        <v>11</v>
      </c>
      <c r="H885" s="5" t="s">
        <v>14</v>
      </c>
      <c r="I885" s="5" t="s">
        <v>15</v>
      </c>
      <c r="J885" s="5" t="s">
        <v>54</v>
      </c>
      <c r="K885" s="6">
        <v>9</v>
      </c>
      <c r="L885" s="15">
        <v>99</v>
      </c>
      <c r="M885" s="15">
        <f t="shared" ca="1" si="93"/>
        <v>14</v>
      </c>
      <c r="N885" s="16">
        <f t="shared" ca="1" si="91"/>
        <v>85</v>
      </c>
      <c r="O885" s="18">
        <f t="shared" ca="1" si="90"/>
        <v>0.85858585858585856</v>
      </c>
      <c r="P885" s="19">
        <f t="shared" si="92"/>
        <v>11</v>
      </c>
      <c r="Q885" s="16" t="str">
        <f>IF(COUNTIF($B$2:B885,B885)=1,SUMIF($B$2:$B$1097,B885,$L$2:$L$1097),"")</f>
        <v/>
      </c>
    </row>
    <row r="886" spans="1:18" ht="12.75" x14ac:dyDescent="0.2">
      <c r="A886" s="3">
        <v>885</v>
      </c>
      <c r="B886" s="26">
        <v>45221</v>
      </c>
      <c r="C886" s="23" t="s">
        <v>39</v>
      </c>
      <c r="D886" s="4">
        <v>2</v>
      </c>
      <c r="E886" s="24" t="s">
        <v>40</v>
      </c>
      <c r="F886" s="5" t="s">
        <v>11</v>
      </c>
      <c r="G886" s="5" t="s">
        <v>11</v>
      </c>
      <c r="H886" s="5" t="s">
        <v>14</v>
      </c>
      <c r="I886" s="5" t="s">
        <v>16</v>
      </c>
      <c r="J886" s="5" t="s">
        <v>54</v>
      </c>
      <c r="K886" s="6">
        <v>9</v>
      </c>
      <c r="L886" s="15">
        <v>99</v>
      </c>
      <c r="M886" s="15">
        <f t="shared" ca="1" si="93"/>
        <v>37</v>
      </c>
      <c r="N886" s="16">
        <f t="shared" ca="1" si="91"/>
        <v>62</v>
      </c>
      <c r="O886" s="18">
        <f t="shared" ca="1" si="90"/>
        <v>0.6262626262626263</v>
      </c>
      <c r="P886" s="19">
        <f t="shared" si="92"/>
        <v>11</v>
      </c>
      <c r="Q886" s="16" t="str">
        <f>IF(COUNTIF($B$2:B886,B886)=1,SUMIF($B$2:$B$1097,B886,$L$2:$L$1097),"")</f>
        <v/>
      </c>
    </row>
    <row r="887" spans="1:18" ht="12.75" x14ac:dyDescent="0.2">
      <c r="A887" s="3">
        <v>886</v>
      </c>
      <c r="B887" s="26">
        <v>45221</v>
      </c>
      <c r="C887" s="23" t="s">
        <v>39</v>
      </c>
      <c r="D887" s="4">
        <v>2</v>
      </c>
      <c r="E887" s="24" t="s">
        <v>40</v>
      </c>
      <c r="F887" s="5" t="s">
        <v>11</v>
      </c>
      <c r="G887" s="5" t="s">
        <v>11</v>
      </c>
      <c r="H887" s="5" t="s">
        <v>14</v>
      </c>
      <c r="I887" s="5" t="s">
        <v>17</v>
      </c>
      <c r="J887" s="5" t="s">
        <v>54</v>
      </c>
      <c r="K887" s="6">
        <v>13</v>
      </c>
      <c r="L887" s="15">
        <v>143</v>
      </c>
      <c r="M887" s="15">
        <f t="shared" ca="1" si="93"/>
        <v>42</v>
      </c>
      <c r="N887" s="16">
        <f t="shared" ca="1" si="91"/>
        <v>101</v>
      </c>
      <c r="O887" s="18">
        <f t="shared" ca="1" si="90"/>
        <v>0.70629370629370625</v>
      </c>
      <c r="P887" s="19">
        <f t="shared" si="92"/>
        <v>11</v>
      </c>
      <c r="Q887" s="16" t="str">
        <f>IF(COUNTIF($B$2:B887,B887)=1,SUMIF($B$2:$B$1097,B887,$L$2:$L$1097),"")</f>
        <v/>
      </c>
    </row>
    <row r="888" spans="1:18" ht="12.75" x14ac:dyDescent="0.2">
      <c r="A888" s="3">
        <v>887</v>
      </c>
      <c r="B888" s="26">
        <v>45222</v>
      </c>
      <c r="C888" s="23" t="s">
        <v>39</v>
      </c>
      <c r="D888" s="4">
        <v>3</v>
      </c>
      <c r="E888" s="24" t="s">
        <v>40</v>
      </c>
      <c r="F888" s="5" t="s">
        <v>11</v>
      </c>
      <c r="G888" s="5" t="s">
        <v>11</v>
      </c>
      <c r="H888" s="5" t="s">
        <v>14</v>
      </c>
      <c r="I888" s="5" t="s">
        <v>13</v>
      </c>
      <c r="J888" s="5" t="s">
        <v>56</v>
      </c>
      <c r="K888" s="6">
        <v>16</v>
      </c>
      <c r="L888" s="15">
        <v>176</v>
      </c>
      <c r="M888" s="15">
        <f t="shared" ca="1" si="93"/>
        <v>28</v>
      </c>
      <c r="N888" s="16">
        <f t="shared" ca="1" si="91"/>
        <v>148</v>
      </c>
      <c r="O888" s="18">
        <f t="shared" ca="1" si="90"/>
        <v>0.84090909090909094</v>
      </c>
      <c r="P888" s="19">
        <f t="shared" si="92"/>
        <v>11</v>
      </c>
      <c r="Q888" s="16">
        <f>IF(COUNTIF($B$2:B888,B888)=1,SUMIF($B$2:$B$1097,B888,$L$2:$L$1097),"")</f>
        <v>495</v>
      </c>
      <c r="R888" s="16">
        <f>AVERAGE(Q868:Q888)</f>
        <v>476.66666666666669</v>
      </c>
    </row>
    <row r="889" spans="1:18" ht="12.75" x14ac:dyDescent="0.2">
      <c r="A889" s="3">
        <v>888</v>
      </c>
      <c r="B889" s="26">
        <v>45222</v>
      </c>
      <c r="C889" s="23" t="s">
        <v>39</v>
      </c>
      <c r="D889" s="4">
        <v>3</v>
      </c>
      <c r="E889" s="24" t="s">
        <v>40</v>
      </c>
      <c r="F889" s="5" t="s">
        <v>11</v>
      </c>
      <c r="G889" s="5" t="s">
        <v>11</v>
      </c>
      <c r="H889" s="5" t="s">
        <v>14</v>
      </c>
      <c r="I889" s="5" t="s">
        <v>15</v>
      </c>
      <c r="J889" s="5" t="s">
        <v>56</v>
      </c>
      <c r="K889" s="6">
        <v>9</v>
      </c>
      <c r="L889" s="15">
        <v>99</v>
      </c>
      <c r="M889" s="15">
        <f t="shared" ca="1" si="93"/>
        <v>41</v>
      </c>
      <c r="N889" s="16">
        <f t="shared" ca="1" si="91"/>
        <v>58</v>
      </c>
      <c r="O889" s="18">
        <f t="shared" ca="1" si="90"/>
        <v>0.58585858585858586</v>
      </c>
      <c r="P889" s="19">
        <f t="shared" si="92"/>
        <v>11</v>
      </c>
      <c r="Q889" s="16" t="str">
        <f>IF(COUNTIF($B$2:B889,B889)=1,SUMIF($B$2:$B$1097,B889,$L$2:$L$1097),"")</f>
        <v/>
      </c>
    </row>
    <row r="890" spans="1:18" ht="12.75" x14ac:dyDescent="0.2">
      <c r="A890" s="3">
        <v>889</v>
      </c>
      <c r="B890" s="26">
        <v>45222</v>
      </c>
      <c r="C890" s="23" t="s">
        <v>39</v>
      </c>
      <c r="D890" s="4">
        <v>3</v>
      </c>
      <c r="E890" s="24" t="s">
        <v>40</v>
      </c>
      <c r="F890" s="5" t="s">
        <v>11</v>
      </c>
      <c r="G890" s="5" t="s">
        <v>11</v>
      </c>
      <c r="H890" s="5" t="s">
        <v>14</v>
      </c>
      <c r="I890" s="5" t="s">
        <v>16</v>
      </c>
      <c r="J890" s="5" t="s">
        <v>55</v>
      </c>
      <c r="K890" s="6">
        <v>5</v>
      </c>
      <c r="L890" s="15">
        <v>55</v>
      </c>
      <c r="M890" s="15">
        <f t="shared" ca="1" si="93"/>
        <v>39</v>
      </c>
      <c r="N890" s="16">
        <f t="shared" ca="1" si="91"/>
        <v>16</v>
      </c>
      <c r="O890" s="18">
        <f t="shared" ca="1" si="90"/>
        <v>0.29090909090909089</v>
      </c>
      <c r="P890" s="19">
        <f t="shared" si="92"/>
        <v>11</v>
      </c>
      <c r="Q890" s="16" t="str">
        <f>IF(COUNTIF($B$2:B890,B890)=1,SUMIF($B$2:$B$1097,B890,$L$2:$L$1097),"")</f>
        <v/>
      </c>
    </row>
    <row r="891" spans="1:18" ht="12.75" x14ac:dyDescent="0.2">
      <c r="A891" s="3">
        <v>890</v>
      </c>
      <c r="B891" s="26">
        <v>45222</v>
      </c>
      <c r="C891" s="23" t="s">
        <v>39</v>
      </c>
      <c r="D891" s="4">
        <v>3</v>
      </c>
      <c r="E891" s="24" t="s">
        <v>40</v>
      </c>
      <c r="F891" s="5" t="s">
        <v>11</v>
      </c>
      <c r="G891" s="5" t="s">
        <v>11</v>
      </c>
      <c r="H891" s="5" t="s">
        <v>14</v>
      </c>
      <c r="I891" s="5" t="s">
        <v>17</v>
      </c>
      <c r="J891" s="5" t="s">
        <v>53</v>
      </c>
      <c r="K891" s="6">
        <v>15</v>
      </c>
      <c r="L891" s="15">
        <v>165</v>
      </c>
      <c r="M891" s="15">
        <f t="shared" ca="1" si="93"/>
        <v>26</v>
      </c>
      <c r="N891" s="16">
        <f t="shared" ca="1" si="91"/>
        <v>139</v>
      </c>
      <c r="O891" s="18">
        <f t="shared" ca="1" si="90"/>
        <v>0.84242424242424241</v>
      </c>
      <c r="P891" s="19">
        <f t="shared" si="92"/>
        <v>11</v>
      </c>
      <c r="Q891" s="16" t="str">
        <f>IF(COUNTIF($B$2:B891,B891)=1,SUMIF($B$2:$B$1097,B891,$L$2:$L$1097),"")</f>
        <v/>
      </c>
    </row>
    <row r="892" spans="1:18" ht="12.75" x14ac:dyDescent="0.2">
      <c r="A892" s="3">
        <v>891</v>
      </c>
      <c r="B892" s="26">
        <v>45223</v>
      </c>
      <c r="C892" s="23" t="s">
        <v>39</v>
      </c>
      <c r="D892" s="4">
        <v>4</v>
      </c>
      <c r="E892" s="24" t="s">
        <v>40</v>
      </c>
      <c r="F892" s="5" t="s">
        <v>11</v>
      </c>
      <c r="G892" s="5" t="s">
        <v>11</v>
      </c>
      <c r="H892" s="5" t="s">
        <v>14</v>
      </c>
      <c r="I892" s="5" t="s">
        <v>13</v>
      </c>
      <c r="J892" s="5" t="s">
        <v>52</v>
      </c>
      <c r="K892" s="6">
        <v>14</v>
      </c>
      <c r="L892" s="15">
        <v>154</v>
      </c>
      <c r="M892" s="15">
        <f t="shared" ca="1" si="93"/>
        <v>27</v>
      </c>
      <c r="N892" s="16">
        <f t="shared" ca="1" si="91"/>
        <v>127</v>
      </c>
      <c r="O892" s="18">
        <f t="shared" ca="1" si="90"/>
        <v>0.82467532467532467</v>
      </c>
      <c r="P892" s="19">
        <f t="shared" si="92"/>
        <v>11</v>
      </c>
      <c r="Q892" s="16">
        <f>IF(COUNTIF($B$2:B892,B892)=1,SUMIF($B$2:$B$1097,B892,$L$2:$L$1097),"")</f>
        <v>374</v>
      </c>
      <c r="R892" s="16">
        <f>AVERAGE(Q872:Q892)</f>
        <v>469.33333333333331</v>
      </c>
    </row>
    <row r="893" spans="1:18" ht="12.75" x14ac:dyDescent="0.2">
      <c r="A893" s="3">
        <v>892</v>
      </c>
      <c r="B893" s="26">
        <v>45223</v>
      </c>
      <c r="C893" s="23" t="s">
        <v>39</v>
      </c>
      <c r="D893" s="4">
        <v>4</v>
      </c>
      <c r="E893" s="24" t="s">
        <v>40</v>
      </c>
      <c r="F893" s="5" t="s">
        <v>11</v>
      </c>
      <c r="G893" s="5" t="s">
        <v>11</v>
      </c>
      <c r="H893" s="5" t="s">
        <v>14</v>
      </c>
      <c r="I893" s="5" t="s">
        <v>15</v>
      </c>
      <c r="J893" s="5" t="s">
        <v>54</v>
      </c>
      <c r="K893" s="6">
        <v>6</v>
      </c>
      <c r="L893" s="15">
        <v>66</v>
      </c>
      <c r="M893" s="15">
        <f t="shared" ca="1" si="93"/>
        <v>15</v>
      </c>
      <c r="N893" s="16">
        <f t="shared" ca="1" si="91"/>
        <v>51</v>
      </c>
      <c r="O893" s="18">
        <f t="shared" ca="1" si="90"/>
        <v>0.77272727272727271</v>
      </c>
      <c r="P893" s="19">
        <f t="shared" si="92"/>
        <v>11</v>
      </c>
      <c r="Q893" s="16" t="str">
        <f>IF(COUNTIF($B$2:B893,B893)=1,SUMIF($B$2:$B$1097,B893,$L$2:$L$1097),"")</f>
        <v/>
      </c>
    </row>
    <row r="894" spans="1:18" ht="12.75" x14ac:dyDescent="0.2">
      <c r="A894" s="3">
        <v>893</v>
      </c>
      <c r="B894" s="26">
        <v>45223</v>
      </c>
      <c r="C894" s="23" t="s">
        <v>39</v>
      </c>
      <c r="D894" s="4">
        <v>4</v>
      </c>
      <c r="E894" s="24" t="s">
        <v>40</v>
      </c>
      <c r="F894" s="5" t="s">
        <v>11</v>
      </c>
      <c r="G894" s="5" t="s">
        <v>11</v>
      </c>
      <c r="H894" s="5" t="s">
        <v>14</v>
      </c>
      <c r="I894" s="5" t="s">
        <v>16</v>
      </c>
      <c r="J894" s="5" t="s">
        <v>54</v>
      </c>
      <c r="K894" s="6">
        <v>5</v>
      </c>
      <c r="L894" s="15">
        <v>55</v>
      </c>
      <c r="M894" s="15">
        <f t="shared" ca="1" si="93"/>
        <v>47</v>
      </c>
      <c r="N894" s="16">
        <f t="shared" ca="1" si="91"/>
        <v>8</v>
      </c>
      <c r="O894" s="18">
        <f t="shared" ca="1" si="90"/>
        <v>0.14545454545454545</v>
      </c>
      <c r="P894" s="19">
        <f t="shared" si="92"/>
        <v>11</v>
      </c>
      <c r="Q894" s="16" t="str">
        <f>IF(COUNTIF($B$2:B894,B894)=1,SUMIF($B$2:$B$1097,B894,$L$2:$L$1097),"")</f>
        <v/>
      </c>
    </row>
    <row r="895" spans="1:18" ht="12.75" x14ac:dyDescent="0.2">
      <c r="A895" s="3">
        <v>894</v>
      </c>
      <c r="B895" s="26">
        <v>45223</v>
      </c>
      <c r="C895" s="23" t="s">
        <v>39</v>
      </c>
      <c r="D895" s="4">
        <v>4</v>
      </c>
      <c r="E895" s="24" t="s">
        <v>40</v>
      </c>
      <c r="F895" s="5" t="s">
        <v>11</v>
      </c>
      <c r="G895" s="5" t="s">
        <v>11</v>
      </c>
      <c r="H895" s="5" t="s">
        <v>14</v>
      </c>
      <c r="I895" s="5" t="s">
        <v>17</v>
      </c>
      <c r="J895" s="5" t="s">
        <v>54</v>
      </c>
      <c r="K895" s="6">
        <v>9</v>
      </c>
      <c r="L895" s="15">
        <v>99</v>
      </c>
      <c r="M895" s="15">
        <f t="shared" ca="1" si="93"/>
        <v>19</v>
      </c>
      <c r="N895" s="16">
        <f t="shared" ca="1" si="91"/>
        <v>80</v>
      </c>
      <c r="O895" s="18">
        <f t="shared" ca="1" si="90"/>
        <v>0.80808080808080807</v>
      </c>
      <c r="P895" s="19">
        <f t="shared" si="92"/>
        <v>11</v>
      </c>
      <c r="Q895" s="16" t="str">
        <f>IF(COUNTIF($B$2:B895,B895)=1,SUMIF($B$2:$B$1097,B895,$L$2:$L$1097),"")</f>
        <v/>
      </c>
    </row>
    <row r="896" spans="1:18" ht="12.75" x14ac:dyDescent="0.2">
      <c r="A896" s="3">
        <v>895</v>
      </c>
      <c r="B896" s="26">
        <v>45224</v>
      </c>
      <c r="C896" s="23" t="s">
        <v>39</v>
      </c>
      <c r="D896" s="4">
        <v>5</v>
      </c>
      <c r="E896" s="24" t="s">
        <v>40</v>
      </c>
      <c r="F896" s="5" t="s">
        <v>11</v>
      </c>
      <c r="G896" s="5" t="s">
        <v>11</v>
      </c>
      <c r="H896" s="5" t="s">
        <v>14</v>
      </c>
      <c r="I896" s="5" t="s">
        <v>13</v>
      </c>
      <c r="J896" s="5" t="s">
        <v>56</v>
      </c>
      <c r="K896" s="6">
        <v>17</v>
      </c>
      <c r="L896" s="15">
        <v>187</v>
      </c>
      <c r="M896" s="15">
        <f t="shared" ca="1" si="93"/>
        <v>14</v>
      </c>
      <c r="N896" s="16">
        <f t="shared" ca="1" si="91"/>
        <v>173</v>
      </c>
      <c r="O896" s="18">
        <f t="shared" ca="1" si="90"/>
        <v>0.92513368983957223</v>
      </c>
      <c r="P896" s="19">
        <f t="shared" si="92"/>
        <v>11</v>
      </c>
      <c r="Q896" s="16">
        <f>IF(COUNTIF($B$2:B896,B896)=1,SUMIF($B$2:$B$1097,B896,$L$2:$L$1097),"")</f>
        <v>495</v>
      </c>
      <c r="R896" s="16">
        <f>AVERAGE(Q876:Q896)</f>
        <v>469.33333333333331</v>
      </c>
    </row>
    <row r="897" spans="1:18" ht="12.75" x14ac:dyDescent="0.2">
      <c r="A897" s="3">
        <v>896</v>
      </c>
      <c r="B897" s="26">
        <v>45224</v>
      </c>
      <c r="C897" s="23" t="s">
        <v>39</v>
      </c>
      <c r="D897" s="4">
        <v>5</v>
      </c>
      <c r="E897" s="24" t="s">
        <v>40</v>
      </c>
      <c r="F897" s="5" t="s">
        <v>11</v>
      </c>
      <c r="G897" s="5" t="s">
        <v>11</v>
      </c>
      <c r="H897" s="5" t="s">
        <v>14</v>
      </c>
      <c r="I897" s="5" t="s">
        <v>15</v>
      </c>
      <c r="J897" s="5" t="s">
        <v>56</v>
      </c>
      <c r="K897" s="6">
        <v>11</v>
      </c>
      <c r="L897" s="15">
        <v>121</v>
      </c>
      <c r="M897" s="15">
        <f t="shared" ca="1" si="93"/>
        <v>17</v>
      </c>
      <c r="N897" s="16">
        <f t="shared" ca="1" si="91"/>
        <v>104</v>
      </c>
      <c r="O897" s="18">
        <f t="shared" ca="1" si="90"/>
        <v>0.85950413223140498</v>
      </c>
      <c r="P897" s="19">
        <f t="shared" si="92"/>
        <v>11</v>
      </c>
      <c r="Q897" s="16" t="str">
        <f>IF(COUNTIF($B$2:B897,B897)=1,SUMIF($B$2:$B$1097,B897,$L$2:$L$1097),"")</f>
        <v/>
      </c>
    </row>
    <row r="898" spans="1:18" ht="12.75" x14ac:dyDescent="0.2">
      <c r="A898" s="3">
        <v>897</v>
      </c>
      <c r="B898" s="26">
        <v>45224</v>
      </c>
      <c r="C898" s="23" t="s">
        <v>39</v>
      </c>
      <c r="D898" s="4">
        <v>5</v>
      </c>
      <c r="E898" s="24" t="s">
        <v>40</v>
      </c>
      <c r="F898" s="5" t="s">
        <v>11</v>
      </c>
      <c r="G898" s="5" t="s">
        <v>11</v>
      </c>
      <c r="H898" s="5" t="s">
        <v>14</v>
      </c>
      <c r="I898" s="5" t="s">
        <v>16</v>
      </c>
      <c r="J898" s="5" t="s">
        <v>55</v>
      </c>
      <c r="K898" s="6">
        <v>5</v>
      </c>
      <c r="L898" s="15">
        <v>55</v>
      </c>
      <c r="M898" s="15">
        <f t="shared" ca="1" si="93"/>
        <v>7</v>
      </c>
      <c r="N898" s="16">
        <f t="shared" ca="1" si="91"/>
        <v>48</v>
      </c>
      <c r="O898" s="18">
        <f t="shared" ref="O898:O961" ca="1" si="97">IF(L898=0, 0, N898/L898)</f>
        <v>0.87272727272727268</v>
      </c>
      <c r="P898" s="19">
        <f t="shared" si="92"/>
        <v>11</v>
      </c>
      <c r="Q898" s="16" t="str">
        <f>IF(COUNTIF($B$2:B898,B898)=1,SUMIF($B$2:$B$1097,B898,$L$2:$L$1097),"")</f>
        <v/>
      </c>
    </row>
    <row r="899" spans="1:18" ht="12.75" x14ac:dyDescent="0.2">
      <c r="A899" s="3">
        <v>898</v>
      </c>
      <c r="B899" s="26">
        <v>45224</v>
      </c>
      <c r="C899" s="23" t="s">
        <v>39</v>
      </c>
      <c r="D899" s="4">
        <v>5</v>
      </c>
      <c r="E899" s="24" t="s">
        <v>40</v>
      </c>
      <c r="F899" s="5" t="s">
        <v>11</v>
      </c>
      <c r="G899" s="5" t="s">
        <v>11</v>
      </c>
      <c r="H899" s="5" t="s">
        <v>14</v>
      </c>
      <c r="I899" s="5" t="s">
        <v>17</v>
      </c>
      <c r="J899" s="5" t="s">
        <v>53</v>
      </c>
      <c r="K899" s="6">
        <v>12</v>
      </c>
      <c r="L899" s="15">
        <v>132</v>
      </c>
      <c r="M899" s="15">
        <f t="shared" ca="1" si="93"/>
        <v>8</v>
      </c>
      <c r="N899" s="16">
        <f t="shared" ref="N899:N962" ca="1" si="98">L899-M899</f>
        <v>124</v>
      </c>
      <c r="O899" s="18">
        <f t="shared" ca="1" si="97"/>
        <v>0.93939393939393945</v>
      </c>
      <c r="P899" s="19">
        <f t="shared" ref="P899:P962" si="99">IF(K899=0, 0, L899/K899)</f>
        <v>11</v>
      </c>
      <c r="Q899" s="16" t="str">
        <f>IF(COUNTIF($B$2:B899,B899)=1,SUMIF($B$2:$B$1097,B899,$L$2:$L$1097),"")</f>
        <v/>
      </c>
    </row>
    <row r="900" spans="1:18" ht="12.75" x14ac:dyDescent="0.2">
      <c r="A900" s="3">
        <v>899</v>
      </c>
      <c r="B900" s="26">
        <v>45225</v>
      </c>
      <c r="C900" s="23" t="s">
        <v>39</v>
      </c>
      <c r="D900" s="4">
        <v>6</v>
      </c>
      <c r="E900" s="24" t="s">
        <v>40</v>
      </c>
      <c r="F900" s="5" t="s">
        <v>11</v>
      </c>
      <c r="G900" s="5" t="s">
        <v>11</v>
      </c>
      <c r="H900" s="5" t="s">
        <v>14</v>
      </c>
      <c r="I900" s="5" t="s">
        <v>13</v>
      </c>
      <c r="J900" s="5" t="s">
        <v>52</v>
      </c>
      <c r="K900" s="6">
        <v>20</v>
      </c>
      <c r="L900" s="15">
        <v>220</v>
      </c>
      <c r="M900" s="15">
        <f t="shared" ca="1" si="93"/>
        <v>7</v>
      </c>
      <c r="N900" s="16">
        <f t="shared" ca="1" si="98"/>
        <v>213</v>
      </c>
      <c r="O900" s="18">
        <f t="shared" ca="1" si="97"/>
        <v>0.96818181818181814</v>
      </c>
      <c r="P900" s="19">
        <f t="shared" si="99"/>
        <v>11</v>
      </c>
      <c r="Q900" s="16">
        <f>IF(COUNTIF($B$2:B900,B900)=1,SUMIF($B$2:$B$1097,B900,$L$2:$L$1097),"")</f>
        <v>594</v>
      </c>
      <c r="R900" s="16">
        <f>AVERAGE(Q880:Q900)</f>
        <v>462</v>
      </c>
    </row>
    <row r="901" spans="1:18" ht="12.75" x14ac:dyDescent="0.2">
      <c r="A901" s="3">
        <v>900</v>
      </c>
      <c r="B901" s="26">
        <v>45225</v>
      </c>
      <c r="C901" s="23" t="s">
        <v>39</v>
      </c>
      <c r="D901" s="4">
        <v>6</v>
      </c>
      <c r="E901" s="24" t="s">
        <v>40</v>
      </c>
      <c r="F901" s="5" t="s">
        <v>11</v>
      </c>
      <c r="G901" s="5" t="s">
        <v>11</v>
      </c>
      <c r="H901" s="5" t="s">
        <v>14</v>
      </c>
      <c r="I901" s="5" t="s">
        <v>15</v>
      </c>
      <c r="J901" s="5" t="s">
        <v>55</v>
      </c>
      <c r="K901" s="6">
        <v>9</v>
      </c>
      <c r="L901" s="15">
        <v>99</v>
      </c>
      <c r="M901" s="15">
        <f t="shared" ca="1" si="93"/>
        <v>26</v>
      </c>
      <c r="N901" s="16">
        <f t="shared" ca="1" si="98"/>
        <v>73</v>
      </c>
      <c r="O901" s="18">
        <f t="shared" ca="1" si="97"/>
        <v>0.73737373737373735</v>
      </c>
      <c r="P901" s="19">
        <f t="shared" si="99"/>
        <v>11</v>
      </c>
      <c r="Q901" s="16" t="str">
        <f>IF(COUNTIF($B$2:B901,B901)=1,SUMIF($B$2:$B$1097,B901,$L$2:$L$1097),"")</f>
        <v/>
      </c>
    </row>
    <row r="902" spans="1:18" ht="12.75" x14ac:dyDescent="0.2">
      <c r="A902" s="3">
        <v>901</v>
      </c>
      <c r="B902" s="26">
        <v>45225</v>
      </c>
      <c r="C902" s="23" t="s">
        <v>39</v>
      </c>
      <c r="D902" s="4">
        <v>6</v>
      </c>
      <c r="E902" s="24" t="s">
        <v>40</v>
      </c>
      <c r="F902" s="5" t="s">
        <v>11</v>
      </c>
      <c r="G902" s="5" t="s">
        <v>11</v>
      </c>
      <c r="H902" s="5" t="s">
        <v>14</v>
      </c>
      <c r="I902" s="5" t="s">
        <v>16</v>
      </c>
      <c r="J902" s="5" t="s">
        <v>55</v>
      </c>
      <c r="K902" s="6">
        <v>8</v>
      </c>
      <c r="L902" s="15">
        <v>88</v>
      </c>
      <c r="M902" s="15">
        <f t="shared" ca="1" si="93"/>
        <v>49</v>
      </c>
      <c r="N902" s="16">
        <f t="shared" ca="1" si="98"/>
        <v>39</v>
      </c>
      <c r="O902" s="18">
        <f t="shared" ca="1" si="97"/>
        <v>0.44318181818181818</v>
      </c>
      <c r="P902" s="19">
        <f t="shared" si="99"/>
        <v>11</v>
      </c>
      <c r="Q902" s="16" t="str">
        <f>IF(COUNTIF($B$2:B902,B902)=1,SUMIF($B$2:$B$1097,B902,$L$2:$L$1097),"")</f>
        <v/>
      </c>
    </row>
    <row r="903" spans="1:18" ht="12.75" x14ac:dyDescent="0.2">
      <c r="A903" s="3">
        <v>902</v>
      </c>
      <c r="B903" s="26">
        <v>45225</v>
      </c>
      <c r="C903" s="23" t="s">
        <v>39</v>
      </c>
      <c r="D903" s="4">
        <v>6</v>
      </c>
      <c r="E903" s="24" t="s">
        <v>40</v>
      </c>
      <c r="F903" s="5" t="s">
        <v>11</v>
      </c>
      <c r="G903" s="5" t="s">
        <v>11</v>
      </c>
      <c r="H903" s="5" t="s">
        <v>14</v>
      </c>
      <c r="I903" s="5" t="s">
        <v>17</v>
      </c>
      <c r="J903" s="5" t="s">
        <v>53</v>
      </c>
      <c r="K903" s="6">
        <v>17</v>
      </c>
      <c r="L903" s="15">
        <v>187</v>
      </c>
      <c r="M903" s="15">
        <f t="shared" ca="1" si="93"/>
        <v>23</v>
      </c>
      <c r="N903" s="16">
        <f t="shared" ca="1" si="98"/>
        <v>164</v>
      </c>
      <c r="O903" s="18">
        <f t="shared" ca="1" si="97"/>
        <v>0.87700534759358284</v>
      </c>
      <c r="P903" s="19">
        <f t="shared" si="99"/>
        <v>11</v>
      </c>
      <c r="Q903" s="16" t="str">
        <f>IF(COUNTIF($B$2:B903,B903)=1,SUMIF($B$2:$B$1097,B903,$L$2:$L$1097),"")</f>
        <v/>
      </c>
    </row>
    <row r="904" spans="1:18" ht="12.75" x14ac:dyDescent="0.2">
      <c r="A904" s="3">
        <v>903</v>
      </c>
      <c r="B904" s="26">
        <v>45226</v>
      </c>
      <c r="C904" s="23" t="s">
        <v>39</v>
      </c>
      <c r="D904" s="4">
        <v>7</v>
      </c>
      <c r="E904" s="24" t="s">
        <v>40</v>
      </c>
      <c r="F904" s="5" t="s">
        <v>11</v>
      </c>
      <c r="G904" s="5" t="s">
        <v>11</v>
      </c>
      <c r="H904" s="5" t="s">
        <v>14</v>
      </c>
      <c r="I904" s="5" t="s">
        <v>13</v>
      </c>
      <c r="J904" s="5" t="s">
        <v>56</v>
      </c>
      <c r="K904" s="6">
        <v>19</v>
      </c>
      <c r="L904" s="15">
        <v>209</v>
      </c>
      <c r="M904" s="15">
        <f t="shared" ca="1" si="93"/>
        <v>33</v>
      </c>
      <c r="N904" s="16">
        <f t="shared" ca="1" si="98"/>
        <v>176</v>
      </c>
      <c r="O904" s="18">
        <f t="shared" ca="1" si="97"/>
        <v>0.84210526315789469</v>
      </c>
      <c r="P904" s="19">
        <f t="shared" si="99"/>
        <v>11</v>
      </c>
      <c r="Q904" s="16">
        <f>IF(COUNTIF($B$2:B904,B904)=1,SUMIF($B$2:$B$1097,B904,$L$2:$L$1097),"")</f>
        <v>209</v>
      </c>
      <c r="R904" s="16">
        <f t="shared" ref="R904:R905" si="100">AVERAGE(Q884:Q904)</f>
        <v>458.33333333333331</v>
      </c>
    </row>
    <row r="905" spans="1:18" ht="12.75" x14ac:dyDescent="0.2">
      <c r="A905" s="3">
        <v>904</v>
      </c>
      <c r="B905" s="26">
        <v>45228</v>
      </c>
      <c r="C905" s="23" t="s">
        <v>39</v>
      </c>
      <c r="D905" s="4">
        <v>2</v>
      </c>
      <c r="E905" s="24" t="s">
        <v>40</v>
      </c>
      <c r="F905" s="5" t="s">
        <v>11</v>
      </c>
      <c r="G905" s="5" t="s">
        <v>11</v>
      </c>
      <c r="H905" s="5" t="s">
        <v>14</v>
      </c>
      <c r="I905" s="5" t="s">
        <v>13</v>
      </c>
      <c r="J905" s="5" t="s">
        <v>52</v>
      </c>
      <c r="K905" s="6">
        <v>19</v>
      </c>
      <c r="L905" s="15">
        <v>209</v>
      </c>
      <c r="M905" s="15">
        <f t="shared" ref="M905:M968" ca="1" si="101">RANDBETWEEN(1,50)</f>
        <v>22</v>
      </c>
      <c r="N905" s="16">
        <f t="shared" ca="1" si="98"/>
        <v>187</v>
      </c>
      <c r="O905" s="18">
        <f t="shared" ca="1" si="97"/>
        <v>0.89473684210526316</v>
      </c>
      <c r="P905" s="19">
        <f t="shared" si="99"/>
        <v>11</v>
      </c>
      <c r="Q905" s="16">
        <f>IF(COUNTIF($B$2:B905,B905)=1,SUMIF($B$2:$B$1097,B905,$L$2:$L$1097),"")</f>
        <v>550</v>
      </c>
      <c r="R905" s="16">
        <f t="shared" si="100"/>
        <v>452.83333333333331</v>
      </c>
    </row>
    <row r="906" spans="1:18" ht="12.75" x14ac:dyDescent="0.2">
      <c r="A906" s="3">
        <v>905</v>
      </c>
      <c r="B906" s="26">
        <v>45228</v>
      </c>
      <c r="C906" s="23" t="s">
        <v>39</v>
      </c>
      <c r="D906" s="4">
        <v>2</v>
      </c>
      <c r="E906" s="24" t="s">
        <v>40</v>
      </c>
      <c r="F906" s="5" t="s">
        <v>11</v>
      </c>
      <c r="G906" s="5" t="s">
        <v>11</v>
      </c>
      <c r="H906" s="5" t="s">
        <v>14</v>
      </c>
      <c r="I906" s="5" t="s">
        <v>15</v>
      </c>
      <c r="J906" s="5" t="s">
        <v>54</v>
      </c>
      <c r="K906" s="6">
        <v>8</v>
      </c>
      <c r="L906" s="15">
        <v>88</v>
      </c>
      <c r="M906" s="15">
        <f t="shared" ca="1" si="101"/>
        <v>2</v>
      </c>
      <c r="N906" s="16">
        <f t="shared" ca="1" si="98"/>
        <v>86</v>
      </c>
      <c r="O906" s="18">
        <f t="shared" ca="1" si="97"/>
        <v>0.97727272727272729</v>
      </c>
      <c r="P906" s="19">
        <f t="shared" si="99"/>
        <v>11</v>
      </c>
      <c r="Q906" s="16" t="str">
        <f>IF(COUNTIF($B$2:B906,B906)=1,SUMIF($B$2:$B$1097,B906,$L$2:$L$1097),"")</f>
        <v/>
      </c>
    </row>
    <row r="907" spans="1:18" ht="12.75" x14ac:dyDescent="0.2">
      <c r="A907" s="3">
        <v>906</v>
      </c>
      <c r="B907" s="26">
        <v>45228</v>
      </c>
      <c r="C907" s="23" t="s">
        <v>39</v>
      </c>
      <c r="D907" s="4">
        <v>2</v>
      </c>
      <c r="E907" s="24" t="s">
        <v>40</v>
      </c>
      <c r="F907" s="5" t="s">
        <v>11</v>
      </c>
      <c r="G907" s="5" t="s">
        <v>11</v>
      </c>
      <c r="H907" s="5" t="s">
        <v>14</v>
      </c>
      <c r="I907" s="5" t="s">
        <v>16</v>
      </c>
      <c r="J907" s="5" t="s">
        <v>54</v>
      </c>
      <c r="K907" s="6">
        <v>8</v>
      </c>
      <c r="L907" s="15">
        <v>88</v>
      </c>
      <c r="M907" s="15">
        <f t="shared" ca="1" si="101"/>
        <v>24</v>
      </c>
      <c r="N907" s="16">
        <f t="shared" ca="1" si="98"/>
        <v>64</v>
      </c>
      <c r="O907" s="18">
        <f t="shared" ca="1" si="97"/>
        <v>0.72727272727272729</v>
      </c>
      <c r="P907" s="19">
        <f t="shared" si="99"/>
        <v>11</v>
      </c>
      <c r="Q907" s="16" t="str">
        <f>IF(COUNTIF($B$2:B907,B907)=1,SUMIF($B$2:$B$1097,B907,$L$2:$L$1097),"")</f>
        <v/>
      </c>
    </row>
    <row r="908" spans="1:18" ht="12.75" x14ac:dyDescent="0.2">
      <c r="A908" s="3">
        <v>907</v>
      </c>
      <c r="B908" s="26">
        <v>45228</v>
      </c>
      <c r="C908" s="23" t="s">
        <v>39</v>
      </c>
      <c r="D908" s="4">
        <v>2</v>
      </c>
      <c r="E908" s="24" t="s">
        <v>40</v>
      </c>
      <c r="F908" s="5" t="s">
        <v>11</v>
      </c>
      <c r="G908" s="5" t="s">
        <v>11</v>
      </c>
      <c r="H908" s="5" t="s">
        <v>14</v>
      </c>
      <c r="I908" s="5" t="s">
        <v>17</v>
      </c>
      <c r="J908" s="5" t="s">
        <v>54</v>
      </c>
      <c r="K908" s="6">
        <v>15</v>
      </c>
      <c r="L908" s="15">
        <v>165</v>
      </c>
      <c r="M908" s="15">
        <f t="shared" ca="1" si="101"/>
        <v>50</v>
      </c>
      <c r="N908" s="16">
        <f t="shared" ca="1" si="98"/>
        <v>115</v>
      </c>
      <c r="O908" s="18">
        <f t="shared" ca="1" si="97"/>
        <v>0.69696969696969702</v>
      </c>
      <c r="P908" s="19">
        <f t="shared" si="99"/>
        <v>11</v>
      </c>
      <c r="Q908" s="16" t="str">
        <f>IF(COUNTIF($B$2:B908,B908)=1,SUMIF($B$2:$B$1097,B908,$L$2:$L$1097),"")</f>
        <v/>
      </c>
    </row>
    <row r="909" spans="1:18" ht="12.75" x14ac:dyDescent="0.2">
      <c r="A909" s="3">
        <v>908</v>
      </c>
      <c r="B909" s="26">
        <v>45229</v>
      </c>
      <c r="C909" s="23" t="s">
        <v>39</v>
      </c>
      <c r="D909" s="4">
        <v>3</v>
      </c>
      <c r="E909" s="24" t="s">
        <v>40</v>
      </c>
      <c r="F909" s="5" t="s">
        <v>11</v>
      </c>
      <c r="G909" s="5" t="s">
        <v>11</v>
      </c>
      <c r="H909" s="5" t="s">
        <v>14</v>
      </c>
      <c r="I909" s="5" t="s">
        <v>13</v>
      </c>
      <c r="J909" s="5" t="s">
        <v>56</v>
      </c>
      <c r="K909" s="6">
        <v>19</v>
      </c>
      <c r="L909" s="15">
        <v>209</v>
      </c>
      <c r="M909" s="15">
        <f t="shared" ca="1" si="101"/>
        <v>2</v>
      </c>
      <c r="N909" s="16">
        <f t="shared" ca="1" si="98"/>
        <v>207</v>
      </c>
      <c r="O909" s="18">
        <f t="shared" ca="1" si="97"/>
        <v>0.99043062200956933</v>
      </c>
      <c r="P909" s="19">
        <f t="shared" si="99"/>
        <v>11</v>
      </c>
      <c r="Q909" s="16">
        <f>IF(COUNTIF($B$2:B909,B909)=1,SUMIF($B$2:$B$1097,B909,$L$2:$L$1097),"")</f>
        <v>539</v>
      </c>
      <c r="R909" s="16">
        <f>AVERAGE(Q889:Q909)</f>
        <v>460.16666666666669</v>
      </c>
    </row>
    <row r="910" spans="1:18" ht="12.75" x14ac:dyDescent="0.2">
      <c r="A910" s="3">
        <v>909</v>
      </c>
      <c r="B910" s="26">
        <v>45229</v>
      </c>
      <c r="C910" s="23" t="s">
        <v>39</v>
      </c>
      <c r="D910" s="4">
        <v>3</v>
      </c>
      <c r="E910" s="24" t="s">
        <v>40</v>
      </c>
      <c r="F910" s="5" t="s">
        <v>11</v>
      </c>
      <c r="G910" s="5" t="s">
        <v>11</v>
      </c>
      <c r="H910" s="5" t="s">
        <v>14</v>
      </c>
      <c r="I910" s="5" t="s">
        <v>15</v>
      </c>
      <c r="J910" s="5" t="s">
        <v>56</v>
      </c>
      <c r="K910" s="6">
        <v>13</v>
      </c>
      <c r="L910" s="15">
        <v>143</v>
      </c>
      <c r="M910" s="15">
        <f t="shared" ca="1" si="101"/>
        <v>6</v>
      </c>
      <c r="N910" s="16">
        <f t="shared" ca="1" si="98"/>
        <v>137</v>
      </c>
      <c r="O910" s="18">
        <f t="shared" ca="1" si="97"/>
        <v>0.95804195804195802</v>
      </c>
      <c r="P910" s="19">
        <f t="shared" si="99"/>
        <v>11</v>
      </c>
      <c r="Q910" s="16" t="str">
        <f>IF(COUNTIF($B$2:B910,B910)=1,SUMIF($B$2:$B$1097,B910,$L$2:$L$1097),"")</f>
        <v/>
      </c>
    </row>
    <row r="911" spans="1:18" ht="12.75" x14ac:dyDescent="0.2">
      <c r="A911" s="3">
        <v>910</v>
      </c>
      <c r="B911" s="26">
        <v>45229</v>
      </c>
      <c r="C911" s="23" t="s">
        <v>39</v>
      </c>
      <c r="D911" s="4">
        <v>3</v>
      </c>
      <c r="E911" s="24" t="s">
        <v>40</v>
      </c>
      <c r="F911" s="5" t="s">
        <v>11</v>
      </c>
      <c r="G911" s="5" t="s">
        <v>11</v>
      </c>
      <c r="H911" s="5" t="s">
        <v>14</v>
      </c>
      <c r="I911" s="5" t="s">
        <v>16</v>
      </c>
      <c r="J911" s="5" t="s">
        <v>55</v>
      </c>
      <c r="K911" s="6">
        <v>5</v>
      </c>
      <c r="L911" s="15">
        <v>55</v>
      </c>
      <c r="M911" s="15">
        <f t="shared" ca="1" si="101"/>
        <v>29</v>
      </c>
      <c r="N911" s="16">
        <f t="shared" ca="1" si="98"/>
        <v>26</v>
      </c>
      <c r="O911" s="18">
        <f t="shared" ca="1" si="97"/>
        <v>0.47272727272727272</v>
      </c>
      <c r="P911" s="19">
        <f t="shared" si="99"/>
        <v>11</v>
      </c>
      <c r="Q911" s="16" t="str">
        <f>IF(COUNTIF($B$2:B911,B911)=1,SUMIF($B$2:$B$1097,B911,$L$2:$L$1097),"")</f>
        <v/>
      </c>
    </row>
    <row r="912" spans="1:18" ht="12.75" x14ac:dyDescent="0.2">
      <c r="A912" s="3">
        <v>911</v>
      </c>
      <c r="B912" s="26">
        <v>45229</v>
      </c>
      <c r="C912" s="23" t="s">
        <v>39</v>
      </c>
      <c r="D912" s="4">
        <v>3</v>
      </c>
      <c r="E912" s="24" t="s">
        <v>40</v>
      </c>
      <c r="F912" s="5" t="s">
        <v>11</v>
      </c>
      <c r="G912" s="5" t="s">
        <v>11</v>
      </c>
      <c r="H912" s="5" t="s">
        <v>14</v>
      </c>
      <c r="I912" s="5" t="s">
        <v>17</v>
      </c>
      <c r="J912" s="5" t="s">
        <v>53</v>
      </c>
      <c r="K912" s="6">
        <v>12</v>
      </c>
      <c r="L912" s="15">
        <v>132</v>
      </c>
      <c r="M912" s="15">
        <f t="shared" ca="1" si="101"/>
        <v>34</v>
      </c>
      <c r="N912" s="16">
        <f t="shared" ca="1" si="98"/>
        <v>98</v>
      </c>
      <c r="O912" s="18">
        <f t="shared" ca="1" si="97"/>
        <v>0.74242424242424243</v>
      </c>
      <c r="P912" s="19">
        <f t="shared" si="99"/>
        <v>11</v>
      </c>
      <c r="Q912" s="16" t="str">
        <f>IF(COUNTIF($B$2:B912,B912)=1,SUMIF($B$2:$B$1097,B912,$L$2:$L$1097),"")</f>
        <v/>
      </c>
    </row>
    <row r="913" spans="1:18" ht="12.75" x14ac:dyDescent="0.2">
      <c r="A913" s="3">
        <v>912</v>
      </c>
      <c r="B913" s="26">
        <v>45230</v>
      </c>
      <c r="C913" s="23" t="s">
        <v>39</v>
      </c>
      <c r="D913" s="4">
        <v>4</v>
      </c>
      <c r="E913" s="24" t="s">
        <v>40</v>
      </c>
      <c r="F913" s="5" t="s">
        <v>11</v>
      </c>
      <c r="G913" s="5" t="s">
        <v>11</v>
      </c>
      <c r="H913" s="5" t="s">
        <v>14</v>
      </c>
      <c r="I913" s="5" t="s">
        <v>13</v>
      </c>
      <c r="J913" s="5" t="s">
        <v>52</v>
      </c>
      <c r="K913" s="6">
        <v>17</v>
      </c>
      <c r="L913" s="15">
        <v>187</v>
      </c>
      <c r="M913" s="15">
        <f t="shared" ca="1" si="101"/>
        <v>3</v>
      </c>
      <c r="N913" s="16">
        <f t="shared" ca="1" si="98"/>
        <v>184</v>
      </c>
      <c r="O913" s="18">
        <f t="shared" ca="1" si="97"/>
        <v>0.98395721925133695</v>
      </c>
      <c r="P913" s="19">
        <f t="shared" si="99"/>
        <v>11</v>
      </c>
      <c r="Q913" s="16">
        <f>IF(COUNTIF($B$2:B913,B913)=1,SUMIF($B$2:$B$1097,B913,$L$2:$L$1097),"")</f>
        <v>440</v>
      </c>
      <c r="R913" s="16">
        <f>AVERAGE(Q893:Q913)</f>
        <v>471.16666666666669</v>
      </c>
    </row>
    <row r="914" spans="1:18" ht="12.75" x14ac:dyDescent="0.2">
      <c r="A914" s="3">
        <v>913</v>
      </c>
      <c r="B914" s="26">
        <v>45230</v>
      </c>
      <c r="C914" s="23" t="s">
        <v>39</v>
      </c>
      <c r="D914" s="4">
        <v>4</v>
      </c>
      <c r="E914" s="24" t="s">
        <v>40</v>
      </c>
      <c r="F914" s="5" t="s">
        <v>11</v>
      </c>
      <c r="G914" s="5" t="s">
        <v>11</v>
      </c>
      <c r="H914" s="5" t="s">
        <v>14</v>
      </c>
      <c r="I914" s="5" t="s">
        <v>15</v>
      </c>
      <c r="J914" s="5" t="s">
        <v>54</v>
      </c>
      <c r="K914" s="6">
        <v>8</v>
      </c>
      <c r="L914" s="15">
        <v>88</v>
      </c>
      <c r="M914" s="15">
        <f t="shared" ca="1" si="101"/>
        <v>40</v>
      </c>
      <c r="N914" s="16">
        <f t="shared" ca="1" si="98"/>
        <v>48</v>
      </c>
      <c r="O914" s="18">
        <f t="shared" ca="1" si="97"/>
        <v>0.54545454545454541</v>
      </c>
      <c r="P914" s="19">
        <f t="shared" si="99"/>
        <v>11</v>
      </c>
      <c r="Q914" s="16" t="str">
        <f>IF(COUNTIF($B$2:B914,B914)=1,SUMIF($B$2:$B$1097,B914,$L$2:$L$1097),"")</f>
        <v/>
      </c>
    </row>
    <row r="915" spans="1:18" ht="12.75" x14ac:dyDescent="0.2">
      <c r="A915" s="3">
        <v>914</v>
      </c>
      <c r="B915" s="26">
        <v>45230</v>
      </c>
      <c r="C915" s="23" t="s">
        <v>39</v>
      </c>
      <c r="D915" s="4">
        <v>4</v>
      </c>
      <c r="E915" s="24" t="s">
        <v>40</v>
      </c>
      <c r="F915" s="5" t="s">
        <v>11</v>
      </c>
      <c r="G915" s="5" t="s">
        <v>11</v>
      </c>
      <c r="H915" s="5" t="s">
        <v>14</v>
      </c>
      <c r="I915" s="5" t="s">
        <v>16</v>
      </c>
      <c r="J915" s="5" t="s">
        <v>54</v>
      </c>
      <c r="K915" s="6">
        <v>5</v>
      </c>
      <c r="L915" s="15">
        <v>55</v>
      </c>
      <c r="M915" s="15">
        <f t="shared" ca="1" si="101"/>
        <v>23</v>
      </c>
      <c r="N915" s="16">
        <f t="shared" ca="1" si="98"/>
        <v>32</v>
      </c>
      <c r="O915" s="18">
        <f t="shared" ca="1" si="97"/>
        <v>0.58181818181818179</v>
      </c>
      <c r="P915" s="19">
        <f t="shared" si="99"/>
        <v>11</v>
      </c>
      <c r="Q915" s="16" t="str">
        <f>IF(COUNTIF($B$2:B915,B915)=1,SUMIF($B$2:$B$1097,B915,$L$2:$L$1097),"")</f>
        <v/>
      </c>
    </row>
    <row r="916" spans="1:18" ht="12.75" x14ac:dyDescent="0.2">
      <c r="A916" s="3">
        <v>915</v>
      </c>
      <c r="B916" s="26">
        <v>45230</v>
      </c>
      <c r="C916" s="23" t="s">
        <v>39</v>
      </c>
      <c r="D916" s="4">
        <v>4</v>
      </c>
      <c r="E916" s="24" t="s">
        <v>40</v>
      </c>
      <c r="F916" s="5" t="s">
        <v>11</v>
      </c>
      <c r="G916" s="5" t="s">
        <v>11</v>
      </c>
      <c r="H916" s="5" t="s">
        <v>14</v>
      </c>
      <c r="I916" s="5" t="s">
        <v>17</v>
      </c>
      <c r="J916" s="5" t="s">
        <v>54</v>
      </c>
      <c r="K916" s="6">
        <v>10</v>
      </c>
      <c r="L916" s="15">
        <v>110</v>
      </c>
      <c r="M916" s="15">
        <f t="shared" ca="1" si="101"/>
        <v>27</v>
      </c>
      <c r="N916" s="16">
        <f t="shared" ca="1" si="98"/>
        <v>83</v>
      </c>
      <c r="O916" s="18">
        <f t="shared" ca="1" si="97"/>
        <v>0.75454545454545452</v>
      </c>
      <c r="P916" s="19">
        <f t="shared" si="99"/>
        <v>11</v>
      </c>
      <c r="Q916" s="16" t="str">
        <f>IF(COUNTIF($B$2:B916,B916)=1,SUMIF($B$2:$B$1097,B916,$L$2:$L$1097),"")</f>
        <v/>
      </c>
    </row>
    <row r="917" spans="1:18" ht="12.75" x14ac:dyDescent="0.2">
      <c r="A917" s="3">
        <v>916</v>
      </c>
      <c r="B917" s="26">
        <v>45231</v>
      </c>
      <c r="C917" s="23" t="s">
        <v>42</v>
      </c>
      <c r="D917" s="4">
        <v>5</v>
      </c>
      <c r="E917" s="24" t="s">
        <v>40</v>
      </c>
      <c r="F917" s="5" t="s">
        <v>11</v>
      </c>
      <c r="G917" s="5" t="s">
        <v>11</v>
      </c>
      <c r="H917" s="5" t="s">
        <v>14</v>
      </c>
      <c r="I917" s="5" t="s">
        <v>13</v>
      </c>
      <c r="J917" s="5" t="s">
        <v>56</v>
      </c>
      <c r="K917" s="6">
        <v>17</v>
      </c>
      <c r="L917" s="15">
        <v>187</v>
      </c>
      <c r="M917" s="15">
        <f t="shared" ca="1" si="101"/>
        <v>31</v>
      </c>
      <c r="N917" s="16">
        <f t="shared" ca="1" si="98"/>
        <v>156</v>
      </c>
      <c r="O917" s="18">
        <f t="shared" ca="1" si="97"/>
        <v>0.83422459893048129</v>
      </c>
      <c r="P917" s="19">
        <f t="shared" si="99"/>
        <v>11</v>
      </c>
      <c r="Q917" s="16">
        <f>IF(COUNTIF($B$2:B917,B917)=1,SUMIF($B$2:$B$1097,B917,$L$2:$L$1097),"")</f>
        <v>451</v>
      </c>
      <c r="R917" s="16">
        <f>AVERAGE(Q897:Q917)</f>
        <v>463.83333333333331</v>
      </c>
    </row>
    <row r="918" spans="1:18" ht="12.75" x14ac:dyDescent="0.2">
      <c r="A918" s="3">
        <v>917</v>
      </c>
      <c r="B918" s="26">
        <v>45231</v>
      </c>
      <c r="C918" s="23" t="s">
        <v>42</v>
      </c>
      <c r="D918" s="4">
        <v>5</v>
      </c>
      <c r="E918" s="24" t="s">
        <v>40</v>
      </c>
      <c r="F918" s="5" t="s">
        <v>11</v>
      </c>
      <c r="G918" s="5" t="s">
        <v>11</v>
      </c>
      <c r="H918" s="5" t="s">
        <v>14</v>
      </c>
      <c r="I918" s="5" t="s">
        <v>15</v>
      </c>
      <c r="J918" s="5" t="s">
        <v>56</v>
      </c>
      <c r="K918" s="6">
        <v>9</v>
      </c>
      <c r="L918" s="15">
        <v>99</v>
      </c>
      <c r="M918" s="15">
        <f t="shared" ca="1" si="101"/>
        <v>5</v>
      </c>
      <c r="N918" s="16">
        <f t="shared" ca="1" si="98"/>
        <v>94</v>
      </c>
      <c r="O918" s="18">
        <f t="shared" ca="1" si="97"/>
        <v>0.9494949494949495</v>
      </c>
      <c r="P918" s="19">
        <f t="shared" si="99"/>
        <v>11</v>
      </c>
      <c r="Q918" s="16" t="str">
        <f>IF(COUNTIF($B$2:B918,B918)=1,SUMIF($B$2:$B$1097,B918,$L$2:$L$1097),"")</f>
        <v/>
      </c>
    </row>
    <row r="919" spans="1:18" ht="12.75" x14ac:dyDescent="0.2">
      <c r="A919" s="3">
        <v>918</v>
      </c>
      <c r="B919" s="26">
        <v>45231</v>
      </c>
      <c r="C919" s="23" t="s">
        <v>42</v>
      </c>
      <c r="D919" s="4">
        <v>5</v>
      </c>
      <c r="E919" s="24" t="s">
        <v>40</v>
      </c>
      <c r="F919" s="5" t="s">
        <v>11</v>
      </c>
      <c r="G919" s="5" t="s">
        <v>11</v>
      </c>
      <c r="H919" s="5" t="s">
        <v>14</v>
      </c>
      <c r="I919" s="5" t="s">
        <v>16</v>
      </c>
      <c r="J919" s="5" t="s">
        <v>55</v>
      </c>
      <c r="K919" s="6">
        <v>5</v>
      </c>
      <c r="L919" s="15">
        <v>55</v>
      </c>
      <c r="M919" s="15">
        <f t="shared" ca="1" si="101"/>
        <v>27</v>
      </c>
      <c r="N919" s="16">
        <f t="shared" ca="1" si="98"/>
        <v>28</v>
      </c>
      <c r="O919" s="18">
        <f t="shared" ca="1" si="97"/>
        <v>0.50909090909090904</v>
      </c>
      <c r="P919" s="19">
        <f t="shared" si="99"/>
        <v>11</v>
      </c>
      <c r="Q919" s="16" t="str">
        <f>IF(COUNTIF($B$2:B919,B919)=1,SUMIF($B$2:$B$1097,B919,$L$2:$L$1097),"")</f>
        <v/>
      </c>
    </row>
    <row r="920" spans="1:18" ht="12.75" x14ac:dyDescent="0.2">
      <c r="A920" s="3">
        <v>919</v>
      </c>
      <c r="B920" s="26">
        <v>45231</v>
      </c>
      <c r="C920" s="23" t="s">
        <v>42</v>
      </c>
      <c r="D920" s="4">
        <v>5</v>
      </c>
      <c r="E920" s="24" t="s">
        <v>40</v>
      </c>
      <c r="F920" s="5" t="s">
        <v>11</v>
      </c>
      <c r="G920" s="5" t="s">
        <v>11</v>
      </c>
      <c r="H920" s="5" t="s">
        <v>14</v>
      </c>
      <c r="I920" s="5" t="s">
        <v>17</v>
      </c>
      <c r="J920" s="5" t="s">
        <v>53</v>
      </c>
      <c r="K920" s="6">
        <v>10</v>
      </c>
      <c r="L920" s="15">
        <v>110</v>
      </c>
      <c r="M920" s="15">
        <f t="shared" ca="1" si="101"/>
        <v>14</v>
      </c>
      <c r="N920" s="16">
        <f t="shared" ca="1" si="98"/>
        <v>96</v>
      </c>
      <c r="O920" s="18">
        <f t="shared" ca="1" si="97"/>
        <v>0.87272727272727268</v>
      </c>
      <c r="P920" s="19">
        <f t="shared" si="99"/>
        <v>11</v>
      </c>
      <c r="Q920" s="16" t="str">
        <f>IF(COUNTIF($B$2:B920,B920)=1,SUMIF($B$2:$B$1097,B920,$L$2:$L$1097),"")</f>
        <v/>
      </c>
    </row>
    <row r="921" spans="1:18" ht="12.75" x14ac:dyDescent="0.2">
      <c r="A921" s="3">
        <v>920</v>
      </c>
      <c r="B921" s="26">
        <v>45232</v>
      </c>
      <c r="C921" s="23" t="s">
        <v>42</v>
      </c>
      <c r="D921" s="4">
        <v>6</v>
      </c>
      <c r="E921" s="24" t="s">
        <v>40</v>
      </c>
      <c r="F921" s="5" t="s">
        <v>11</v>
      </c>
      <c r="G921" s="5" t="s">
        <v>11</v>
      </c>
      <c r="H921" s="5" t="s">
        <v>14</v>
      </c>
      <c r="I921" s="5" t="s">
        <v>13</v>
      </c>
      <c r="J921" s="5" t="s">
        <v>52</v>
      </c>
      <c r="K921" s="6">
        <v>24</v>
      </c>
      <c r="L921" s="15">
        <v>264</v>
      </c>
      <c r="M921" s="15">
        <f t="shared" ca="1" si="101"/>
        <v>21</v>
      </c>
      <c r="N921" s="16">
        <f t="shared" ca="1" si="98"/>
        <v>243</v>
      </c>
      <c r="O921" s="18">
        <f t="shared" ca="1" si="97"/>
        <v>0.92045454545454541</v>
      </c>
      <c r="P921" s="19">
        <f t="shared" si="99"/>
        <v>11</v>
      </c>
      <c r="Q921" s="16">
        <f>IF(COUNTIF($B$2:B921,B921)=1,SUMIF($B$2:$B$1097,B921,$L$2:$L$1097),"")</f>
        <v>638</v>
      </c>
      <c r="R921" s="16">
        <f>AVERAGE(Q901:Q921)</f>
        <v>471.16666666666669</v>
      </c>
    </row>
    <row r="922" spans="1:18" ht="12.75" x14ac:dyDescent="0.2">
      <c r="A922" s="3">
        <v>921</v>
      </c>
      <c r="B922" s="26">
        <v>45232</v>
      </c>
      <c r="C922" s="23" t="s">
        <v>42</v>
      </c>
      <c r="D922" s="4">
        <v>6</v>
      </c>
      <c r="E922" s="24" t="s">
        <v>40</v>
      </c>
      <c r="F922" s="5" t="s">
        <v>11</v>
      </c>
      <c r="G922" s="5" t="s">
        <v>11</v>
      </c>
      <c r="H922" s="5" t="s">
        <v>14</v>
      </c>
      <c r="I922" s="5" t="s">
        <v>15</v>
      </c>
      <c r="J922" s="5" t="s">
        <v>55</v>
      </c>
      <c r="K922" s="6">
        <v>11</v>
      </c>
      <c r="L922" s="15">
        <v>121</v>
      </c>
      <c r="M922" s="15">
        <f t="shared" ca="1" si="101"/>
        <v>20</v>
      </c>
      <c r="N922" s="16">
        <f t="shared" ca="1" si="98"/>
        <v>101</v>
      </c>
      <c r="O922" s="18">
        <f t="shared" ca="1" si="97"/>
        <v>0.83471074380165289</v>
      </c>
      <c r="P922" s="19">
        <f t="shared" si="99"/>
        <v>11</v>
      </c>
      <c r="Q922" s="16" t="str">
        <f>IF(COUNTIF($B$2:B922,B922)=1,SUMIF($B$2:$B$1097,B922,$L$2:$L$1097),"")</f>
        <v/>
      </c>
    </row>
    <row r="923" spans="1:18" ht="12.75" x14ac:dyDescent="0.2">
      <c r="A923" s="3">
        <v>922</v>
      </c>
      <c r="B923" s="26">
        <v>45232</v>
      </c>
      <c r="C923" s="23" t="s">
        <v>42</v>
      </c>
      <c r="D923" s="4">
        <v>6</v>
      </c>
      <c r="E923" s="24" t="s">
        <v>40</v>
      </c>
      <c r="F923" s="5" t="s">
        <v>11</v>
      </c>
      <c r="G923" s="5" t="s">
        <v>11</v>
      </c>
      <c r="H923" s="5" t="s">
        <v>14</v>
      </c>
      <c r="I923" s="5" t="s">
        <v>16</v>
      </c>
      <c r="J923" s="5" t="s">
        <v>55</v>
      </c>
      <c r="K923" s="6">
        <v>8</v>
      </c>
      <c r="L923" s="15">
        <v>88</v>
      </c>
      <c r="M923" s="15">
        <f t="shared" ca="1" si="101"/>
        <v>2</v>
      </c>
      <c r="N923" s="16">
        <f t="shared" ca="1" si="98"/>
        <v>86</v>
      </c>
      <c r="O923" s="18">
        <f t="shared" ca="1" si="97"/>
        <v>0.97727272727272729</v>
      </c>
      <c r="P923" s="19">
        <f t="shared" si="99"/>
        <v>11</v>
      </c>
      <c r="Q923" s="16" t="str">
        <f>IF(COUNTIF($B$2:B923,B923)=1,SUMIF($B$2:$B$1097,B923,$L$2:$L$1097),"")</f>
        <v/>
      </c>
    </row>
    <row r="924" spans="1:18" ht="12.75" x14ac:dyDescent="0.2">
      <c r="A924" s="3">
        <v>923</v>
      </c>
      <c r="B924" s="26">
        <v>45232</v>
      </c>
      <c r="C924" s="23" t="s">
        <v>42</v>
      </c>
      <c r="D924" s="4">
        <v>6</v>
      </c>
      <c r="E924" s="24" t="s">
        <v>40</v>
      </c>
      <c r="F924" s="5" t="s">
        <v>11</v>
      </c>
      <c r="G924" s="5" t="s">
        <v>11</v>
      </c>
      <c r="H924" s="5" t="s">
        <v>14</v>
      </c>
      <c r="I924" s="5" t="s">
        <v>17</v>
      </c>
      <c r="J924" s="5" t="s">
        <v>53</v>
      </c>
      <c r="K924" s="6">
        <v>15</v>
      </c>
      <c r="L924" s="15">
        <v>165</v>
      </c>
      <c r="M924" s="15">
        <f t="shared" ca="1" si="101"/>
        <v>7</v>
      </c>
      <c r="N924" s="16">
        <f t="shared" ca="1" si="98"/>
        <v>158</v>
      </c>
      <c r="O924" s="18">
        <f t="shared" ca="1" si="97"/>
        <v>0.95757575757575752</v>
      </c>
      <c r="P924" s="19">
        <f t="shared" si="99"/>
        <v>11</v>
      </c>
      <c r="Q924" s="16" t="str">
        <f>IF(COUNTIF($B$2:B924,B924)=1,SUMIF($B$2:$B$1097,B924,$L$2:$L$1097),"")</f>
        <v/>
      </c>
    </row>
    <row r="925" spans="1:18" ht="12.75" x14ac:dyDescent="0.2">
      <c r="A925" s="3">
        <v>924</v>
      </c>
      <c r="B925" s="26">
        <v>45233</v>
      </c>
      <c r="C925" s="23" t="s">
        <v>42</v>
      </c>
      <c r="D925" s="4">
        <v>7</v>
      </c>
      <c r="E925" s="24" t="s">
        <v>40</v>
      </c>
      <c r="F925" s="5" t="s">
        <v>11</v>
      </c>
      <c r="G925" s="5" t="s">
        <v>11</v>
      </c>
      <c r="H925" s="5" t="s">
        <v>14</v>
      </c>
      <c r="I925" s="5" t="s">
        <v>13</v>
      </c>
      <c r="J925" s="5" t="s">
        <v>56</v>
      </c>
      <c r="K925" s="6">
        <v>22</v>
      </c>
      <c r="L925" s="15">
        <v>242</v>
      </c>
      <c r="M925" s="15">
        <f t="shared" ca="1" si="101"/>
        <v>44</v>
      </c>
      <c r="N925" s="16">
        <f t="shared" ca="1" si="98"/>
        <v>198</v>
      </c>
      <c r="O925" s="18">
        <f t="shared" ca="1" si="97"/>
        <v>0.81818181818181823</v>
      </c>
      <c r="P925" s="19">
        <f t="shared" si="99"/>
        <v>11</v>
      </c>
      <c r="Q925" s="16">
        <f>IF(COUNTIF($B$2:B925,B925)=1,SUMIF($B$2:$B$1097,B925,$L$2:$L$1097),"")</f>
        <v>242</v>
      </c>
      <c r="R925" s="16">
        <f t="shared" ref="R925:R926" si="102">AVERAGE(Q905:Q925)</f>
        <v>476.66666666666669</v>
      </c>
    </row>
    <row r="926" spans="1:18" ht="12.75" x14ac:dyDescent="0.2">
      <c r="A926" s="3">
        <v>925</v>
      </c>
      <c r="B926" s="26">
        <v>45235</v>
      </c>
      <c r="C926" s="23" t="s">
        <v>42</v>
      </c>
      <c r="D926" s="4">
        <v>2</v>
      </c>
      <c r="E926" s="24" t="s">
        <v>40</v>
      </c>
      <c r="F926" s="5" t="s">
        <v>11</v>
      </c>
      <c r="G926" s="5" t="s">
        <v>11</v>
      </c>
      <c r="H926" s="5" t="s">
        <v>14</v>
      </c>
      <c r="I926" s="5" t="s">
        <v>13</v>
      </c>
      <c r="J926" s="5" t="s">
        <v>52</v>
      </c>
      <c r="K926" s="6">
        <v>22</v>
      </c>
      <c r="L926" s="15">
        <v>242</v>
      </c>
      <c r="M926" s="15">
        <f t="shared" ca="1" si="101"/>
        <v>5</v>
      </c>
      <c r="N926" s="16">
        <f t="shared" ca="1" si="98"/>
        <v>237</v>
      </c>
      <c r="O926" s="18">
        <f t="shared" ca="1" si="97"/>
        <v>0.97933884297520657</v>
      </c>
      <c r="P926" s="19">
        <f t="shared" si="99"/>
        <v>11</v>
      </c>
      <c r="Q926" s="16">
        <f>IF(COUNTIF($B$2:B926,B926)=1,SUMIF($B$2:$B$1097,B926,$L$2:$L$1097),"")</f>
        <v>638</v>
      </c>
      <c r="R926" s="16">
        <f t="shared" si="102"/>
        <v>491.33333333333331</v>
      </c>
    </row>
    <row r="927" spans="1:18" ht="12.75" x14ac:dyDescent="0.2">
      <c r="A927" s="3">
        <v>926</v>
      </c>
      <c r="B927" s="26">
        <v>45235</v>
      </c>
      <c r="C927" s="23" t="s">
        <v>42</v>
      </c>
      <c r="D927" s="4">
        <v>2</v>
      </c>
      <c r="E927" s="24" t="s">
        <v>40</v>
      </c>
      <c r="F927" s="5" t="s">
        <v>11</v>
      </c>
      <c r="G927" s="5" t="s">
        <v>11</v>
      </c>
      <c r="H927" s="5" t="s">
        <v>14</v>
      </c>
      <c r="I927" s="5" t="s">
        <v>15</v>
      </c>
      <c r="J927" s="5" t="s">
        <v>54</v>
      </c>
      <c r="K927" s="6">
        <v>11</v>
      </c>
      <c r="L927" s="15">
        <v>121</v>
      </c>
      <c r="M927" s="15">
        <f t="shared" ca="1" si="101"/>
        <v>2</v>
      </c>
      <c r="N927" s="16">
        <f t="shared" ca="1" si="98"/>
        <v>119</v>
      </c>
      <c r="O927" s="18">
        <f t="shared" ca="1" si="97"/>
        <v>0.98347107438016534</v>
      </c>
      <c r="P927" s="19">
        <f t="shared" si="99"/>
        <v>11</v>
      </c>
      <c r="Q927" s="16" t="str">
        <f>IF(COUNTIF($B$2:B927,B927)=1,SUMIF($B$2:$B$1097,B927,$L$2:$L$1097),"")</f>
        <v/>
      </c>
    </row>
    <row r="928" spans="1:18" ht="12.75" x14ac:dyDescent="0.2">
      <c r="A928" s="3">
        <v>927</v>
      </c>
      <c r="B928" s="26">
        <v>45235</v>
      </c>
      <c r="C928" s="23" t="s">
        <v>42</v>
      </c>
      <c r="D928" s="4">
        <v>2</v>
      </c>
      <c r="E928" s="24" t="s">
        <v>40</v>
      </c>
      <c r="F928" s="5" t="s">
        <v>11</v>
      </c>
      <c r="G928" s="5" t="s">
        <v>11</v>
      </c>
      <c r="H928" s="5" t="s">
        <v>14</v>
      </c>
      <c r="I928" s="5" t="s">
        <v>16</v>
      </c>
      <c r="J928" s="5" t="s">
        <v>54</v>
      </c>
      <c r="K928" s="6">
        <v>9</v>
      </c>
      <c r="L928" s="15">
        <v>99</v>
      </c>
      <c r="M928" s="15">
        <f t="shared" ca="1" si="101"/>
        <v>33</v>
      </c>
      <c r="N928" s="16">
        <f t="shared" ca="1" si="98"/>
        <v>66</v>
      </c>
      <c r="O928" s="18">
        <f t="shared" ca="1" si="97"/>
        <v>0.66666666666666663</v>
      </c>
      <c r="P928" s="19">
        <f t="shared" si="99"/>
        <v>11</v>
      </c>
      <c r="Q928" s="16" t="str">
        <f>IF(COUNTIF($B$2:B928,B928)=1,SUMIF($B$2:$B$1097,B928,$L$2:$L$1097),"")</f>
        <v/>
      </c>
    </row>
    <row r="929" spans="1:18" ht="12.75" x14ac:dyDescent="0.2">
      <c r="A929" s="3">
        <v>928</v>
      </c>
      <c r="B929" s="26">
        <v>45235</v>
      </c>
      <c r="C929" s="23" t="s">
        <v>42</v>
      </c>
      <c r="D929" s="4">
        <v>2</v>
      </c>
      <c r="E929" s="24" t="s">
        <v>40</v>
      </c>
      <c r="F929" s="5" t="s">
        <v>11</v>
      </c>
      <c r="G929" s="5" t="s">
        <v>11</v>
      </c>
      <c r="H929" s="5" t="s">
        <v>14</v>
      </c>
      <c r="I929" s="5" t="s">
        <v>17</v>
      </c>
      <c r="J929" s="5" t="s">
        <v>54</v>
      </c>
      <c r="K929" s="6">
        <v>16</v>
      </c>
      <c r="L929" s="15">
        <v>176</v>
      </c>
      <c r="M929" s="15">
        <f t="shared" ca="1" si="101"/>
        <v>20</v>
      </c>
      <c r="N929" s="16">
        <f t="shared" ca="1" si="98"/>
        <v>156</v>
      </c>
      <c r="O929" s="18">
        <f t="shared" ca="1" si="97"/>
        <v>0.88636363636363635</v>
      </c>
      <c r="P929" s="19">
        <f t="shared" si="99"/>
        <v>11</v>
      </c>
      <c r="Q929" s="16" t="str">
        <f>IF(COUNTIF($B$2:B929,B929)=1,SUMIF($B$2:$B$1097,B929,$L$2:$L$1097),"")</f>
        <v/>
      </c>
    </row>
    <row r="930" spans="1:18" ht="12.75" x14ac:dyDescent="0.2">
      <c r="A930" s="3">
        <v>929</v>
      </c>
      <c r="B930" s="26">
        <v>45236</v>
      </c>
      <c r="C930" s="23" t="s">
        <v>42</v>
      </c>
      <c r="D930" s="4">
        <v>3</v>
      </c>
      <c r="E930" s="24" t="s">
        <v>40</v>
      </c>
      <c r="F930" s="5" t="s">
        <v>11</v>
      </c>
      <c r="G930" s="5" t="s">
        <v>11</v>
      </c>
      <c r="H930" s="5" t="s">
        <v>14</v>
      </c>
      <c r="I930" s="5" t="s">
        <v>13</v>
      </c>
      <c r="J930" s="5" t="s">
        <v>56</v>
      </c>
      <c r="K930" s="6">
        <v>15</v>
      </c>
      <c r="L930" s="15">
        <v>165</v>
      </c>
      <c r="M930" s="15">
        <f t="shared" ca="1" si="101"/>
        <v>9</v>
      </c>
      <c r="N930" s="16">
        <f t="shared" ca="1" si="98"/>
        <v>156</v>
      </c>
      <c r="O930" s="18">
        <f t="shared" ca="1" si="97"/>
        <v>0.94545454545454544</v>
      </c>
      <c r="P930" s="19">
        <f t="shared" si="99"/>
        <v>11</v>
      </c>
      <c r="Q930" s="16">
        <f>IF(COUNTIF($B$2:B930,B930)=1,SUMIF($B$2:$B$1097,B930,$L$2:$L$1097),"")</f>
        <v>495</v>
      </c>
      <c r="R930" s="16">
        <f>AVERAGE(Q910:Q930)</f>
        <v>484</v>
      </c>
    </row>
    <row r="931" spans="1:18" ht="12.75" x14ac:dyDescent="0.2">
      <c r="A931" s="3">
        <v>930</v>
      </c>
      <c r="B931" s="26">
        <v>45236</v>
      </c>
      <c r="C931" s="23" t="s">
        <v>42</v>
      </c>
      <c r="D931" s="4">
        <v>3</v>
      </c>
      <c r="E931" s="24" t="s">
        <v>40</v>
      </c>
      <c r="F931" s="5" t="s">
        <v>11</v>
      </c>
      <c r="G931" s="5" t="s">
        <v>11</v>
      </c>
      <c r="H931" s="5" t="s">
        <v>14</v>
      </c>
      <c r="I931" s="5" t="s">
        <v>15</v>
      </c>
      <c r="J931" s="5" t="s">
        <v>56</v>
      </c>
      <c r="K931" s="6">
        <v>13</v>
      </c>
      <c r="L931" s="15">
        <v>143</v>
      </c>
      <c r="M931" s="15">
        <f t="shared" ca="1" si="101"/>
        <v>17</v>
      </c>
      <c r="N931" s="16">
        <f t="shared" ca="1" si="98"/>
        <v>126</v>
      </c>
      <c r="O931" s="18">
        <f t="shared" ca="1" si="97"/>
        <v>0.88111888111888115</v>
      </c>
      <c r="P931" s="19">
        <f t="shared" si="99"/>
        <v>11</v>
      </c>
      <c r="Q931" s="16" t="str">
        <f>IF(COUNTIF($B$2:B931,B931)=1,SUMIF($B$2:$B$1097,B931,$L$2:$L$1097),"")</f>
        <v/>
      </c>
    </row>
    <row r="932" spans="1:18" ht="12.75" x14ac:dyDescent="0.2">
      <c r="A932" s="3">
        <v>931</v>
      </c>
      <c r="B932" s="26">
        <v>45236</v>
      </c>
      <c r="C932" s="23" t="s">
        <v>42</v>
      </c>
      <c r="D932" s="4">
        <v>3</v>
      </c>
      <c r="E932" s="24" t="s">
        <v>40</v>
      </c>
      <c r="F932" s="5" t="s">
        <v>11</v>
      </c>
      <c r="G932" s="5" t="s">
        <v>11</v>
      </c>
      <c r="H932" s="5" t="s">
        <v>14</v>
      </c>
      <c r="I932" s="5" t="s">
        <v>16</v>
      </c>
      <c r="J932" s="5" t="s">
        <v>55</v>
      </c>
      <c r="K932" s="6">
        <v>5</v>
      </c>
      <c r="L932" s="15">
        <v>55</v>
      </c>
      <c r="M932" s="15">
        <f t="shared" ca="1" si="101"/>
        <v>2</v>
      </c>
      <c r="N932" s="16">
        <f t="shared" ca="1" si="98"/>
        <v>53</v>
      </c>
      <c r="O932" s="18">
        <f t="shared" ca="1" si="97"/>
        <v>0.96363636363636362</v>
      </c>
      <c r="P932" s="19">
        <f t="shared" si="99"/>
        <v>11</v>
      </c>
      <c r="Q932" s="16" t="str">
        <f>IF(COUNTIF($B$2:B932,B932)=1,SUMIF($B$2:$B$1097,B932,$L$2:$L$1097),"")</f>
        <v/>
      </c>
    </row>
    <row r="933" spans="1:18" ht="12.75" x14ac:dyDescent="0.2">
      <c r="A933" s="3">
        <v>932</v>
      </c>
      <c r="B933" s="26">
        <v>45236</v>
      </c>
      <c r="C933" s="23" t="s">
        <v>42</v>
      </c>
      <c r="D933" s="4">
        <v>3</v>
      </c>
      <c r="E933" s="24" t="s">
        <v>40</v>
      </c>
      <c r="F933" s="5" t="s">
        <v>11</v>
      </c>
      <c r="G933" s="5" t="s">
        <v>11</v>
      </c>
      <c r="H933" s="5" t="s">
        <v>14</v>
      </c>
      <c r="I933" s="5" t="s">
        <v>17</v>
      </c>
      <c r="J933" s="5" t="s">
        <v>53</v>
      </c>
      <c r="K933" s="6">
        <v>12</v>
      </c>
      <c r="L933" s="15">
        <v>132</v>
      </c>
      <c r="M933" s="15">
        <f t="shared" ca="1" si="101"/>
        <v>42</v>
      </c>
      <c r="N933" s="16">
        <f t="shared" ca="1" si="98"/>
        <v>90</v>
      </c>
      <c r="O933" s="18">
        <f t="shared" ca="1" si="97"/>
        <v>0.68181818181818177</v>
      </c>
      <c r="P933" s="19">
        <f t="shared" si="99"/>
        <v>11</v>
      </c>
      <c r="Q933" s="16" t="str">
        <f>IF(COUNTIF($B$2:B933,B933)=1,SUMIF($B$2:$B$1097,B933,$L$2:$L$1097),"")</f>
        <v/>
      </c>
    </row>
    <row r="934" spans="1:18" ht="12.75" x14ac:dyDescent="0.2">
      <c r="A934" s="3">
        <v>933</v>
      </c>
      <c r="B934" s="26">
        <v>45237</v>
      </c>
      <c r="C934" s="23" t="s">
        <v>42</v>
      </c>
      <c r="D934" s="4">
        <v>4</v>
      </c>
      <c r="E934" s="24" t="s">
        <v>40</v>
      </c>
      <c r="F934" s="5" t="s">
        <v>11</v>
      </c>
      <c r="G934" s="5" t="s">
        <v>11</v>
      </c>
      <c r="H934" s="5" t="s">
        <v>14</v>
      </c>
      <c r="I934" s="5" t="s">
        <v>13</v>
      </c>
      <c r="J934" s="5" t="s">
        <v>52</v>
      </c>
      <c r="K934" s="6">
        <v>17</v>
      </c>
      <c r="L934" s="15">
        <v>187</v>
      </c>
      <c r="M934" s="15">
        <f t="shared" ca="1" si="101"/>
        <v>34</v>
      </c>
      <c r="N934" s="16">
        <f t="shared" ca="1" si="98"/>
        <v>153</v>
      </c>
      <c r="O934" s="18">
        <f t="shared" ca="1" si="97"/>
        <v>0.81818181818181823</v>
      </c>
      <c r="P934" s="19">
        <f t="shared" si="99"/>
        <v>11</v>
      </c>
      <c r="Q934" s="16">
        <f>IF(COUNTIF($B$2:B934,B934)=1,SUMIF($B$2:$B$1097,B934,$L$2:$L$1097),"")</f>
        <v>451</v>
      </c>
      <c r="R934" s="16">
        <f>AVERAGE(Q914:Q934)</f>
        <v>485.83333333333331</v>
      </c>
    </row>
    <row r="935" spans="1:18" ht="12.75" x14ac:dyDescent="0.2">
      <c r="A935" s="3">
        <v>934</v>
      </c>
      <c r="B935" s="26">
        <v>45237</v>
      </c>
      <c r="C935" s="23" t="s">
        <v>42</v>
      </c>
      <c r="D935" s="4">
        <v>4</v>
      </c>
      <c r="E935" s="24" t="s">
        <v>40</v>
      </c>
      <c r="F935" s="5" t="s">
        <v>11</v>
      </c>
      <c r="G935" s="5" t="s">
        <v>11</v>
      </c>
      <c r="H935" s="5" t="s">
        <v>14</v>
      </c>
      <c r="I935" s="5" t="s">
        <v>15</v>
      </c>
      <c r="J935" s="5" t="s">
        <v>54</v>
      </c>
      <c r="K935" s="6">
        <v>7</v>
      </c>
      <c r="L935" s="15">
        <v>77</v>
      </c>
      <c r="M935" s="15">
        <f t="shared" ca="1" si="101"/>
        <v>5</v>
      </c>
      <c r="N935" s="16">
        <f t="shared" ca="1" si="98"/>
        <v>72</v>
      </c>
      <c r="O935" s="18">
        <f t="shared" ca="1" si="97"/>
        <v>0.93506493506493504</v>
      </c>
      <c r="P935" s="19">
        <f t="shared" si="99"/>
        <v>11</v>
      </c>
      <c r="Q935" s="16" t="str">
        <f>IF(COUNTIF($B$2:B935,B935)=1,SUMIF($B$2:$B$1097,B935,$L$2:$L$1097),"")</f>
        <v/>
      </c>
    </row>
    <row r="936" spans="1:18" ht="12.75" x14ac:dyDescent="0.2">
      <c r="A936" s="3">
        <v>935</v>
      </c>
      <c r="B936" s="26">
        <v>45237</v>
      </c>
      <c r="C936" s="23" t="s">
        <v>42</v>
      </c>
      <c r="D936" s="4">
        <v>4</v>
      </c>
      <c r="E936" s="24" t="s">
        <v>40</v>
      </c>
      <c r="F936" s="5" t="s">
        <v>11</v>
      </c>
      <c r="G936" s="5" t="s">
        <v>11</v>
      </c>
      <c r="H936" s="5" t="s">
        <v>14</v>
      </c>
      <c r="I936" s="5" t="s">
        <v>16</v>
      </c>
      <c r="J936" s="5" t="s">
        <v>54</v>
      </c>
      <c r="K936" s="6">
        <v>5</v>
      </c>
      <c r="L936" s="15">
        <v>55</v>
      </c>
      <c r="M936" s="15">
        <f t="shared" ca="1" si="101"/>
        <v>41</v>
      </c>
      <c r="N936" s="16">
        <f t="shared" ca="1" si="98"/>
        <v>14</v>
      </c>
      <c r="O936" s="18">
        <f t="shared" ca="1" si="97"/>
        <v>0.25454545454545452</v>
      </c>
      <c r="P936" s="19">
        <f t="shared" si="99"/>
        <v>11</v>
      </c>
      <c r="Q936" s="16" t="str">
        <f>IF(COUNTIF($B$2:B936,B936)=1,SUMIF($B$2:$B$1097,B936,$L$2:$L$1097),"")</f>
        <v/>
      </c>
    </row>
    <row r="937" spans="1:18" ht="12.75" x14ac:dyDescent="0.2">
      <c r="A937" s="3">
        <v>936</v>
      </c>
      <c r="B937" s="26">
        <v>45237</v>
      </c>
      <c r="C937" s="23" t="s">
        <v>42</v>
      </c>
      <c r="D937" s="4">
        <v>4</v>
      </c>
      <c r="E937" s="24" t="s">
        <v>40</v>
      </c>
      <c r="F937" s="5" t="s">
        <v>11</v>
      </c>
      <c r="G937" s="5" t="s">
        <v>11</v>
      </c>
      <c r="H937" s="5" t="s">
        <v>14</v>
      </c>
      <c r="I937" s="5" t="s">
        <v>17</v>
      </c>
      <c r="J937" s="5" t="s">
        <v>54</v>
      </c>
      <c r="K937" s="6">
        <v>12</v>
      </c>
      <c r="L937" s="15">
        <v>132</v>
      </c>
      <c r="M937" s="15">
        <f t="shared" ca="1" si="101"/>
        <v>43</v>
      </c>
      <c r="N937" s="16">
        <f t="shared" ca="1" si="98"/>
        <v>89</v>
      </c>
      <c r="O937" s="18">
        <f t="shared" ca="1" si="97"/>
        <v>0.6742424242424242</v>
      </c>
      <c r="P937" s="19">
        <f t="shared" si="99"/>
        <v>11</v>
      </c>
      <c r="Q937" s="16" t="str">
        <f>IF(COUNTIF($B$2:B937,B937)=1,SUMIF($B$2:$B$1097,B937,$L$2:$L$1097),"")</f>
        <v/>
      </c>
    </row>
    <row r="938" spans="1:18" ht="12.75" x14ac:dyDescent="0.2">
      <c r="A938" s="3">
        <v>937</v>
      </c>
      <c r="B938" s="26">
        <v>45238</v>
      </c>
      <c r="C938" s="23" t="s">
        <v>42</v>
      </c>
      <c r="D938" s="4">
        <v>5</v>
      </c>
      <c r="E938" s="24" t="s">
        <v>40</v>
      </c>
      <c r="F938" s="5" t="s">
        <v>11</v>
      </c>
      <c r="G938" s="5" t="s">
        <v>11</v>
      </c>
      <c r="H938" s="5" t="s">
        <v>14</v>
      </c>
      <c r="I938" s="5" t="s">
        <v>13</v>
      </c>
      <c r="J938" s="5" t="s">
        <v>56</v>
      </c>
      <c r="K938" s="6">
        <v>16</v>
      </c>
      <c r="L938" s="15">
        <v>176</v>
      </c>
      <c r="M938" s="15">
        <f t="shared" ca="1" si="101"/>
        <v>50</v>
      </c>
      <c r="N938" s="16">
        <f t="shared" ca="1" si="98"/>
        <v>126</v>
      </c>
      <c r="O938" s="18">
        <f t="shared" ca="1" si="97"/>
        <v>0.71590909090909094</v>
      </c>
      <c r="P938" s="19">
        <f t="shared" si="99"/>
        <v>11</v>
      </c>
      <c r="Q938" s="16">
        <f>IF(COUNTIF($B$2:B938,B938)=1,SUMIF($B$2:$B$1097,B938,$L$2:$L$1097),"")</f>
        <v>451</v>
      </c>
      <c r="R938" s="16">
        <f>AVERAGE(Q918:Q938)</f>
        <v>485.83333333333331</v>
      </c>
    </row>
    <row r="939" spans="1:18" ht="12.75" x14ac:dyDescent="0.2">
      <c r="A939" s="3">
        <v>938</v>
      </c>
      <c r="B939" s="26">
        <v>45238</v>
      </c>
      <c r="C939" s="23" t="s">
        <v>42</v>
      </c>
      <c r="D939" s="4">
        <v>5</v>
      </c>
      <c r="E939" s="24" t="s">
        <v>40</v>
      </c>
      <c r="F939" s="5" t="s">
        <v>11</v>
      </c>
      <c r="G939" s="5" t="s">
        <v>11</v>
      </c>
      <c r="H939" s="5" t="s">
        <v>14</v>
      </c>
      <c r="I939" s="5" t="s">
        <v>15</v>
      </c>
      <c r="J939" s="5" t="s">
        <v>56</v>
      </c>
      <c r="K939" s="6">
        <v>9</v>
      </c>
      <c r="L939" s="15">
        <v>99</v>
      </c>
      <c r="M939" s="15">
        <f t="shared" ca="1" si="101"/>
        <v>17</v>
      </c>
      <c r="N939" s="16">
        <f t="shared" ca="1" si="98"/>
        <v>82</v>
      </c>
      <c r="O939" s="18">
        <f t="shared" ca="1" si="97"/>
        <v>0.82828282828282829</v>
      </c>
      <c r="P939" s="19">
        <f t="shared" si="99"/>
        <v>11</v>
      </c>
      <c r="Q939" s="16" t="str">
        <f>IF(COUNTIF($B$2:B939,B939)=1,SUMIF($B$2:$B$1097,B939,$L$2:$L$1097),"")</f>
        <v/>
      </c>
    </row>
    <row r="940" spans="1:18" ht="12.75" x14ac:dyDescent="0.2">
      <c r="A940" s="3">
        <v>939</v>
      </c>
      <c r="B940" s="26">
        <v>45238</v>
      </c>
      <c r="C940" s="23" t="s">
        <v>42</v>
      </c>
      <c r="D940" s="4">
        <v>5</v>
      </c>
      <c r="E940" s="24" t="s">
        <v>40</v>
      </c>
      <c r="F940" s="5" t="s">
        <v>11</v>
      </c>
      <c r="G940" s="5" t="s">
        <v>11</v>
      </c>
      <c r="H940" s="5" t="s">
        <v>14</v>
      </c>
      <c r="I940" s="5" t="s">
        <v>16</v>
      </c>
      <c r="J940" s="5" t="s">
        <v>55</v>
      </c>
      <c r="K940" s="6">
        <v>5</v>
      </c>
      <c r="L940" s="15">
        <v>55</v>
      </c>
      <c r="M940" s="15">
        <f t="shared" ca="1" si="101"/>
        <v>24</v>
      </c>
      <c r="N940" s="16">
        <f t="shared" ca="1" si="98"/>
        <v>31</v>
      </c>
      <c r="O940" s="18">
        <f t="shared" ca="1" si="97"/>
        <v>0.5636363636363636</v>
      </c>
      <c r="P940" s="19">
        <f t="shared" si="99"/>
        <v>11</v>
      </c>
      <c r="Q940" s="16" t="str">
        <f>IF(COUNTIF($B$2:B940,B940)=1,SUMIF($B$2:$B$1097,B940,$L$2:$L$1097),"")</f>
        <v/>
      </c>
    </row>
    <row r="941" spans="1:18" ht="12.75" x14ac:dyDescent="0.2">
      <c r="A941" s="3">
        <v>940</v>
      </c>
      <c r="B941" s="26">
        <v>45238</v>
      </c>
      <c r="C941" s="23" t="s">
        <v>42</v>
      </c>
      <c r="D941" s="4">
        <v>5</v>
      </c>
      <c r="E941" s="24" t="s">
        <v>40</v>
      </c>
      <c r="F941" s="5" t="s">
        <v>11</v>
      </c>
      <c r="G941" s="5" t="s">
        <v>11</v>
      </c>
      <c r="H941" s="5" t="s">
        <v>14</v>
      </c>
      <c r="I941" s="5" t="s">
        <v>17</v>
      </c>
      <c r="J941" s="5" t="s">
        <v>53</v>
      </c>
      <c r="K941" s="6">
        <v>11</v>
      </c>
      <c r="L941" s="15">
        <v>121</v>
      </c>
      <c r="M941" s="15">
        <f t="shared" ca="1" si="101"/>
        <v>25</v>
      </c>
      <c r="N941" s="16">
        <f t="shared" ca="1" si="98"/>
        <v>96</v>
      </c>
      <c r="O941" s="18">
        <f t="shared" ca="1" si="97"/>
        <v>0.79338842975206614</v>
      </c>
      <c r="P941" s="19">
        <f t="shared" si="99"/>
        <v>11</v>
      </c>
      <c r="Q941" s="16" t="str">
        <f>IF(COUNTIF($B$2:B941,B941)=1,SUMIF($B$2:$B$1097,B941,$L$2:$L$1097),"")</f>
        <v/>
      </c>
    </row>
    <row r="942" spans="1:18" ht="12.75" x14ac:dyDescent="0.2">
      <c r="A942" s="3">
        <v>941</v>
      </c>
      <c r="B942" s="26">
        <v>45239</v>
      </c>
      <c r="C942" s="23" t="s">
        <v>42</v>
      </c>
      <c r="D942" s="4">
        <v>6</v>
      </c>
      <c r="E942" s="24" t="s">
        <v>40</v>
      </c>
      <c r="F942" s="5" t="s">
        <v>11</v>
      </c>
      <c r="G942" s="5" t="s">
        <v>11</v>
      </c>
      <c r="H942" s="5" t="s">
        <v>14</v>
      </c>
      <c r="I942" s="5" t="s">
        <v>13</v>
      </c>
      <c r="J942" s="5" t="s">
        <v>52</v>
      </c>
      <c r="K942" s="6">
        <v>20</v>
      </c>
      <c r="L942" s="15">
        <v>220</v>
      </c>
      <c r="M942" s="15">
        <f t="shared" ca="1" si="101"/>
        <v>12</v>
      </c>
      <c r="N942" s="16">
        <f t="shared" ca="1" si="98"/>
        <v>208</v>
      </c>
      <c r="O942" s="18">
        <f t="shared" ca="1" si="97"/>
        <v>0.94545454545454544</v>
      </c>
      <c r="P942" s="19">
        <f t="shared" si="99"/>
        <v>11</v>
      </c>
      <c r="Q942" s="16">
        <f>IF(COUNTIF($B$2:B942,B942)=1,SUMIF($B$2:$B$1097,B942,$L$2:$L$1097),"")</f>
        <v>638</v>
      </c>
      <c r="R942" s="16">
        <f>AVERAGE(Q922:Q942)</f>
        <v>485.83333333333331</v>
      </c>
    </row>
    <row r="943" spans="1:18" ht="12.75" x14ac:dyDescent="0.2">
      <c r="A943" s="3">
        <v>942</v>
      </c>
      <c r="B943" s="26">
        <v>45239</v>
      </c>
      <c r="C943" s="23" t="s">
        <v>42</v>
      </c>
      <c r="D943" s="4">
        <v>6</v>
      </c>
      <c r="E943" s="24" t="s">
        <v>40</v>
      </c>
      <c r="F943" s="5" t="s">
        <v>11</v>
      </c>
      <c r="G943" s="5" t="s">
        <v>11</v>
      </c>
      <c r="H943" s="5" t="s">
        <v>14</v>
      </c>
      <c r="I943" s="5" t="s">
        <v>15</v>
      </c>
      <c r="J943" s="5" t="s">
        <v>55</v>
      </c>
      <c r="K943" s="6">
        <v>11</v>
      </c>
      <c r="L943" s="15">
        <v>121</v>
      </c>
      <c r="M943" s="15">
        <f t="shared" ca="1" si="101"/>
        <v>32</v>
      </c>
      <c r="N943" s="16">
        <f t="shared" ca="1" si="98"/>
        <v>89</v>
      </c>
      <c r="O943" s="18">
        <f t="shared" ca="1" si="97"/>
        <v>0.73553719008264462</v>
      </c>
      <c r="P943" s="19">
        <f t="shared" si="99"/>
        <v>11</v>
      </c>
      <c r="Q943" s="16" t="str">
        <f>IF(COUNTIF($B$2:B943,B943)=1,SUMIF($B$2:$B$1097,B943,$L$2:$L$1097),"")</f>
        <v/>
      </c>
    </row>
    <row r="944" spans="1:18" ht="12.75" x14ac:dyDescent="0.2">
      <c r="A944" s="3">
        <v>943</v>
      </c>
      <c r="B944" s="26">
        <v>45239</v>
      </c>
      <c r="C944" s="23" t="s">
        <v>42</v>
      </c>
      <c r="D944" s="4">
        <v>6</v>
      </c>
      <c r="E944" s="24" t="s">
        <v>40</v>
      </c>
      <c r="F944" s="5" t="s">
        <v>11</v>
      </c>
      <c r="G944" s="5" t="s">
        <v>11</v>
      </c>
      <c r="H944" s="5" t="s">
        <v>14</v>
      </c>
      <c r="I944" s="5" t="s">
        <v>16</v>
      </c>
      <c r="J944" s="5" t="s">
        <v>55</v>
      </c>
      <c r="K944" s="6">
        <v>10</v>
      </c>
      <c r="L944" s="15">
        <v>110</v>
      </c>
      <c r="M944" s="15">
        <f t="shared" ca="1" si="101"/>
        <v>26</v>
      </c>
      <c r="N944" s="16">
        <f t="shared" ca="1" si="98"/>
        <v>84</v>
      </c>
      <c r="O944" s="18">
        <f t="shared" ca="1" si="97"/>
        <v>0.76363636363636367</v>
      </c>
      <c r="P944" s="19">
        <f t="shared" si="99"/>
        <v>11</v>
      </c>
      <c r="Q944" s="16" t="str">
        <f>IF(COUNTIF($B$2:B944,B944)=1,SUMIF($B$2:$B$1097,B944,$L$2:$L$1097),"")</f>
        <v/>
      </c>
    </row>
    <row r="945" spans="1:18" ht="12.75" x14ac:dyDescent="0.2">
      <c r="A945" s="3">
        <v>944</v>
      </c>
      <c r="B945" s="26">
        <v>45239</v>
      </c>
      <c r="C945" s="23" t="s">
        <v>42</v>
      </c>
      <c r="D945" s="4">
        <v>6</v>
      </c>
      <c r="E945" s="24" t="s">
        <v>40</v>
      </c>
      <c r="F945" s="5" t="s">
        <v>11</v>
      </c>
      <c r="G945" s="5" t="s">
        <v>11</v>
      </c>
      <c r="H945" s="5" t="s">
        <v>14</v>
      </c>
      <c r="I945" s="5" t="s">
        <v>17</v>
      </c>
      <c r="J945" s="5" t="s">
        <v>53</v>
      </c>
      <c r="K945" s="6">
        <v>17</v>
      </c>
      <c r="L945" s="15">
        <v>187</v>
      </c>
      <c r="M945" s="15">
        <f t="shared" ca="1" si="101"/>
        <v>19</v>
      </c>
      <c r="N945" s="16">
        <f t="shared" ca="1" si="98"/>
        <v>168</v>
      </c>
      <c r="O945" s="18">
        <f t="shared" ca="1" si="97"/>
        <v>0.89839572192513373</v>
      </c>
      <c r="P945" s="19">
        <f t="shared" si="99"/>
        <v>11</v>
      </c>
      <c r="Q945" s="16" t="str">
        <f>IF(COUNTIF($B$2:B945,B945)=1,SUMIF($B$2:$B$1097,B945,$L$2:$L$1097),"")</f>
        <v/>
      </c>
    </row>
    <row r="946" spans="1:18" ht="12.75" x14ac:dyDescent="0.2">
      <c r="A946" s="3">
        <v>945</v>
      </c>
      <c r="B946" s="26">
        <v>45240</v>
      </c>
      <c r="C946" s="23" t="s">
        <v>42</v>
      </c>
      <c r="D946" s="4">
        <v>7</v>
      </c>
      <c r="E946" s="24" t="s">
        <v>40</v>
      </c>
      <c r="F946" s="5" t="s">
        <v>11</v>
      </c>
      <c r="G946" s="5" t="s">
        <v>11</v>
      </c>
      <c r="H946" s="5" t="s">
        <v>14</v>
      </c>
      <c r="I946" s="5" t="s">
        <v>13</v>
      </c>
      <c r="J946" s="5" t="s">
        <v>56</v>
      </c>
      <c r="K946" s="6">
        <v>21</v>
      </c>
      <c r="L946" s="15">
        <v>231</v>
      </c>
      <c r="M946" s="15">
        <f t="shared" ca="1" si="101"/>
        <v>48</v>
      </c>
      <c r="N946" s="16">
        <f t="shared" ca="1" si="98"/>
        <v>183</v>
      </c>
      <c r="O946" s="18">
        <f t="shared" ca="1" si="97"/>
        <v>0.79220779220779225</v>
      </c>
      <c r="P946" s="19">
        <f t="shared" si="99"/>
        <v>11</v>
      </c>
      <c r="Q946" s="16">
        <f>IF(COUNTIF($B$2:B946,B946)=1,SUMIF($B$2:$B$1097,B946,$L$2:$L$1097),"")</f>
        <v>231</v>
      </c>
      <c r="R946" s="16">
        <f t="shared" ref="R946:R947" si="103">AVERAGE(Q926:Q946)</f>
        <v>484</v>
      </c>
    </row>
    <row r="947" spans="1:18" ht="12.75" x14ac:dyDescent="0.2">
      <c r="A947" s="3">
        <v>946</v>
      </c>
      <c r="B947" s="26">
        <v>45242</v>
      </c>
      <c r="C947" s="23" t="s">
        <v>42</v>
      </c>
      <c r="D947" s="4">
        <v>2</v>
      </c>
      <c r="E947" s="24" t="s">
        <v>40</v>
      </c>
      <c r="F947" s="5" t="s">
        <v>10</v>
      </c>
      <c r="G947" s="5" t="s">
        <v>11</v>
      </c>
      <c r="H947" s="5" t="s">
        <v>43</v>
      </c>
      <c r="I947" s="5" t="s">
        <v>13</v>
      </c>
      <c r="J947" s="5" t="s">
        <v>14</v>
      </c>
      <c r="K947" s="6">
        <v>0</v>
      </c>
      <c r="L947" s="15">
        <v>0</v>
      </c>
      <c r="M947" s="15">
        <v>10</v>
      </c>
      <c r="N947" s="16">
        <f t="shared" si="98"/>
        <v>-10</v>
      </c>
      <c r="O947" s="18">
        <f t="shared" si="97"/>
        <v>0</v>
      </c>
      <c r="P947" s="19">
        <f t="shared" si="99"/>
        <v>0</v>
      </c>
      <c r="Q947" s="16">
        <f>IF(COUNTIF($B$2:B947,B947)=1,SUMIF($B$2:$B$1097,B947,$L$2:$L$1097),"")</f>
        <v>0</v>
      </c>
      <c r="R947" s="16">
        <f t="shared" si="103"/>
        <v>377.66666666666669</v>
      </c>
    </row>
    <row r="948" spans="1:18" ht="12.75" x14ac:dyDescent="0.2">
      <c r="A948" s="3">
        <v>947</v>
      </c>
      <c r="B948" s="26">
        <v>45242</v>
      </c>
      <c r="C948" s="23" t="s">
        <v>42</v>
      </c>
      <c r="D948" s="4">
        <v>2</v>
      </c>
      <c r="E948" s="24" t="s">
        <v>40</v>
      </c>
      <c r="F948" s="5" t="s">
        <v>10</v>
      </c>
      <c r="G948" s="5" t="s">
        <v>11</v>
      </c>
      <c r="H948" s="5" t="s">
        <v>43</v>
      </c>
      <c r="I948" s="5" t="s">
        <v>15</v>
      </c>
      <c r="J948" s="5" t="s">
        <v>14</v>
      </c>
      <c r="K948" s="6">
        <v>0</v>
      </c>
      <c r="L948" s="15">
        <v>0</v>
      </c>
      <c r="M948" s="15">
        <v>10</v>
      </c>
      <c r="N948" s="16">
        <f t="shared" si="98"/>
        <v>-10</v>
      </c>
      <c r="O948" s="18">
        <f t="shared" si="97"/>
        <v>0</v>
      </c>
      <c r="P948" s="19">
        <f t="shared" si="99"/>
        <v>0</v>
      </c>
      <c r="Q948" s="16" t="str">
        <f>IF(COUNTIF($B$2:B948,B948)=1,SUMIF($B$2:$B$1097,B948,$L$2:$L$1097),"")</f>
        <v/>
      </c>
    </row>
    <row r="949" spans="1:18" ht="12.75" x14ac:dyDescent="0.2">
      <c r="A949" s="3">
        <v>948</v>
      </c>
      <c r="B949" s="26">
        <v>45242</v>
      </c>
      <c r="C949" s="23" t="s">
        <v>42</v>
      </c>
      <c r="D949" s="4">
        <v>2</v>
      </c>
      <c r="E949" s="24" t="s">
        <v>40</v>
      </c>
      <c r="F949" s="5" t="s">
        <v>10</v>
      </c>
      <c r="G949" s="5" t="s">
        <v>11</v>
      </c>
      <c r="H949" s="5" t="s">
        <v>43</v>
      </c>
      <c r="I949" s="5" t="s">
        <v>16</v>
      </c>
      <c r="J949" s="5" t="s">
        <v>14</v>
      </c>
      <c r="K949" s="6">
        <v>0</v>
      </c>
      <c r="L949" s="15">
        <v>0</v>
      </c>
      <c r="M949" s="15">
        <v>10</v>
      </c>
      <c r="N949" s="16">
        <f t="shared" si="98"/>
        <v>-10</v>
      </c>
      <c r="O949" s="18">
        <f t="shared" si="97"/>
        <v>0</v>
      </c>
      <c r="P949" s="19">
        <f t="shared" si="99"/>
        <v>0</v>
      </c>
      <c r="Q949" s="16" t="str">
        <f>IF(COUNTIF($B$2:B949,B949)=1,SUMIF($B$2:$B$1097,B949,$L$2:$L$1097),"")</f>
        <v/>
      </c>
    </row>
    <row r="950" spans="1:18" ht="12.75" x14ac:dyDescent="0.2">
      <c r="A950" s="3">
        <v>949</v>
      </c>
      <c r="B950" s="26">
        <v>45242</v>
      </c>
      <c r="C950" s="23" t="s">
        <v>42</v>
      </c>
      <c r="D950" s="4">
        <v>2</v>
      </c>
      <c r="E950" s="24" t="s">
        <v>40</v>
      </c>
      <c r="F950" s="5" t="s">
        <v>10</v>
      </c>
      <c r="G950" s="5" t="s">
        <v>11</v>
      </c>
      <c r="H950" s="5" t="s">
        <v>43</v>
      </c>
      <c r="I950" s="5" t="s">
        <v>17</v>
      </c>
      <c r="J950" s="5" t="s">
        <v>14</v>
      </c>
      <c r="K950" s="6">
        <v>0</v>
      </c>
      <c r="L950" s="15">
        <v>0</v>
      </c>
      <c r="M950" s="15">
        <v>10</v>
      </c>
      <c r="N950" s="16">
        <f t="shared" si="98"/>
        <v>-10</v>
      </c>
      <c r="O950" s="18">
        <f t="shared" si="97"/>
        <v>0</v>
      </c>
      <c r="P950" s="19">
        <f t="shared" si="99"/>
        <v>0</v>
      </c>
      <c r="Q950" s="16" t="str">
        <f>IF(COUNTIF($B$2:B950,B950)=1,SUMIF($B$2:$B$1097,B950,$L$2:$L$1097),"")</f>
        <v/>
      </c>
    </row>
    <row r="951" spans="1:18" ht="12.75" x14ac:dyDescent="0.2">
      <c r="A951" s="3">
        <v>950</v>
      </c>
      <c r="B951" s="26">
        <v>45243</v>
      </c>
      <c r="C951" s="23" t="s">
        <v>42</v>
      </c>
      <c r="D951" s="4">
        <v>3</v>
      </c>
      <c r="E951" s="24" t="s">
        <v>40</v>
      </c>
      <c r="F951" s="5" t="s">
        <v>11</v>
      </c>
      <c r="G951" s="5" t="s">
        <v>11</v>
      </c>
      <c r="H951" s="5" t="s">
        <v>14</v>
      </c>
      <c r="I951" s="5" t="s">
        <v>13</v>
      </c>
      <c r="J951" s="5" t="s">
        <v>56</v>
      </c>
      <c r="K951" s="6">
        <v>15</v>
      </c>
      <c r="L951" s="15">
        <v>165</v>
      </c>
      <c r="M951" s="15">
        <f t="shared" ca="1" si="101"/>
        <v>20</v>
      </c>
      <c r="N951" s="16">
        <f t="shared" ca="1" si="98"/>
        <v>145</v>
      </c>
      <c r="O951" s="18">
        <f t="shared" ca="1" si="97"/>
        <v>0.87878787878787878</v>
      </c>
      <c r="P951" s="19">
        <f t="shared" si="99"/>
        <v>11</v>
      </c>
      <c r="Q951" s="16">
        <f>IF(COUNTIF($B$2:B951,B951)=1,SUMIF($B$2:$B$1097,B951,$L$2:$L$1097),"")</f>
        <v>451</v>
      </c>
      <c r="R951" s="16">
        <f>AVERAGE(Q931:Q951)</f>
        <v>370.33333333333331</v>
      </c>
    </row>
    <row r="952" spans="1:18" ht="12.75" x14ac:dyDescent="0.2">
      <c r="A952" s="3">
        <v>951</v>
      </c>
      <c r="B952" s="26">
        <v>45243</v>
      </c>
      <c r="C952" s="23" t="s">
        <v>42</v>
      </c>
      <c r="D952" s="4">
        <v>3</v>
      </c>
      <c r="E952" s="24" t="s">
        <v>40</v>
      </c>
      <c r="F952" s="5" t="s">
        <v>11</v>
      </c>
      <c r="G952" s="5" t="s">
        <v>11</v>
      </c>
      <c r="H952" s="5" t="s">
        <v>14</v>
      </c>
      <c r="I952" s="5" t="s">
        <v>15</v>
      </c>
      <c r="J952" s="5" t="s">
        <v>56</v>
      </c>
      <c r="K952" s="6">
        <v>8</v>
      </c>
      <c r="L952" s="15">
        <v>88</v>
      </c>
      <c r="M952" s="15">
        <f t="shared" ca="1" si="101"/>
        <v>27</v>
      </c>
      <c r="N952" s="16">
        <f t="shared" ca="1" si="98"/>
        <v>61</v>
      </c>
      <c r="O952" s="18">
        <f t="shared" ca="1" si="97"/>
        <v>0.69318181818181823</v>
      </c>
      <c r="P952" s="19">
        <f t="shared" si="99"/>
        <v>11</v>
      </c>
      <c r="Q952" s="16" t="str">
        <f>IF(COUNTIF($B$2:B952,B952)=1,SUMIF($B$2:$B$1097,B952,$L$2:$L$1097),"")</f>
        <v/>
      </c>
    </row>
    <row r="953" spans="1:18" ht="12.75" x14ac:dyDescent="0.2">
      <c r="A953" s="3">
        <v>952</v>
      </c>
      <c r="B953" s="26">
        <v>45243</v>
      </c>
      <c r="C953" s="23" t="s">
        <v>42</v>
      </c>
      <c r="D953" s="4">
        <v>3</v>
      </c>
      <c r="E953" s="24" t="s">
        <v>40</v>
      </c>
      <c r="F953" s="5" t="s">
        <v>11</v>
      </c>
      <c r="G953" s="5" t="s">
        <v>11</v>
      </c>
      <c r="H953" s="5" t="s">
        <v>14</v>
      </c>
      <c r="I953" s="5" t="s">
        <v>16</v>
      </c>
      <c r="J953" s="5" t="s">
        <v>55</v>
      </c>
      <c r="K953" s="6">
        <v>5</v>
      </c>
      <c r="L953" s="15">
        <v>55</v>
      </c>
      <c r="M953" s="15">
        <f t="shared" ca="1" si="101"/>
        <v>28</v>
      </c>
      <c r="N953" s="16">
        <f t="shared" ca="1" si="98"/>
        <v>27</v>
      </c>
      <c r="O953" s="18">
        <f t="shared" ca="1" si="97"/>
        <v>0.49090909090909091</v>
      </c>
      <c r="P953" s="19">
        <f t="shared" si="99"/>
        <v>11</v>
      </c>
      <c r="Q953" s="16" t="str">
        <f>IF(COUNTIF($B$2:B953,B953)=1,SUMIF($B$2:$B$1097,B953,$L$2:$L$1097),"")</f>
        <v/>
      </c>
    </row>
    <row r="954" spans="1:18" ht="12.75" x14ac:dyDescent="0.2">
      <c r="A954" s="3">
        <v>953</v>
      </c>
      <c r="B954" s="26">
        <v>45243</v>
      </c>
      <c r="C954" s="23" t="s">
        <v>42</v>
      </c>
      <c r="D954" s="4">
        <v>3</v>
      </c>
      <c r="E954" s="24" t="s">
        <v>40</v>
      </c>
      <c r="F954" s="5" t="s">
        <v>11</v>
      </c>
      <c r="G954" s="5" t="s">
        <v>11</v>
      </c>
      <c r="H954" s="5" t="s">
        <v>14</v>
      </c>
      <c r="I954" s="5" t="s">
        <v>17</v>
      </c>
      <c r="J954" s="5" t="s">
        <v>53</v>
      </c>
      <c r="K954" s="6">
        <v>13</v>
      </c>
      <c r="L954" s="15">
        <v>143</v>
      </c>
      <c r="M954" s="15">
        <f t="shared" ca="1" si="101"/>
        <v>7</v>
      </c>
      <c r="N954" s="16">
        <f t="shared" ca="1" si="98"/>
        <v>136</v>
      </c>
      <c r="O954" s="18">
        <f t="shared" ca="1" si="97"/>
        <v>0.95104895104895104</v>
      </c>
      <c r="P954" s="19">
        <f t="shared" si="99"/>
        <v>11</v>
      </c>
      <c r="Q954" s="16" t="str">
        <f>IF(COUNTIF($B$2:B954,B954)=1,SUMIF($B$2:$B$1097,B954,$L$2:$L$1097),"")</f>
        <v/>
      </c>
    </row>
    <row r="955" spans="1:18" ht="12.75" x14ac:dyDescent="0.2">
      <c r="A955" s="3">
        <v>954</v>
      </c>
      <c r="B955" s="26">
        <v>45244</v>
      </c>
      <c r="C955" s="23" t="s">
        <v>42</v>
      </c>
      <c r="D955" s="4">
        <v>4</v>
      </c>
      <c r="E955" s="24" t="s">
        <v>40</v>
      </c>
      <c r="F955" s="5" t="s">
        <v>11</v>
      </c>
      <c r="G955" s="5" t="s">
        <v>11</v>
      </c>
      <c r="H955" s="5" t="s">
        <v>14</v>
      </c>
      <c r="I955" s="5" t="s">
        <v>13</v>
      </c>
      <c r="J955" s="5" t="s">
        <v>52</v>
      </c>
      <c r="K955" s="6">
        <v>17</v>
      </c>
      <c r="L955" s="15">
        <v>187</v>
      </c>
      <c r="M955" s="15">
        <f t="shared" ca="1" si="101"/>
        <v>18</v>
      </c>
      <c r="N955" s="16">
        <f t="shared" ca="1" si="98"/>
        <v>169</v>
      </c>
      <c r="O955" s="18">
        <f t="shared" ca="1" si="97"/>
        <v>0.90374331550802134</v>
      </c>
      <c r="P955" s="19">
        <f t="shared" si="99"/>
        <v>11</v>
      </c>
      <c r="Q955" s="16">
        <f>IF(COUNTIF($B$2:B955,B955)=1,SUMIF($B$2:$B$1097,B955,$L$2:$L$1097),"")</f>
        <v>440</v>
      </c>
      <c r="R955" s="16">
        <f>AVERAGE(Q935:Q955)</f>
        <v>368.5</v>
      </c>
    </row>
    <row r="956" spans="1:18" ht="12.75" x14ac:dyDescent="0.2">
      <c r="A956" s="3">
        <v>955</v>
      </c>
      <c r="B956" s="26">
        <v>45244</v>
      </c>
      <c r="C956" s="23" t="s">
        <v>42</v>
      </c>
      <c r="D956" s="4">
        <v>4</v>
      </c>
      <c r="E956" s="24" t="s">
        <v>40</v>
      </c>
      <c r="F956" s="5" t="s">
        <v>11</v>
      </c>
      <c r="G956" s="5" t="s">
        <v>11</v>
      </c>
      <c r="H956" s="5" t="s">
        <v>14</v>
      </c>
      <c r="I956" s="5" t="s">
        <v>15</v>
      </c>
      <c r="J956" s="5" t="s">
        <v>54</v>
      </c>
      <c r="K956" s="6">
        <v>6</v>
      </c>
      <c r="L956" s="15">
        <v>66</v>
      </c>
      <c r="M956" s="15">
        <f t="shared" ca="1" si="101"/>
        <v>30</v>
      </c>
      <c r="N956" s="16">
        <f t="shared" ca="1" si="98"/>
        <v>36</v>
      </c>
      <c r="O956" s="18">
        <f t="shared" ca="1" si="97"/>
        <v>0.54545454545454541</v>
      </c>
      <c r="P956" s="19">
        <f t="shared" si="99"/>
        <v>11</v>
      </c>
      <c r="Q956" s="16" t="str">
        <f>IF(COUNTIF($B$2:B956,B956)=1,SUMIF($B$2:$B$1097,B956,$L$2:$L$1097),"")</f>
        <v/>
      </c>
    </row>
    <row r="957" spans="1:18" ht="12.75" x14ac:dyDescent="0.2">
      <c r="A957" s="3">
        <v>956</v>
      </c>
      <c r="B957" s="26">
        <v>45244</v>
      </c>
      <c r="C957" s="23" t="s">
        <v>42</v>
      </c>
      <c r="D957" s="4">
        <v>4</v>
      </c>
      <c r="E957" s="24" t="s">
        <v>40</v>
      </c>
      <c r="F957" s="5" t="s">
        <v>11</v>
      </c>
      <c r="G957" s="5" t="s">
        <v>11</v>
      </c>
      <c r="H957" s="5" t="s">
        <v>14</v>
      </c>
      <c r="I957" s="5" t="s">
        <v>16</v>
      </c>
      <c r="J957" s="5" t="s">
        <v>54</v>
      </c>
      <c r="K957" s="6">
        <v>5</v>
      </c>
      <c r="L957" s="15">
        <v>55</v>
      </c>
      <c r="M957" s="15">
        <f t="shared" ca="1" si="101"/>
        <v>1</v>
      </c>
      <c r="N957" s="16">
        <f t="shared" ca="1" si="98"/>
        <v>54</v>
      </c>
      <c r="O957" s="18">
        <f t="shared" ca="1" si="97"/>
        <v>0.98181818181818181</v>
      </c>
      <c r="P957" s="19">
        <f t="shared" si="99"/>
        <v>11</v>
      </c>
      <c r="Q957" s="16" t="str">
        <f>IF(COUNTIF($B$2:B957,B957)=1,SUMIF($B$2:$B$1097,B957,$L$2:$L$1097),"")</f>
        <v/>
      </c>
    </row>
    <row r="958" spans="1:18" ht="12.75" x14ac:dyDescent="0.2">
      <c r="A958" s="3">
        <v>957</v>
      </c>
      <c r="B958" s="26">
        <v>45244</v>
      </c>
      <c r="C958" s="23" t="s">
        <v>42</v>
      </c>
      <c r="D958" s="4">
        <v>4</v>
      </c>
      <c r="E958" s="24" t="s">
        <v>40</v>
      </c>
      <c r="F958" s="5" t="s">
        <v>11</v>
      </c>
      <c r="G958" s="5" t="s">
        <v>11</v>
      </c>
      <c r="H958" s="5" t="s">
        <v>14</v>
      </c>
      <c r="I958" s="5" t="s">
        <v>17</v>
      </c>
      <c r="J958" s="5" t="s">
        <v>54</v>
      </c>
      <c r="K958" s="6">
        <v>12</v>
      </c>
      <c r="L958" s="15">
        <v>132</v>
      </c>
      <c r="M958" s="15">
        <f t="shared" ca="1" si="101"/>
        <v>42</v>
      </c>
      <c r="N958" s="16">
        <f t="shared" ca="1" si="98"/>
        <v>90</v>
      </c>
      <c r="O958" s="18">
        <f t="shared" ca="1" si="97"/>
        <v>0.68181818181818177</v>
      </c>
      <c r="P958" s="19">
        <f t="shared" si="99"/>
        <v>11</v>
      </c>
      <c r="Q958" s="16" t="str">
        <f>IF(COUNTIF($B$2:B958,B958)=1,SUMIF($B$2:$B$1097,B958,$L$2:$L$1097),"")</f>
        <v/>
      </c>
    </row>
    <row r="959" spans="1:18" ht="12.75" x14ac:dyDescent="0.2">
      <c r="A959" s="3">
        <v>958</v>
      </c>
      <c r="B959" s="26">
        <v>45245</v>
      </c>
      <c r="C959" s="23" t="s">
        <v>42</v>
      </c>
      <c r="D959" s="4">
        <v>5</v>
      </c>
      <c r="E959" s="24" t="s">
        <v>40</v>
      </c>
      <c r="F959" s="5" t="s">
        <v>11</v>
      </c>
      <c r="G959" s="5" t="s">
        <v>11</v>
      </c>
      <c r="H959" s="5" t="s">
        <v>14</v>
      </c>
      <c r="I959" s="5" t="s">
        <v>13</v>
      </c>
      <c r="J959" s="5" t="s">
        <v>56</v>
      </c>
      <c r="K959" s="6">
        <v>15</v>
      </c>
      <c r="L959" s="15">
        <v>165</v>
      </c>
      <c r="M959" s="15">
        <f t="shared" ca="1" si="101"/>
        <v>33</v>
      </c>
      <c r="N959" s="16">
        <f t="shared" ca="1" si="98"/>
        <v>132</v>
      </c>
      <c r="O959" s="18">
        <f t="shared" ca="1" si="97"/>
        <v>0.8</v>
      </c>
      <c r="P959" s="19">
        <f t="shared" si="99"/>
        <v>11</v>
      </c>
      <c r="Q959" s="16">
        <f>IF(COUNTIF($B$2:B959,B959)=1,SUMIF($B$2:$B$1097,B959,$L$2:$L$1097),"")</f>
        <v>462</v>
      </c>
      <c r="R959" s="16">
        <f>AVERAGE(Q939:Q959)</f>
        <v>370.33333333333331</v>
      </c>
    </row>
    <row r="960" spans="1:18" ht="12.75" x14ac:dyDescent="0.2">
      <c r="A960" s="3">
        <v>959</v>
      </c>
      <c r="B960" s="26">
        <v>45245</v>
      </c>
      <c r="C960" s="23" t="s">
        <v>42</v>
      </c>
      <c r="D960" s="4">
        <v>5</v>
      </c>
      <c r="E960" s="24" t="s">
        <v>40</v>
      </c>
      <c r="F960" s="5" t="s">
        <v>11</v>
      </c>
      <c r="G960" s="5" t="s">
        <v>11</v>
      </c>
      <c r="H960" s="5" t="s">
        <v>14</v>
      </c>
      <c r="I960" s="5" t="s">
        <v>15</v>
      </c>
      <c r="J960" s="5" t="s">
        <v>56</v>
      </c>
      <c r="K960" s="6">
        <v>11</v>
      </c>
      <c r="L960" s="15">
        <v>121</v>
      </c>
      <c r="M960" s="15">
        <f t="shared" ca="1" si="101"/>
        <v>30</v>
      </c>
      <c r="N960" s="16">
        <f t="shared" ca="1" si="98"/>
        <v>91</v>
      </c>
      <c r="O960" s="18">
        <f t="shared" ca="1" si="97"/>
        <v>0.75206611570247939</v>
      </c>
      <c r="P960" s="19">
        <f t="shared" si="99"/>
        <v>11</v>
      </c>
      <c r="Q960" s="16" t="str">
        <f>IF(COUNTIF($B$2:B960,B960)=1,SUMIF($B$2:$B$1097,B960,$L$2:$L$1097),"")</f>
        <v/>
      </c>
    </row>
    <row r="961" spans="1:18" ht="12.75" x14ac:dyDescent="0.2">
      <c r="A961" s="3">
        <v>960</v>
      </c>
      <c r="B961" s="26">
        <v>45245</v>
      </c>
      <c r="C961" s="23" t="s">
        <v>42</v>
      </c>
      <c r="D961" s="4">
        <v>5</v>
      </c>
      <c r="E961" s="24" t="s">
        <v>40</v>
      </c>
      <c r="F961" s="5" t="s">
        <v>11</v>
      </c>
      <c r="G961" s="5" t="s">
        <v>11</v>
      </c>
      <c r="H961" s="5" t="s">
        <v>14</v>
      </c>
      <c r="I961" s="5" t="s">
        <v>16</v>
      </c>
      <c r="J961" s="5" t="s">
        <v>55</v>
      </c>
      <c r="K961" s="6">
        <v>5</v>
      </c>
      <c r="L961" s="15">
        <v>55</v>
      </c>
      <c r="M961" s="15">
        <f t="shared" ca="1" si="101"/>
        <v>44</v>
      </c>
      <c r="N961" s="16">
        <f t="shared" ca="1" si="98"/>
        <v>11</v>
      </c>
      <c r="O961" s="18">
        <f t="shared" ca="1" si="97"/>
        <v>0.2</v>
      </c>
      <c r="P961" s="19">
        <f t="shared" si="99"/>
        <v>11</v>
      </c>
      <c r="Q961" s="16" t="str">
        <f>IF(COUNTIF($B$2:B961,B961)=1,SUMIF($B$2:$B$1097,B961,$L$2:$L$1097),"")</f>
        <v/>
      </c>
    </row>
    <row r="962" spans="1:18" ht="12.75" x14ac:dyDescent="0.2">
      <c r="A962" s="3">
        <v>961</v>
      </c>
      <c r="B962" s="26">
        <v>45245</v>
      </c>
      <c r="C962" s="23" t="s">
        <v>42</v>
      </c>
      <c r="D962" s="4">
        <v>5</v>
      </c>
      <c r="E962" s="24" t="s">
        <v>40</v>
      </c>
      <c r="F962" s="5" t="s">
        <v>11</v>
      </c>
      <c r="G962" s="5" t="s">
        <v>11</v>
      </c>
      <c r="H962" s="5" t="s">
        <v>14</v>
      </c>
      <c r="I962" s="5" t="s">
        <v>17</v>
      </c>
      <c r="J962" s="5" t="s">
        <v>53</v>
      </c>
      <c r="K962" s="6">
        <v>11</v>
      </c>
      <c r="L962" s="15">
        <v>121</v>
      </c>
      <c r="M962" s="15">
        <f t="shared" ca="1" si="101"/>
        <v>46</v>
      </c>
      <c r="N962" s="16">
        <f t="shared" ca="1" si="98"/>
        <v>75</v>
      </c>
      <c r="O962" s="18">
        <f t="shared" ref="O962:O1025" ca="1" si="104">IF(L962=0, 0, N962/L962)</f>
        <v>0.6198347107438017</v>
      </c>
      <c r="P962" s="19">
        <f t="shared" si="99"/>
        <v>11</v>
      </c>
      <c r="Q962" s="16" t="str">
        <f>IF(COUNTIF($B$2:B962,B962)=1,SUMIF($B$2:$B$1097,B962,$L$2:$L$1097),"")</f>
        <v/>
      </c>
    </row>
    <row r="963" spans="1:18" ht="12.75" x14ac:dyDescent="0.2">
      <c r="A963" s="3">
        <v>962</v>
      </c>
      <c r="B963" s="26">
        <v>45246</v>
      </c>
      <c r="C963" s="23" t="s">
        <v>42</v>
      </c>
      <c r="D963" s="4">
        <v>6</v>
      </c>
      <c r="E963" s="24" t="s">
        <v>40</v>
      </c>
      <c r="F963" s="5" t="s">
        <v>11</v>
      </c>
      <c r="G963" s="5" t="s">
        <v>11</v>
      </c>
      <c r="H963" s="5" t="s">
        <v>14</v>
      </c>
      <c r="I963" s="5" t="s">
        <v>13</v>
      </c>
      <c r="J963" s="5" t="s">
        <v>52</v>
      </c>
      <c r="K963" s="6">
        <v>21</v>
      </c>
      <c r="L963" s="15">
        <v>231</v>
      </c>
      <c r="M963" s="15">
        <f t="shared" ca="1" si="101"/>
        <v>47</v>
      </c>
      <c r="N963" s="16">
        <f t="shared" ref="N963:N1026" ca="1" si="105">L963-M963</f>
        <v>184</v>
      </c>
      <c r="O963" s="18">
        <f t="shared" ca="1" si="104"/>
        <v>0.79653679653679654</v>
      </c>
      <c r="P963" s="19">
        <f t="shared" ref="P963:P1026" si="106">IF(K963=0, 0, L963/K963)</f>
        <v>11</v>
      </c>
      <c r="Q963" s="16">
        <f>IF(COUNTIF($B$2:B963,B963)=1,SUMIF($B$2:$B$1097,B963,$L$2:$L$1097),"")</f>
        <v>638</v>
      </c>
      <c r="R963" s="16">
        <f>AVERAGE(Q943:Q963)</f>
        <v>370.33333333333331</v>
      </c>
    </row>
    <row r="964" spans="1:18" ht="12.75" x14ac:dyDescent="0.2">
      <c r="A964" s="3">
        <v>963</v>
      </c>
      <c r="B964" s="26">
        <v>45246</v>
      </c>
      <c r="C964" s="23" t="s">
        <v>42</v>
      </c>
      <c r="D964" s="4">
        <v>6</v>
      </c>
      <c r="E964" s="24" t="s">
        <v>40</v>
      </c>
      <c r="F964" s="5" t="s">
        <v>11</v>
      </c>
      <c r="G964" s="5" t="s">
        <v>11</v>
      </c>
      <c r="H964" s="5" t="s">
        <v>14</v>
      </c>
      <c r="I964" s="5" t="s">
        <v>15</v>
      </c>
      <c r="J964" s="5" t="s">
        <v>55</v>
      </c>
      <c r="K964" s="6">
        <v>9</v>
      </c>
      <c r="L964" s="15">
        <v>99</v>
      </c>
      <c r="M964" s="15">
        <f t="shared" ca="1" si="101"/>
        <v>10</v>
      </c>
      <c r="N964" s="16">
        <f t="shared" ca="1" si="105"/>
        <v>89</v>
      </c>
      <c r="O964" s="18">
        <f t="shared" ca="1" si="104"/>
        <v>0.89898989898989901</v>
      </c>
      <c r="P964" s="19">
        <f t="shared" si="106"/>
        <v>11</v>
      </c>
      <c r="Q964" s="16" t="str">
        <f>IF(COUNTIF($B$2:B964,B964)=1,SUMIF($B$2:$B$1097,B964,$L$2:$L$1097),"")</f>
        <v/>
      </c>
    </row>
    <row r="965" spans="1:18" ht="12.75" x14ac:dyDescent="0.2">
      <c r="A965" s="3">
        <v>964</v>
      </c>
      <c r="B965" s="26">
        <v>45246</v>
      </c>
      <c r="C965" s="23" t="s">
        <v>42</v>
      </c>
      <c r="D965" s="4">
        <v>6</v>
      </c>
      <c r="E965" s="24" t="s">
        <v>40</v>
      </c>
      <c r="F965" s="5" t="s">
        <v>11</v>
      </c>
      <c r="G965" s="5" t="s">
        <v>11</v>
      </c>
      <c r="H965" s="5" t="s">
        <v>14</v>
      </c>
      <c r="I965" s="5" t="s">
        <v>16</v>
      </c>
      <c r="J965" s="5" t="s">
        <v>55</v>
      </c>
      <c r="K965" s="6">
        <v>9</v>
      </c>
      <c r="L965" s="15">
        <v>99</v>
      </c>
      <c r="M965" s="15">
        <f t="shared" ca="1" si="101"/>
        <v>22</v>
      </c>
      <c r="N965" s="16">
        <f t="shared" ca="1" si="105"/>
        <v>77</v>
      </c>
      <c r="O965" s="18">
        <f t="shared" ca="1" si="104"/>
        <v>0.77777777777777779</v>
      </c>
      <c r="P965" s="19">
        <f t="shared" si="106"/>
        <v>11</v>
      </c>
      <c r="Q965" s="16" t="str">
        <f>IF(COUNTIF($B$2:B965,B965)=1,SUMIF($B$2:$B$1097,B965,$L$2:$L$1097),"")</f>
        <v/>
      </c>
    </row>
    <row r="966" spans="1:18" ht="12.75" x14ac:dyDescent="0.2">
      <c r="A966" s="3">
        <v>965</v>
      </c>
      <c r="B966" s="26">
        <v>45246</v>
      </c>
      <c r="C966" s="23" t="s">
        <v>42</v>
      </c>
      <c r="D966" s="4">
        <v>6</v>
      </c>
      <c r="E966" s="24" t="s">
        <v>40</v>
      </c>
      <c r="F966" s="5" t="s">
        <v>11</v>
      </c>
      <c r="G966" s="5" t="s">
        <v>11</v>
      </c>
      <c r="H966" s="5" t="s">
        <v>14</v>
      </c>
      <c r="I966" s="5" t="s">
        <v>17</v>
      </c>
      <c r="J966" s="5" t="s">
        <v>53</v>
      </c>
      <c r="K966" s="6">
        <v>19</v>
      </c>
      <c r="L966" s="15">
        <v>209</v>
      </c>
      <c r="M966" s="15">
        <f t="shared" ca="1" si="101"/>
        <v>11</v>
      </c>
      <c r="N966" s="16">
        <f t="shared" ca="1" si="105"/>
        <v>198</v>
      </c>
      <c r="O966" s="18">
        <f t="shared" ca="1" si="104"/>
        <v>0.94736842105263153</v>
      </c>
      <c r="P966" s="19">
        <f t="shared" si="106"/>
        <v>11</v>
      </c>
      <c r="Q966" s="16" t="str">
        <f>IF(COUNTIF($B$2:B966,B966)=1,SUMIF($B$2:$B$1097,B966,$L$2:$L$1097),"")</f>
        <v/>
      </c>
    </row>
    <row r="967" spans="1:18" ht="12.75" x14ac:dyDescent="0.2">
      <c r="A967" s="3">
        <v>966</v>
      </c>
      <c r="B967" s="26">
        <v>45247</v>
      </c>
      <c r="C967" s="23" t="s">
        <v>42</v>
      </c>
      <c r="D967" s="4">
        <v>7</v>
      </c>
      <c r="E967" s="24" t="s">
        <v>40</v>
      </c>
      <c r="F967" s="5" t="s">
        <v>11</v>
      </c>
      <c r="G967" s="5" t="s">
        <v>11</v>
      </c>
      <c r="H967" s="5" t="s">
        <v>14</v>
      </c>
      <c r="I967" s="5" t="s">
        <v>13</v>
      </c>
      <c r="J967" s="5" t="s">
        <v>56</v>
      </c>
      <c r="K967" s="6">
        <v>20</v>
      </c>
      <c r="L967" s="15">
        <v>220</v>
      </c>
      <c r="M967" s="15">
        <f t="shared" ca="1" si="101"/>
        <v>11</v>
      </c>
      <c r="N967" s="16">
        <f t="shared" ca="1" si="105"/>
        <v>209</v>
      </c>
      <c r="O967" s="18">
        <f t="shared" ca="1" si="104"/>
        <v>0.95</v>
      </c>
      <c r="P967" s="19">
        <f t="shared" si="106"/>
        <v>11</v>
      </c>
      <c r="Q967" s="16">
        <f>IF(COUNTIF($B$2:B967,B967)=1,SUMIF($B$2:$B$1097,B967,$L$2:$L$1097),"")</f>
        <v>220</v>
      </c>
      <c r="R967" s="16">
        <f t="shared" ref="R967:R968" si="107">AVERAGE(Q947:Q967)</f>
        <v>368.5</v>
      </c>
    </row>
    <row r="968" spans="1:18" ht="12.75" x14ac:dyDescent="0.2">
      <c r="A968" s="3">
        <v>967</v>
      </c>
      <c r="B968" s="26">
        <v>45249</v>
      </c>
      <c r="C968" s="23" t="s">
        <v>42</v>
      </c>
      <c r="D968" s="4">
        <v>2</v>
      </c>
      <c r="E968" s="24" t="s">
        <v>40</v>
      </c>
      <c r="F968" s="5" t="s">
        <v>11</v>
      </c>
      <c r="G968" s="5" t="s">
        <v>11</v>
      </c>
      <c r="H968" s="5" t="s">
        <v>14</v>
      </c>
      <c r="I968" s="5" t="s">
        <v>13</v>
      </c>
      <c r="J968" s="5" t="s">
        <v>52</v>
      </c>
      <c r="K968" s="6">
        <v>19</v>
      </c>
      <c r="L968" s="15">
        <v>209</v>
      </c>
      <c r="M968" s="15">
        <f t="shared" ca="1" si="101"/>
        <v>24</v>
      </c>
      <c r="N968" s="16">
        <f t="shared" ca="1" si="105"/>
        <v>185</v>
      </c>
      <c r="O968" s="18">
        <f t="shared" ca="1" si="104"/>
        <v>0.88516746411483249</v>
      </c>
      <c r="P968" s="19">
        <f t="shared" si="106"/>
        <v>11</v>
      </c>
      <c r="Q968" s="16">
        <f>IF(COUNTIF($B$2:B968,B968)=1,SUMIF($B$2:$B$1097,B968,$L$2:$L$1097),"")</f>
        <v>561</v>
      </c>
      <c r="R968" s="16">
        <f t="shared" si="107"/>
        <v>462</v>
      </c>
    </row>
    <row r="969" spans="1:18" ht="12.75" x14ac:dyDescent="0.2">
      <c r="A969" s="3">
        <v>968</v>
      </c>
      <c r="B969" s="26">
        <v>45249</v>
      </c>
      <c r="C969" s="23" t="s">
        <v>42</v>
      </c>
      <c r="D969" s="4">
        <v>2</v>
      </c>
      <c r="E969" s="24" t="s">
        <v>40</v>
      </c>
      <c r="F969" s="5" t="s">
        <v>11</v>
      </c>
      <c r="G969" s="5" t="s">
        <v>11</v>
      </c>
      <c r="H969" s="5" t="s">
        <v>14</v>
      </c>
      <c r="I969" s="5" t="s">
        <v>15</v>
      </c>
      <c r="J969" s="5" t="s">
        <v>54</v>
      </c>
      <c r="K969" s="6">
        <v>11</v>
      </c>
      <c r="L969" s="15">
        <v>121</v>
      </c>
      <c r="M969" s="15">
        <f t="shared" ref="M969:M1032" ca="1" si="108">RANDBETWEEN(1,50)</f>
        <v>17</v>
      </c>
      <c r="N969" s="16">
        <f t="shared" ca="1" si="105"/>
        <v>104</v>
      </c>
      <c r="O969" s="18">
        <f t="shared" ca="1" si="104"/>
        <v>0.85950413223140498</v>
      </c>
      <c r="P969" s="19">
        <f t="shared" si="106"/>
        <v>11</v>
      </c>
      <c r="Q969" s="16" t="str">
        <f>IF(COUNTIF($B$2:B969,B969)=1,SUMIF($B$2:$B$1097,B969,$L$2:$L$1097),"")</f>
        <v/>
      </c>
    </row>
    <row r="970" spans="1:18" ht="12.75" x14ac:dyDescent="0.2">
      <c r="A970" s="3">
        <v>969</v>
      </c>
      <c r="B970" s="26">
        <v>45249</v>
      </c>
      <c r="C970" s="23" t="s">
        <v>42</v>
      </c>
      <c r="D970" s="4">
        <v>2</v>
      </c>
      <c r="E970" s="24" t="s">
        <v>40</v>
      </c>
      <c r="F970" s="5" t="s">
        <v>11</v>
      </c>
      <c r="G970" s="5" t="s">
        <v>11</v>
      </c>
      <c r="H970" s="5" t="s">
        <v>14</v>
      </c>
      <c r="I970" s="5" t="s">
        <v>16</v>
      </c>
      <c r="J970" s="5" t="s">
        <v>54</v>
      </c>
      <c r="K970" s="6">
        <v>8</v>
      </c>
      <c r="L970" s="15">
        <v>88</v>
      </c>
      <c r="M970" s="15">
        <f t="shared" ca="1" si="108"/>
        <v>11</v>
      </c>
      <c r="N970" s="16">
        <f t="shared" ca="1" si="105"/>
        <v>77</v>
      </c>
      <c r="O970" s="18">
        <f t="shared" ca="1" si="104"/>
        <v>0.875</v>
      </c>
      <c r="P970" s="19">
        <f t="shared" si="106"/>
        <v>11</v>
      </c>
      <c r="Q970" s="16" t="str">
        <f>IF(COUNTIF($B$2:B970,B970)=1,SUMIF($B$2:$B$1097,B970,$L$2:$L$1097),"")</f>
        <v/>
      </c>
    </row>
    <row r="971" spans="1:18" ht="12.75" x14ac:dyDescent="0.2">
      <c r="A971" s="3">
        <v>970</v>
      </c>
      <c r="B971" s="26">
        <v>45249</v>
      </c>
      <c r="C971" s="23" t="s">
        <v>42</v>
      </c>
      <c r="D971" s="4">
        <v>2</v>
      </c>
      <c r="E971" s="24" t="s">
        <v>40</v>
      </c>
      <c r="F971" s="5" t="s">
        <v>11</v>
      </c>
      <c r="G971" s="5" t="s">
        <v>11</v>
      </c>
      <c r="H971" s="5" t="s">
        <v>14</v>
      </c>
      <c r="I971" s="5" t="s">
        <v>17</v>
      </c>
      <c r="J971" s="5" t="s">
        <v>54</v>
      </c>
      <c r="K971" s="6">
        <v>13</v>
      </c>
      <c r="L971" s="15">
        <v>143</v>
      </c>
      <c r="M971" s="15">
        <f t="shared" ca="1" si="108"/>
        <v>45</v>
      </c>
      <c r="N971" s="16">
        <f t="shared" ca="1" si="105"/>
        <v>98</v>
      </c>
      <c r="O971" s="18">
        <f t="shared" ca="1" si="104"/>
        <v>0.68531468531468531</v>
      </c>
      <c r="P971" s="19">
        <f t="shared" si="106"/>
        <v>11</v>
      </c>
      <c r="Q971" s="16" t="str">
        <f>IF(COUNTIF($B$2:B971,B971)=1,SUMIF($B$2:$B$1097,B971,$L$2:$L$1097),"")</f>
        <v/>
      </c>
    </row>
    <row r="972" spans="1:18" ht="12.75" x14ac:dyDescent="0.2">
      <c r="A972" s="3">
        <v>971</v>
      </c>
      <c r="B972" s="26">
        <v>45250</v>
      </c>
      <c r="C972" s="23" t="s">
        <v>42</v>
      </c>
      <c r="D972" s="4">
        <v>3</v>
      </c>
      <c r="E972" s="24" t="s">
        <v>40</v>
      </c>
      <c r="F972" s="5" t="s">
        <v>11</v>
      </c>
      <c r="G972" s="5" t="s">
        <v>11</v>
      </c>
      <c r="H972" s="5" t="s">
        <v>14</v>
      </c>
      <c r="I972" s="5" t="s">
        <v>13</v>
      </c>
      <c r="J972" s="5" t="s">
        <v>56</v>
      </c>
      <c r="K972" s="6">
        <v>18</v>
      </c>
      <c r="L972" s="15">
        <v>198</v>
      </c>
      <c r="M972" s="15">
        <f t="shared" ca="1" si="108"/>
        <v>6</v>
      </c>
      <c r="N972" s="16">
        <f t="shared" ca="1" si="105"/>
        <v>192</v>
      </c>
      <c r="O972" s="18">
        <f t="shared" ca="1" si="104"/>
        <v>0.96969696969696972</v>
      </c>
      <c r="P972" s="19">
        <f t="shared" si="106"/>
        <v>11</v>
      </c>
      <c r="Q972" s="16">
        <f>IF(COUNTIF($B$2:B972,B972)=1,SUMIF($B$2:$B$1097,B972,$L$2:$L$1097),"")</f>
        <v>473</v>
      </c>
      <c r="R972" s="16">
        <f>AVERAGE(Q952:Q972)</f>
        <v>465.66666666666669</v>
      </c>
    </row>
    <row r="973" spans="1:18" ht="12.75" x14ac:dyDescent="0.2">
      <c r="A973" s="3">
        <v>972</v>
      </c>
      <c r="B973" s="26">
        <v>45250</v>
      </c>
      <c r="C973" s="23" t="s">
        <v>42</v>
      </c>
      <c r="D973" s="4">
        <v>3</v>
      </c>
      <c r="E973" s="24" t="s">
        <v>40</v>
      </c>
      <c r="F973" s="5" t="s">
        <v>11</v>
      </c>
      <c r="G973" s="5" t="s">
        <v>11</v>
      </c>
      <c r="H973" s="5" t="s">
        <v>14</v>
      </c>
      <c r="I973" s="5" t="s">
        <v>15</v>
      </c>
      <c r="J973" s="5" t="s">
        <v>56</v>
      </c>
      <c r="K973" s="6">
        <v>8</v>
      </c>
      <c r="L973" s="15">
        <v>88</v>
      </c>
      <c r="M973" s="15">
        <f t="shared" ca="1" si="108"/>
        <v>11</v>
      </c>
      <c r="N973" s="16">
        <f t="shared" ca="1" si="105"/>
        <v>77</v>
      </c>
      <c r="O973" s="18">
        <f t="shared" ca="1" si="104"/>
        <v>0.875</v>
      </c>
      <c r="P973" s="19">
        <f t="shared" si="106"/>
        <v>11</v>
      </c>
      <c r="Q973" s="16" t="str">
        <f>IF(COUNTIF($B$2:B973,B973)=1,SUMIF($B$2:$B$1097,B973,$L$2:$L$1097),"")</f>
        <v/>
      </c>
    </row>
    <row r="974" spans="1:18" ht="12.75" x14ac:dyDescent="0.2">
      <c r="A974" s="3">
        <v>973</v>
      </c>
      <c r="B974" s="26">
        <v>45250</v>
      </c>
      <c r="C974" s="23" t="s">
        <v>42</v>
      </c>
      <c r="D974" s="4">
        <v>3</v>
      </c>
      <c r="E974" s="24" t="s">
        <v>40</v>
      </c>
      <c r="F974" s="5" t="s">
        <v>11</v>
      </c>
      <c r="G974" s="5" t="s">
        <v>11</v>
      </c>
      <c r="H974" s="5" t="s">
        <v>14</v>
      </c>
      <c r="I974" s="5" t="s">
        <v>16</v>
      </c>
      <c r="J974" s="5" t="s">
        <v>55</v>
      </c>
      <c r="K974" s="6">
        <v>5</v>
      </c>
      <c r="L974" s="15">
        <v>55</v>
      </c>
      <c r="M974" s="15">
        <f t="shared" ca="1" si="108"/>
        <v>6</v>
      </c>
      <c r="N974" s="16">
        <f t="shared" ca="1" si="105"/>
        <v>49</v>
      </c>
      <c r="O974" s="18">
        <f t="shared" ca="1" si="104"/>
        <v>0.89090909090909087</v>
      </c>
      <c r="P974" s="19">
        <f t="shared" si="106"/>
        <v>11</v>
      </c>
      <c r="Q974" s="16" t="str">
        <f>IF(COUNTIF($B$2:B974,B974)=1,SUMIF($B$2:$B$1097,B974,$L$2:$L$1097),"")</f>
        <v/>
      </c>
    </row>
    <row r="975" spans="1:18" ht="12.75" x14ac:dyDescent="0.2">
      <c r="A975" s="3">
        <v>974</v>
      </c>
      <c r="B975" s="26">
        <v>45250</v>
      </c>
      <c r="C975" s="23" t="s">
        <v>42</v>
      </c>
      <c r="D975" s="4">
        <v>3</v>
      </c>
      <c r="E975" s="24" t="s">
        <v>40</v>
      </c>
      <c r="F975" s="5" t="s">
        <v>11</v>
      </c>
      <c r="G975" s="5" t="s">
        <v>11</v>
      </c>
      <c r="H975" s="5" t="s">
        <v>14</v>
      </c>
      <c r="I975" s="5" t="s">
        <v>17</v>
      </c>
      <c r="J975" s="5" t="s">
        <v>53</v>
      </c>
      <c r="K975" s="6">
        <v>12</v>
      </c>
      <c r="L975" s="15">
        <v>132</v>
      </c>
      <c r="M975" s="15">
        <f t="shared" ca="1" si="108"/>
        <v>39</v>
      </c>
      <c r="N975" s="16">
        <f t="shared" ca="1" si="105"/>
        <v>93</v>
      </c>
      <c r="O975" s="18">
        <f t="shared" ca="1" si="104"/>
        <v>0.70454545454545459</v>
      </c>
      <c r="P975" s="19">
        <f t="shared" si="106"/>
        <v>11</v>
      </c>
      <c r="Q975" s="16" t="str">
        <f>IF(COUNTIF($B$2:B975,B975)=1,SUMIF($B$2:$B$1097,B975,$L$2:$L$1097),"")</f>
        <v/>
      </c>
    </row>
    <row r="976" spans="1:18" ht="12.75" x14ac:dyDescent="0.2">
      <c r="A976" s="3">
        <v>975</v>
      </c>
      <c r="B976" s="26">
        <v>45251</v>
      </c>
      <c r="C976" s="23" t="s">
        <v>42</v>
      </c>
      <c r="D976" s="4">
        <v>4</v>
      </c>
      <c r="E976" s="24" t="s">
        <v>40</v>
      </c>
      <c r="F976" s="5" t="s">
        <v>11</v>
      </c>
      <c r="G976" s="5" t="s">
        <v>11</v>
      </c>
      <c r="H976" s="5" t="s">
        <v>14</v>
      </c>
      <c r="I976" s="5" t="s">
        <v>13</v>
      </c>
      <c r="J976" s="5" t="s">
        <v>52</v>
      </c>
      <c r="K976" s="6">
        <v>17</v>
      </c>
      <c r="L976" s="15">
        <v>187</v>
      </c>
      <c r="M976" s="15">
        <f t="shared" ca="1" si="108"/>
        <v>50</v>
      </c>
      <c r="N976" s="16">
        <f t="shared" ca="1" si="105"/>
        <v>137</v>
      </c>
      <c r="O976" s="18">
        <f t="shared" ca="1" si="104"/>
        <v>0.73262032085561501</v>
      </c>
      <c r="P976" s="19">
        <f t="shared" si="106"/>
        <v>11</v>
      </c>
      <c r="Q976" s="16">
        <f>IF(COUNTIF($B$2:B976,B976)=1,SUMIF($B$2:$B$1097,B976,$L$2:$L$1097),"")</f>
        <v>407</v>
      </c>
      <c r="R976" s="16">
        <f>AVERAGE(Q956:Q976)</f>
        <v>460.16666666666669</v>
      </c>
    </row>
    <row r="977" spans="1:18" ht="12.75" x14ac:dyDescent="0.2">
      <c r="A977" s="3">
        <v>976</v>
      </c>
      <c r="B977" s="26">
        <v>45251</v>
      </c>
      <c r="C977" s="23" t="s">
        <v>42</v>
      </c>
      <c r="D977" s="4">
        <v>4</v>
      </c>
      <c r="E977" s="24" t="s">
        <v>40</v>
      </c>
      <c r="F977" s="5" t="s">
        <v>11</v>
      </c>
      <c r="G977" s="5" t="s">
        <v>11</v>
      </c>
      <c r="H977" s="5" t="s">
        <v>14</v>
      </c>
      <c r="I977" s="5" t="s">
        <v>15</v>
      </c>
      <c r="J977" s="5" t="s">
        <v>54</v>
      </c>
      <c r="K977" s="6">
        <v>5</v>
      </c>
      <c r="L977" s="15">
        <v>55</v>
      </c>
      <c r="M977" s="15">
        <f t="shared" ca="1" si="108"/>
        <v>40</v>
      </c>
      <c r="N977" s="16">
        <f t="shared" ca="1" si="105"/>
        <v>15</v>
      </c>
      <c r="O977" s="18">
        <f t="shared" ca="1" si="104"/>
        <v>0.27272727272727271</v>
      </c>
      <c r="P977" s="19">
        <f t="shared" si="106"/>
        <v>11</v>
      </c>
      <c r="Q977" s="16" t="str">
        <f>IF(COUNTIF($B$2:B977,B977)=1,SUMIF($B$2:$B$1097,B977,$L$2:$L$1097),"")</f>
        <v/>
      </c>
    </row>
    <row r="978" spans="1:18" ht="12.75" x14ac:dyDescent="0.2">
      <c r="A978" s="3">
        <v>977</v>
      </c>
      <c r="B978" s="26">
        <v>45251</v>
      </c>
      <c r="C978" s="23" t="s">
        <v>42</v>
      </c>
      <c r="D978" s="4">
        <v>4</v>
      </c>
      <c r="E978" s="24" t="s">
        <v>40</v>
      </c>
      <c r="F978" s="5" t="s">
        <v>11</v>
      </c>
      <c r="G978" s="5" t="s">
        <v>11</v>
      </c>
      <c r="H978" s="5" t="s">
        <v>14</v>
      </c>
      <c r="I978" s="5" t="s">
        <v>16</v>
      </c>
      <c r="J978" s="5" t="s">
        <v>54</v>
      </c>
      <c r="K978" s="6">
        <v>5</v>
      </c>
      <c r="L978" s="15">
        <v>55</v>
      </c>
      <c r="M978" s="15">
        <f t="shared" ca="1" si="108"/>
        <v>38</v>
      </c>
      <c r="N978" s="16">
        <f t="shared" ca="1" si="105"/>
        <v>17</v>
      </c>
      <c r="O978" s="18">
        <f t="shared" ca="1" si="104"/>
        <v>0.30909090909090908</v>
      </c>
      <c r="P978" s="19">
        <f t="shared" si="106"/>
        <v>11</v>
      </c>
      <c r="Q978" s="16" t="str">
        <f>IF(COUNTIF($B$2:B978,B978)=1,SUMIF($B$2:$B$1097,B978,$L$2:$L$1097),"")</f>
        <v/>
      </c>
    </row>
    <row r="979" spans="1:18" ht="12.75" x14ac:dyDescent="0.2">
      <c r="A979" s="3">
        <v>978</v>
      </c>
      <c r="B979" s="26">
        <v>45251</v>
      </c>
      <c r="C979" s="23" t="s">
        <v>42</v>
      </c>
      <c r="D979" s="4">
        <v>4</v>
      </c>
      <c r="E979" s="24" t="s">
        <v>40</v>
      </c>
      <c r="F979" s="5" t="s">
        <v>11</v>
      </c>
      <c r="G979" s="5" t="s">
        <v>11</v>
      </c>
      <c r="H979" s="5" t="s">
        <v>14</v>
      </c>
      <c r="I979" s="5" t="s">
        <v>17</v>
      </c>
      <c r="J979" s="5" t="s">
        <v>54</v>
      </c>
      <c r="K979" s="6">
        <v>10</v>
      </c>
      <c r="L979" s="15">
        <v>110</v>
      </c>
      <c r="M979" s="15">
        <f t="shared" ca="1" si="108"/>
        <v>8</v>
      </c>
      <c r="N979" s="16">
        <f t="shared" ca="1" si="105"/>
        <v>102</v>
      </c>
      <c r="O979" s="18">
        <f t="shared" ca="1" si="104"/>
        <v>0.92727272727272725</v>
      </c>
      <c r="P979" s="19">
        <f t="shared" si="106"/>
        <v>11</v>
      </c>
      <c r="Q979" s="16" t="str">
        <f>IF(COUNTIF($B$2:B979,B979)=1,SUMIF($B$2:$B$1097,B979,$L$2:$L$1097),"")</f>
        <v/>
      </c>
    </row>
    <row r="980" spans="1:18" ht="12.75" x14ac:dyDescent="0.2">
      <c r="A980" s="3">
        <v>979</v>
      </c>
      <c r="B980" s="26">
        <v>45252</v>
      </c>
      <c r="C980" s="23" t="s">
        <v>42</v>
      </c>
      <c r="D980" s="4">
        <v>5</v>
      </c>
      <c r="E980" s="24" t="s">
        <v>40</v>
      </c>
      <c r="F980" s="5" t="s">
        <v>10</v>
      </c>
      <c r="G980" s="5" t="s">
        <v>11</v>
      </c>
      <c r="H980" s="5" t="s">
        <v>44</v>
      </c>
      <c r="I980" s="5" t="s">
        <v>13</v>
      </c>
      <c r="J980" s="5" t="s">
        <v>14</v>
      </c>
      <c r="K980" s="6">
        <v>0</v>
      </c>
      <c r="L980" s="15">
        <v>0</v>
      </c>
      <c r="M980" s="15">
        <v>10</v>
      </c>
      <c r="N980" s="16">
        <f t="shared" si="105"/>
        <v>-10</v>
      </c>
      <c r="O980" s="18">
        <f t="shared" si="104"/>
        <v>0</v>
      </c>
      <c r="P980" s="19">
        <f t="shared" si="106"/>
        <v>0</v>
      </c>
      <c r="Q980" s="16">
        <f>IF(COUNTIF($B$2:B980,B980)=1,SUMIF($B$2:$B$1097,B980,$L$2:$L$1097),"")</f>
        <v>0</v>
      </c>
      <c r="R980" s="16">
        <f>AVERAGE(Q960:Q980)</f>
        <v>383.16666666666669</v>
      </c>
    </row>
    <row r="981" spans="1:18" ht="12.75" x14ac:dyDescent="0.2">
      <c r="A981" s="3">
        <v>980</v>
      </c>
      <c r="B981" s="26">
        <v>45252</v>
      </c>
      <c r="C981" s="23" t="s">
        <v>42</v>
      </c>
      <c r="D981" s="4">
        <v>5</v>
      </c>
      <c r="E981" s="24" t="s">
        <v>40</v>
      </c>
      <c r="F981" s="5" t="s">
        <v>10</v>
      </c>
      <c r="G981" s="5" t="s">
        <v>11</v>
      </c>
      <c r="H981" s="5" t="s">
        <v>44</v>
      </c>
      <c r="I981" s="5" t="s">
        <v>15</v>
      </c>
      <c r="J981" s="5" t="s">
        <v>14</v>
      </c>
      <c r="K981" s="6">
        <v>0</v>
      </c>
      <c r="L981" s="15">
        <v>0</v>
      </c>
      <c r="M981" s="15">
        <v>10</v>
      </c>
      <c r="N981" s="16">
        <f t="shared" si="105"/>
        <v>-10</v>
      </c>
      <c r="O981" s="18">
        <f t="shared" si="104"/>
        <v>0</v>
      </c>
      <c r="P981" s="19">
        <f t="shared" si="106"/>
        <v>0</v>
      </c>
      <c r="Q981" s="16" t="str">
        <f>IF(COUNTIF($B$2:B981,B981)=1,SUMIF($B$2:$B$1097,B981,$L$2:$L$1097),"")</f>
        <v/>
      </c>
    </row>
    <row r="982" spans="1:18" ht="12.75" x14ac:dyDescent="0.2">
      <c r="A982" s="3">
        <v>981</v>
      </c>
      <c r="B982" s="26">
        <v>45252</v>
      </c>
      <c r="C982" s="23" t="s">
        <v>42</v>
      </c>
      <c r="D982" s="4">
        <v>5</v>
      </c>
      <c r="E982" s="24" t="s">
        <v>40</v>
      </c>
      <c r="F982" s="5" t="s">
        <v>10</v>
      </c>
      <c r="G982" s="5" t="s">
        <v>11</v>
      </c>
      <c r="H982" s="5" t="s">
        <v>44</v>
      </c>
      <c r="I982" s="5" t="s">
        <v>16</v>
      </c>
      <c r="J982" s="5" t="s">
        <v>14</v>
      </c>
      <c r="K982" s="6">
        <v>0</v>
      </c>
      <c r="L982" s="15">
        <v>0</v>
      </c>
      <c r="M982" s="15">
        <v>10</v>
      </c>
      <c r="N982" s="16">
        <f t="shared" si="105"/>
        <v>-10</v>
      </c>
      <c r="O982" s="18">
        <f t="shared" si="104"/>
        <v>0</v>
      </c>
      <c r="P982" s="19">
        <f t="shared" si="106"/>
        <v>0</v>
      </c>
      <c r="Q982" s="16" t="str">
        <f>IF(COUNTIF($B$2:B982,B982)=1,SUMIF($B$2:$B$1097,B982,$L$2:$L$1097),"")</f>
        <v/>
      </c>
    </row>
    <row r="983" spans="1:18" ht="12.75" x14ac:dyDescent="0.2">
      <c r="A983" s="3">
        <v>982</v>
      </c>
      <c r="B983" s="26">
        <v>45252</v>
      </c>
      <c r="C983" s="23" t="s">
        <v>42</v>
      </c>
      <c r="D983" s="4">
        <v>5</v>
      </c>
      <c r="E983" s="24" t="s">
        <v>40</v>
      </c>
      <c r="F983" s="5" t="s">
        <v>10</v>
      </c>
      <c r="G983" s="5" t="s">
        <v>11</v>
      </c>
      <c r="H983" s="5" t="s">
        <v>44</v>
      </c>
      <c r="I983" s="5" t="s">
        <v>17</v>
      </c>
      <c r="J983" s="5" t="s">
        <v>14</v>
      </c>
      <c r="K983" s="6">
        <v>0</v>
      </c>
      <c r="L983" s="15">
        <v>0</v>
      </c>
      <c r="M983" s="15">
        <v>10</v>
      </c>
      <c r="N983" s="16">
        <f t="shared" si="105"/>
        <v>-10</v>
      </c>
      <c r="O983" s="18">
        <f t="shared" si="104"/>
        <v>0</v>
      </c>
      <c r="P983" s="19">
        <f t="shared" si="106"/>
        <v>0</v>
      </c>
      <c r="Q983" s="16" t="str">
        <f>IF(COUNTIF($B$2:B983,B983)=1,SUMIF($B$2:$B$1097,B983,$L$2:$L$1097),"")</f>
        <v/>
      </c>
    </row>
    <row r="984" spans="1:18" ht="12.75" x14ac:dyDescent="0.2">
      <c r="A984" s="3">
        <v>983</v>
      </c>
      <c r="B984" s="26">
        <v>45253</v>
      </c>
      <c r="C984" s="23" t="s">
        <v>42</v>
      </c>
      <c r="D984" s="4">
        <v>6</v>
      </c>
      <c r="E984" s="24" t="s">
        <v>40</v>
      </c>
      <c r="F984" s="5" t="s">
        <v>11</v>
      </c>
      <c r="G984" s="5" t="s">
        <v>10</v>
      </c>
      <c r="H984" s="5" t="s">
        <v>45</v>
      </c>
      <c r="I984" s="5" t="s">
        <v>13</v>
      </c>
      <c r="J984" s="5" t="s">
        <v>52</v>
      </c>
      <c r="K984" s="6">
        <v>23</v>
      </c>
      <c r="L984" s="15">
        <v>229</v>
      </c>
      <c r="M984" s="15">
        <f t="shared" ca="1" si="108"/>
        <v>37</v>
      </c>
      <c r="N984" s="16">
        <f t="shared" ca="1" si="105"/>
        <v>192</v>
      </c>
      <c r="O984" s="18">
        <f t="shared" ca="1" si="104"/>
        <v>0.83842794759825323</v>
      </c>
      <c r="P984" s="19">
        <f t="shared" si="106"/>
        <v>9.9565217391304355</v>
      </c>
      <c r="Q984" s="16">
        <f>IF(COUNTIF($B$2:B984,B984)=1,SUMIF($B$2:$B$1097,B984,$L$2:$L$1097),"")</f>
        <v>947</v>
      </c>
      <c r="R984" s="16">
        <f>AVERAGE(Q964:Q984)</f>
        <v>434.66666666666669</v>
      </c>
    </row>
    <row r="985" spans="1:18" ht="12.75" x14ac:dyDescent="0.2">
      <c r="A985" s="3">
        <v>984</v>
      </c>
      <c r="B985" s="26">
        <v>45253</v>
      </c>
      <c r="C985" s="23" t="s">
        <v>42</v>
      </c>
      <c r="D985" s="4">
        <v>6</v>
      </c>
      <c r="E985" s="24" t="s">
        <v>40</v>
      </c>
      <c r="F985" s="5" t="s">
        <v>11</v>
      </c>
      <c r="G985" s="5" t="s">
        <v>10</v>
      </c>
      <c r="H985" s="5" t="s">
        <v>45</v>
      </c>
      <c r="I985" s="5" t="s">
        <v>15</v>
      </c>
      <c r="J985" s="5" t="s">
        <v>55</v>
      </c>
      <c r="K985" s="6">
        <v>26</v>
      </c>
      <c r="L985" s="15">
        <v>246</v>
      </c>
      <c r="M985" s="15">
        <f t="shared" ca="1" si="108"/>
        <v>47</v>
      </c>
      <c r="N985" s="16">
        <f t="shared" ca="1" si="105"/>
        <v>199</v>
      </c>
      <c r="O985" s="18">
        <f t="shared" ca="1" si="104"/>
        <v>0.80894308943089432</v>
      </c>
      <c r="P985" s="19">
        <f t="shared" si="106"/>
        <v>9.4615384615384617</v>
      </c>
      <c r="Q985" s="16" t="str">
        <f>IF(COUNTIF($B$2:B985,B985)=1,SUMIF($B$2:$B$1097,B985,$L$2:$L$1097),"")</f>
        <v/>
      </c>
    </row>
    <row r="986" spans="1:18" ht="12.75" x14ac:dyDescent="0.2">
      <c r="A986" s="3">
        <v>985</v>
      </c>
      <c r="B986" s="26">
        <v>45253</v>
      </c>
      <c r="C986" s="23" t="s">
        <v>42</v>
      </c>
      <c r="D986" s="4">
        <v>6</v>
      </c>
      <c r="E986" s="24" t="s">
        <v>40</v>
      </c>
      <c r="F986" s="5" t="s">
        <v>11</v>
      </c>
      <c r="G986" s="5" t="s">
        <v>10</v>
      </c>
      <c r="H986" s="5" t="s">
        <v>45</v>
      </c>
      <c r="I986" s="5" t="s">
        <v>16</v>
      </c>
      <c r="J986" s="5" t="s">
        <v>55</v>
      </c>
      <c r="K986" s="6">
        <v>23</v>
      </c>
      <c r="L986" s="15">
        <v>237</v>
      </c>
      <c r="M986" s="15">
        <f t="shared" ca="1" si="108"/>
        <v>15</v>
      </c>
      <c r="N986" s="16">
        <f t="shared" ca="1" si="105"/>
        <v>222</v>
      </c>
      <c r="O986" s="18">
        <f t="shared" ca="1" si="104"/>
        <v>0.93670886075949367</v>
      </c>
      <c r="P986" s="19">
        <f t="shared" si="106"/>
        <v>10.304347826086957</v>
      </c>
      <c r="Q986" s="16" t="str">
        <f>IF(COUNTIF($B$2:B986,B986)=1,SUMIF($B$2:$B$1097,B986,$L$2:$L$1097),"")</f>
        <v/>
      </c>
    </row>
    <row r="987" spans="1:18" ht="12.75" x14ac:dyDescent="0.2">
      <c r="A987" s="3">
        <v>986</v>
      </c>
      <c r="B987" s="26">
        <v>45253</v>
      </c>
      <c r="C987" s="23" t="s">
        <v>42</v>
      </c>
      <c r="D987" s="4">
        <v>6</v>
      </c>
      <c r="E987" s="24" t="s">
        <v>40</v>
      </c>
      <c r="F987" s="5" t="s">
        <v>11</v>
      </c>
      <c r="G987" s="5" t="s">
        <v>10</v>
      </c>
      <c r="H987" s="5" t="s">
        <v>45</v>
      </c>
      <c r="I987" s="5" t="s">
        <v>17</v>
      </c>
      <c r="J987" s="5" t="s">
        <v>53</v>
      </c>
      <c r="K987" s="6">
        <v>25</v>
      </c>
      <c r="L987" s="15">
        <v>235</v>
      </c>
      <c r="M987" s="15">
        <f t="shared" ca="1" si="108"/>
        <v>15</v>
      </c>
      <c r="N987" s="16">
        <f t="shared" ca="1" si="105"/>
        <v>220</v>
      </c>
      <c r="O987" s="18">
        <f t="shared" ca="1" si="104"/>
        <v>0.93617021276595747</v>
      </c>
      <c r="P987" s="19">
        <f t="shared" si="106"/>
        <v>9.4</v>
      </c>
      <c r="Q987" s="16" t="str">
        <f>IF(COUNTIF($B$2:B987,B987)=1,SUMIF($B$2:$B$1097,B987,$L$2:$L$1097),"")</f>
        <v/>
      </c>
    </row>
    <row r="988" spans="1:18" ht="12.75" x14ac:dyDescent="0.2">
      <c r="A988" s="3">
        <v>987</v>
      </c>
      <c r="B988" s="26">
        <v>45254</v>
      </c>
      <c r="C988" s="23" t="s">
        <v>42</v>
      </c>
      <c r="D988" s="4">
        <v>7</v>
      </c>
      <c r="E988" s="24" t="s">
        <v>40</v>
      </c>
      <c r="F988" s="5" t="s">
        <v>11</v>
      </c>
      <c r="G988" s="5" t="s">
        <v>10</v>
      </c>
      <c r="H988" s="5" t="s">
        <v>45</v>
      </c>
      <c r="I988" s="5" t="s">
        <v>13</v>
      </c>
      <c r="J988" s="5" t="s">
        <v>56</v>
      </c>
      <c r="K988" s="6">
        <v>28</v>
      </c>
      <c r="L988" s="15">
        <v>244</v>
      </c>
      <c r="M988" s="15">
        <f t="shared" ca="1" si="108"/>
        <v>13</v>
      </c>
      <c r="N988" s="16">
        <f t="shared" ca="1" si="105"/>
        <v>231</v>
      </c>
      <c r="O988" s="18">
        <f t="shared" ca="1" si="104"/>
        <v>0.94672131147540983</v>
      </c>
      <c r="P988" s="19">
        <f t="shared" si="106"/>
        <v>8.7142857142857135</v>
      </c>
      <c r="Q988" s="16">
        <f>IF(COUNTIF($B$2:B988,B988)=1,SUMIF($B$2:$B$1097,B988,$L$2:$L$1097),"")</f>
        <v>244</v>
      </c>
      <c r="R988" s="16">
        <f t="shared" ref="R988:R989" si="109">AVERAGE(Q968:Q988)</f>
        <v>438.66666666666669</v>
      </c>
    </row>
    <row r="989" spans="1:18" ht="12.75" x14ac:dyDescent="0.2">
      <c r="A989" s="3">
        <v>988</v>
      </c>
      <c r="B989" s="26">
        <v>45256</v>
      </c>
      <c r="C989" s="23" t="s">
        <v>42</v>
      </c>
      <c r="D989" s="4">
        <v>2</v>
      </c>
      <c r="E989" s="24" t="s">
        <v>40</v>
      </c>
      <c r="F989" s="5" t="s">
        <v>11</v>
      </c>
      <c r="G989" s="5" t="s">
        <v>10</v>
      </c>
      <c r="H989" s="5" t="s">
        <v>45</v>
      </c>
      <c r="I989" s="5" t="s">
        <v>13</v>
      </c>
      <c r="J989" s="5" t="s">
        <v>52</v>
      </c>
      <c r="K989" s="6">
        <v>24</v>
      </c>
      <c r="L989" s="15">
        <v>232</v>
      </c>
      <c r="M989" s="15">
        <f t="shared" ca="1" si="108"/>
        <v>3</v>
      </c>
      <c r="N989" s="16">
        <f t="shared" ca="1" si="105"/>
        <v>229</v>
      </c>
      <c r="O989" s="18">
        <f t="shared" ca="1" si="104"/>
        <v>0.98706896551724133</v>
      </c>
      <c r="P989" s="19">
        <f t="shared" si="106"/>
        <v>9.6666666666666661</v>
      </c>
      <c r="Q989" s="16">
        <f>IF(COUNTIF($B$2:B989,B989)=1,SUMIF($B$2:$B$1097,B989,$L$2:$L$1097),"")</f>
        <v>917</v>
      </c>
      <c r="R989" s="16">
        <f t="shared" si="109"/>
        <v>498</v>
      </c>
    </row>
    <row r="990" spans="1:18" ht="12.75" x14ac:dyDescent="0.2">
      <c r="A990" s="3">
        <v>989</v>
      </c>
      <c r="B990" s="26">
        <v>45256</v>
      </c>
      <c r="C990" s="23" t="s">
        <v>42</v>
      </c>
      <c r="D990" s="4">
        <v>2</v>
      </c>
      <c r="E990" s="24" t="s">
        <v>40</v>
      </c>
      <c r="F990" s="5" t="s">
        <v>11</v>
      </c>
      <c r="G990" s="5" t="s">
        <v>10</v>
      </c>
      <c r="H990" s="5" t="s">
        <v>45</v>
      </c>
      <c r="I990" s="5" t="s">
        <v>15</v>
      </c>
      <c r="J990" s="5" t="s">
        <v>54</v>
      </c>
      <c r="K990" s="6">
        <v>24</v>
      </c>
      <c r="L990" s="15">
        <v>208</v>
      </c>
      <c r="M990" s="15">
        <f t="shared" ca="1" si="108"/>
        <v>20</v>
      </c>
      <c r="N990" s="16">
        <f t="shared" ca="1" si="105"/>
        <v>188</v>
      </c>
      <c r="O990" s="18">
        <f t="shared" ca="1" si="104"/>
        <v>0.90384615384615385</v>
      </c>
      <c r="P990" s="19">
        <f t="shared" si="106"/>
        <v>8.6666666666666661</v>
      </c>
      <c r="Q990" s="16" t="str">
        <f>IF(COUNTIF($B$2:B990,B990)=1,SUMIF($B$2:$B$1097,B990,$L$2:$L$1097),"")</f>
        <v/>
      </c>
    </row>
    <row r="991" spans="1:18" ht="12.75" x14ac:dyDescent="0.2">
      <c r="A991" s="3">
        <v>990</v>
      </c>
      <c r="B991" s="26">
        <v>45256</v>
      </c>
      <c r="C991" s="23" t="s">
        <v>42</v>
      </c>
      <c r="D991" s="4">
        <v>2</v>
      </c>
      <c r="E991" s="24" t="s">
        <v>40</v>
      </c>
      <c r="F991" s="5" t="s">
        <v>11</v>
      </c>
      <c r="G991" s="5" t="s">
        <v>10</v>
      </c>
      <c r="H991" s="5" t="s">
        <v>45</v>
      </c>
      <c r="I991" s="5" t="s">
        <v>16</v>
      </c>
      <c r="J991" s="5" t="s">
        <v>54</v>
      </c>
      <c r="K991" s="6">
        <v>25</v>
      </c>
      <c r="L991" s="15">
        <v>251</v>
      </c>
      <c r="M991" s="15">
        <f t="shared" ca="1" si="108"/>
        <v>32</v>
      </c>
      <c r="N991" s="16">
        <f t="shared" ca="1" si="105"/>
        <v>219</v>
      </c>
      <c r="O991" s="18">
        <f t="shared" ca="1" si="104"/>
        <v>0.87250996015936255</v>
      </c>
      <c r="P991" s="19">
        <f t="shared" si="106"/>
        <v>10.039999999999999</v>
      </c>
      <c r="Q991" s="16" t="str">
        <f>IF(COUNTIF($B$2:B991,B991)=1,SUMIF($B$2:$B$1097,B991,$L$2:$L$1097),"")</f>
        <v/>
      </c>
    </row>
    <row r="992" spans="1:18" ht="12.75" x14ac:dyDescent="0.2">
      <c r="A992" s="3">
        <v>991</v>
      </c>
      <c r="B992" s="26">
        <v>45256</v>
      </c>
      <c r="C992" s="23" t="s">
        <v>42</v>
      </c>
      <c r="D992" s="4">
        <v>2</v>
      </c>
      <c r="E992" s="24" t="s">
        <v>40</v>
      </c>
      <c r="F992" s="5" t="s">
        <v>11</v>
      </c>
      <c r="G992" s="5" t="s">
        <v>10</v>
      </c>
      <c r="H992" s="5" t="s">
        <v>45</v>
      </c>
      <c r="I992" s="5" t="s">
        <v>17</v>
      </c>
      <c r="J992" s="5" t="s">
        <v>54</v>
      </c>
      <c r="K992" s="6">
        <v>22</v>
      </c>
      <c r="L992" s="15">
        <v>226</v>
      </c>
      <c r="M992" s="15">
        <f t="shared" ca="1" si="108"/>
        <v>25</v>
      </c>
      <c r="N992" s="16">
        <f t="shared" ca="1" si="105"/>
        <v>201</v>
      </c>
      <c r="O992" s="18">
        <f t="shared" ca="1" si="104"/>
        <v>0.88938053097345138</v>
      </c>
      <c r="P992" s="19">
        <f t="shared" si="106"/>
        <v>10.272727272727273</v>
      </c>
      <c r="Q992" s="16" t="str">
        <f>IF(COUNTIF($B$2:B992,B992)=1,SUMIF($B$2:$B$1097,B992,$L$2:$L$1097),"")</f>
        <v/>
      </c>
    </row>
    <row r="993" spans="1:18" ht="12.75" x14ac:dyDescent="0.2">
      <c r="A993" s="3">
        <v>992</v>
      </c>
      <c r="B993" s="26">
        <v>45257</v>
      </c>
      <c r="C993" s="23" t="s">
        <v>42</v>
      </c>
      <c r="D993" s="4">
        <v>3</v>
      </c>
      <c r="E993" s="24" t="s">
        <v>40</v>
      </c>
      <c r="F993" s="5" t="s">
        <v>11</v>
      </c>
      <c r="G993" s="5" t="s">
        <v>10</v>
      </c>
      <c r="H993" s="5" t="s">
        <v>45</v>
      </c>
      <c r="I993" s="5" t="s">
        <v>13</v>
      </c>
      <c r="J993" s="5" t="s">
        <v>56</v>
      </c>
      <c r="K993" s="6">
        <v>24</v>
      </c>
      <c r="L993" s="15">
        <v>208</v>
      </c>
      <c r="M993" s="15">
        <f t="shared" ca="1" si="108"/>
        <v>45</v>
      </c>
      <c r="N993" s="16">
        <f t="shared" ca="1" si="105"/>
        <v>163</v>
      </c>
      <c r="O993" s="18">
        <f t="shared" ca="1" si="104"/>
        <v>0.78365384615384615</v>
      </c>
      <c r="P993" s="19">
        <f t="shared" si="106"/>
        <v>8.6666666666666661</v>
      </c>
      <c r="Q993" s="16">
        <f>IF(COUNTIF($B$2:B993,B993)=1,SUMIF($B$2:$B$1097,B993,$L$2:$L$1097),"")</f>
        <v>778</v>
      </c>
      <c r="R993" s="16">
        <f>AVERAGE(Q973:Q993)</f>
        <v>548.83333333333337</v>
      </c>
    </row>
    <row r="994" spans="1:18" ht="12.75" x14ac:dyDescent="0.2">
      <c r="A994" s="3">
        <v>993</v>
      </c>
      <c r="B994" s="26">
        <v>45257</v>
      </c>
      <c r="C994" s="23" t="s">
        <v>42</v>
      </c>
      <c r="D994" s="4">
        <v>3</v>
      </c>
      <c r="E994" s="24" t="s">
        <v>40</v>
      </c>
      <c r="F994" s="5" t="s">
        <v>11</v>
      </c>
      <c r="G994" s="5" t="s">
        <v>10</v>
      </c>
      <c r="H994" s="5" t="s">
        <v>45</v>
      </c>
      <c r="I994" s="5" t="s">
        <v>15</v>
      </c>
      <c r="J994" s="5" t="s">
        <v>56</v>
      </c>
      <c r="K994" s="6">
        <v>19</v>
      </c>
      <c r="L994" s="15">
        <v>185</v>
      </c>
      <c r="M994" s="15">
        <f t="shared" ca="1" si="108"/>
        <v>34</v>
      </c>
      <c r="N994" s="16">
        <f t="shared" ca="1" si="105"/>
        <v>151</v>
      </c>
      <c r="O994" s="18">
        <f t="shared" ca="1" si="104"/>
        <v>0.81621621621621621</v>
      </c>
      <c r="P994" s="19">
        <f t="shared" si="106"/>
        <v>9.7368421052631575</v>
      </c>
      <c r="Q994" s="16" t="str">
        <f>IF(COUNTIF($B$2:B994,B994)=1,SUMIF($B$2:$B$1097,B994,$L$2:$L$1097),"")</f>
        <v/>
      </c>
    </row>
    <row r="995" spans="1:18" ht="12.75" x14ac:dyDescent="0.2">
      <c r="A995" s="3">
        <v>994</v>
      </c>
      <c r="B995" s="26">
        <v>45257</v>
      </c>
      <c r="C995" s="23" t="s">
        <v>42</v>
      </c>
      <c r="D995" s="4">
        <v>3</v>
      </c>
      <c r="E995" s="24" t="s">
        <v>40</v>
      </c>
      <c r="F995" s="5" t="s">
        <v>11</v>
      </c>
      <c r="G995" s="5" t="s">
        <v>10</v>
      </c>
      <c r="H995" s="5" t="s">
        <v>45</v>
      </c>
      <c r="I995" s="5" t="s">
        <v>16</v>
      </c>
      <c r="J995" s="5" t="s">
        <v>55</v>
      </c>
      <c r="K995" s="6">
        <v>23</v>
      </c>
      <c r="L995" s="15">
        <v>197</v>
      </c>
      <c r="M995" s="15">
        <f t="shared" ca="1" si="108"/>
        <v>33</v>
      </c>
      <c r="N995" s="16">
        <f t="shared" ca="1" si="105"/>
        <v>164</v>
      </c>
      <c r="O995" s="18">
        <f t="shared" ca="1" si="104"/>
        <v>0.8324873096446701</v>
      </c>
      <c r="P995" s="19">
        <f t="shared" si="106"/>
        <v>8.5652173913043477</v>
      </c>
      <c r="Q995" s="16" t="str">
        <f>IF(COUNTIF($B$2:B995,B995)=1,SUMIF($B$2:$B$1097,B995,$L$2:$L$1097),"")</f>
        <v/>
      </c>
    </row>
    <row r="996" spans="1:18" ht="12.75" x14ac:dyDescent="0.2">
      <c r="A996" s="3">
        <v>995</v>
      </c>
      <c r="B996" s="26">
        <v>45257</v>
      </c>
      <c r="C996" s="23" t="s">
        <v>42</v>
      </c>
      <c r="D996" s="4">
        <v>3</v>
      </c>
      <c r="E996" s="24" t="s">
        <v>40</v>
      </c>
      <c r="F996" s="5" t="s">
        <v>11</v>
      </c>
      <c r="G996" s="5" t="s">
        <v>10</v>
      </c>
      <c r="H996" s="5" t="s">
        <v>45</v>
      </c>
      <c r="I996" s="5" t="s">
        <v>17</v>
      </c>
      <c r="J996" s="5" t="s">
        <v>53</v>
      </c>
      <c r="K996" s="6">
        <v>20</v>
      </c>
      <c r="L996" s="15">
        <v>188</v>
      </c>
      <c r="M996" s="15">
        <f t="shared" ca="1" si="108"/>
        <v>37</v>
      </c>
      <c r="N996" s="16">
        <f t="shared" ca="1" si="105"/>
        <v>151</v>
      </c>
      <c r="O996" s="18">
        <f t="shared" ca="1" si="104"/>
        <v>0.80319148936170215</v>
      </c>
      <c r="P996" s="19">
        <f t="shared" si="106"/>
        <v>9.4</v>
      </c>
      <c r="Q996" s="16" t="str">
        <f>IF(COUNTIF($B$2:B996,B996)=1,SUMIF($B$2:$B$1097,B996,$L$2:$L$1097),"")</f>
        <v/>
      </c>
    </row>
    <row r="997" spans="1:18" ht="12.75" x14ac:dyDescent="0.2">
      <c r="A997" s="3">
        <v>996</v>
      </c>
      <c r="B997" s="26">
        <v>45258</v>
      </c>
      <c r="C997" s="23" t="s">
        <v>42</v>
      </c>
      <c r="D997" s="4">
        <v>4</v>
      </c>
      <c r="E997" s="24" t="s">
        <v>40</v>
      </c>
      <c r="F997" s="5" t="s">
        <v>11</v>
      </c>
      <c r="G997" s="5" t="s">
        <v>10</v>
      </c>
      <c r="H997" s="5" t="s">
        <v>45</v>
      </c>
      <c r="I997" s="5" t="s">
        <v>13</v>
      </c>
      <c r="J997" s="5" t="s">
        <v>52</v>
      </c>
      <c r="K997" s="6">
        <v>20</v>
      </c>
      <c r="L997" s="15">
        <v>180</v>
      </c>
      <c r="M997" s="15">
        <f t="shared" ca="1" si="108"/>
        <v>8</v>
      </c>
      <c r="N997" s="16">
        <f t="shared" ca="1" si="105"/>
        <v>172</v>
      </c>
      <c r="O997" s="18">
        <f t="shared" ca="1" si="104"/>
        <v>0.9555555555555556</v>
      </c>
      <c r="P997" s="19">
        <f t="shared" si="106"/>
        <v>9</v>
      </c>
      <c r="Q997" s="16">
        <f>IF(COUNTIF($B$2:B997,B997)=1,SUMIF($B$2:$B$1097,B997,$L$2:$L$1097),"")</f>
        <v>747</v>
      </c>
      <c r="R997" s="16">
        <f>AVERAGE(Q977:Q997)</f>
        <v>605.5</v>
      </c>
    </row>
    <row r="998" spans="1:18" ht="12.75" x14ac:dyDescent="0.2">
      <c r="A998" s="3">
        <v>997</v>
      </c>
      <c r="B998" s="26">
        <v>45258</v>
      </c>
      <c r="C998" s="23" t="s">
        <v>42</v>
      </c>
      <c r="D998" s="4">
        <v>4</v>
      </c>
      <c r="E998" s="24" t="s">
        <v>40</v>
      </c>
      <c r="F998" s="5" t="s">
        <v>11</v>
      </c>
      <c r="G998" s="5" t="s">
        <v>10</v>
      </c>
      <c r="H998" s="5" t="s">
        <v>45</v>
      </c>
      <c r="I998" s="5" t="s">
        <v>15</v>
      </c>
      <c r="J998" s="5" t="s">
        <v>54</v>
      </c>
      <c r="K998" s="6">
        <v>23</v>
      </c>
      <c r="L998" s="15">
        <v>213</v>
      </c>
      <c r="M998" s="15">
        <f t="shared" ca="1" si="108"/>
        <v>22</v>
      </c>
      <c r="N998" s="16">
        <f t="shared" ca="1" si="105"/>
        <v>191</v>
      </c>
      <c r="O998" s="18">
        <f t="shared" ca="1" si="104"/>
        <v>0.89671361502347413</v>
      </c>
      <c r="P998" s="19">
        <f t="shared" si="106"/>
        <v>9.2608695652173907</v>
      </c>
      <c r="Q998" s="16" t="str">
        <f>IF(COUNTIF($B$2:B998,B998)=1,SUMIF($B$2:$B$1097,B998,$L$2:$L$1097),"")</f>
        <v/>
      </c>
    </row>
    <row r="999" spans="1:18" ht="12.75" x14ac:dyDescent="0.2">
      <c r="A999" s="3">
        <v>998</v>
      </c>
      <c r="B999" s="26">
        <v>45258</v>
      </c>
      <c r="C999" s="23" t="s">
        <v>42</v>
      </c>
      <c r="D999" s="4">
        <v>4</v>
      </c>
      <c r="E999" s="24" t="s">
        <v>40</v>
      </c>
      <c r="F999" s="5" t="s">
        <v>11</v>
      </c>
      <c r="G999" s="5" t="s">
        <v>10</v>
      </c>
      <c r="H999" s="5" t="s">
        <v>45</v>
      </c>
      <c r="I999" s="5" t="s">
        <v>16</v>
      </c>
      <c r="J999" s="5" t="s">
        <v>54</v>
      </c>
      <c r="K999" s="6">
        <v>21</v>
      </c>
      <c r="L999" s="15">
        <v>191</v>
      </c>
      <c r="M999" s="15">
        <f t="shared" ca="1" si="108"/>
        <v>10</v>
      </c>
      <c r="N999" s="16">
        <f t="shared" ca="1" si="105"/>
        <v>181</v>
      </c>
      <c r="O999" s="18">
        <f t="shared" ca="1" si="104"/>
        <v>0.94764397905759157</v>
      </c>
      <c r="P999" s="19">
        <f t="shared" si="106"/>
        <v>9.0952380952380949</v>
      </c>
      <c r="Q999" s="16" t="str">
        <f>IF(COUNTIF($B$2:B999,B999)=1,SUMIF($B$2:$B$1097,B999,$L$2:$L$1097),"")</f>
        <v/>
      </c>
    </row>
    <row r="1000" spans="1:18" ht="12.75" x14ac:dyDescent="0.2">
      <c r="A1000" s="3">
        <v>999</v>
      </c>
      <c r="B1000" s="26">
        <v>45258</v>
      </c>
      <c r="C1000" s="23" t="s">
        <v>42</v>
      </c>
      <c r="D1000" s="4">
        <v>4</v>
      </c>
      <c r="E1000" s="24" t="s">
        <v>40</v>
      </c>
      <c r="F1000" s="5" t="s">
        <v>11</v>
      </c>
      <c r="G1000" s="5" t="s">
        <v>10</v>
      </c>
      <c r="H1000" s="5" t="s">
        <v>45</v>
      </c>
      <c r="I1000" s="5" t="s">
        <v>17</v>
      </c>
      <c r="J1000" s="5" t="s">
        <v>54</v>
      </c>
      <c r="K1000" s="6">
        <v>17</v>
      </c>
      <c r="L1000" s="15">
        <v>163</v>
      </c>
      <c r="M1000" s="15">
        <f t="shared" ca="1" si="108"/>
        <v>27</v>
      </c>
      <c r="N1000" s="16">
        <f t="shared" ca="1" si="105"/>
        <v>136</v>
      </c>
      <c r="O1000" s="18">
        <f t="shared" ca="1" si="104"/>
        <v>0.83435582822085885</v>
      </c>
      <c r="P1000" s="19">
        <f t="shared" si="106"/>
        <v>9.5882352941176467</v>
      </c>
      <c r="Q1000" s="16" t="str">
        <f>IF(COUNTIF($B$2:B1000,B1000)=1,SUMIF($B$2:$B$1097,B1000,$L$2:$L$1097),"")</f>
        <v/>
      </c>
    </row>
    <row r="1001" spans="1:18" ht="12.75" x14ac:dyDescent="0.2">
      <c r="A1001" s="3">
        <v>1000</v>
      </c>
      <c r="B1001" s="26">
        <v>45259</v>
      </c>
      <c r="C1001" s="23" t="s">
        <v>42</v>
      </c>
      <c r="D1001" s="4">
        <v>5</v>
      </c>
      <c r="E1001" s="24" t="s">
        <v>40</v>
      </c>
      <c r="F1001" s="5" t="s">
        <v>11</v>
      </c>
      <c r="G1001" s="5" t="s">
        <v>10</v>
      </c>
      <c r="H1001" s="5" t="s">
        <v>45</v>
      </c>
      <c r="I1001" s="5" t="s">
        <v>13</v>
      </c>
      <c r="J1001" s="5" t="s">
        <v>56</v>
      </c>
      <c r="K1001" s="6">
        <v>25</v>
      </c>
      <c r="L1001" s="15">
        <v>219</v>
      </c>
      <c r="M1001" s="15">
        <f t="shared" ca="1" si="108"/>
        <v>19</v>
      </c>
      <c r="N1001" s="16">
        <f t="shared" ca="1" si="105"/>
        <v>200</v>
      </c>
      <c r="O1001" s="18">
        <f t="shared" ca="1" si="104"/>
        <v>0.91324200913242004</v>
      </c>
      <c r="P1001" s="19">
        <f t="shared" si="106"/>
        <v>8.76</v>
      </c>
      <c r="Q1001" s="16">
        <f>IF(COUNTIF($B$2:B1001,B1001)=1,SUMIF($B$2:$B$1097,B1001,$L$2:$L$1097),"")</f>
        <v>783</v>
      </c>
      <c r="R1001" s="16">
        <f>AVERAGE(Q981:Q1001)</f>
        <v>736</v>
      </c>
    </row>
    <row r="1002" spans="1:18" ht="12.75" x14ac:dyDescent="0.2">
      <c r="A1002" s="3">
        <v>1001</v>
      </c>
      <c r="B1002" s="26">
        <v>45259</v>
      </c>
      <c r="C1002" s="23" t="s">
        <v>42</v>
      </c>
      <c r="D1002" s="4">
        <v>5</v>
      </c>
      <c r="E1002" s="24" t="s">
        <v>40</v>
      </c>
      <c r="F1002" s="5" t="s">
        <v>11</v>
      </c>
      <c r="G1002" s="5" t="s">
        <v>10</v>
      </c>
      <c r="H1002" s="5" t="s">
        <v>45</v>
      </c>
      <c r="I1002" s="5" t="s">
        <v>15</v>
      </c>
      <c r="J1002" s="5" t="s">
        <v>56</v>
      </c>
      <c r="K1002" s="6">
        <v>21</v>
      </c>
      <c r="L1002" s="15">
        <v>199</v>
      </c>
      <c r="M1002" s="15">
        <f t="shared" ca="1" si="108"/>
        <v>21</v>
      </c>
      <c r="N1002" s="16">
        <f t="shared" ca="1" si="105"/>
        <v>178</v>
      </c>
      <c r="O1002" s="18">
        <f t="shared" ca="1" si="104"/>
        <v>0.89447236180904521</v>
      </c>
      <c r="P1002" s="19">
        <f t="shared" si="106"/>
        <v>9.4761904761904763</v>
      </c>
      <c r="Q1002" s="16" t="str">
        <f>IF(COUNTIF($B$2:B1002,B1002)=1,SUMIF($B$2:$B$1097,B1002,$L$2:$L$1097),"")</f>
        <v/>
      </c>
    </row>
    <row r="1003" spans="1:18" ht="12.75" x14ac:dyDescent="0.2">
      <c r="A1003" s="3">
        <v>1002</v>
      </c>
      <c r="B1003" s="26">
        <v>45259</v>
      </c>
      <c r="C1003" s="23" t="s">
        <v>42</v>
      </c>
      <c r="D1003" s="4">
        <v>5</v>
      </c>
      <c r="E1003" s="24" t="s">
        <v>40</v>
      </c>
      <c r="F1003" s="5" t="s">
        <v>11</v>
      </c>
      <c r="G1003" s="5" t="s">
        <v>10</v>
      </c>
      <c r="H1003" s="5" t="s">
        <v>45</v>
      </c>
      <c r="I1003" s="5" t="s">
        <v>16</v>
      </c>
      <c r="J1003" s="5" t="s">
        <v>55</v>
      </c>
      <c r="K1003" s="6">
        <v>20</v>
      </c>
      <c r="L1003" s="15">
        <v>180</v>
      </c>
      <c r="M1003" s="15">
        <f t="shared" ca="1" si="108"/>
        <v>12</v>
      </c>
      <c r="N1003" s="16">
        <f t="shared" ca="1" si="105"/>
        <v>168</v>
      </c>
      <c r="O1003" s="18">
        <f t="shared" ca="1" si="104"/>
        <v>0.93333333333333335</v>
      </c>
      <c r="P1003" s="19">
        <f t="shared" si="106"/>
        <v>9</v>
      </c>
      <c r="Q1003" s="16" t="str">
        <f>IF(COUNTIF($B$2:B1003,B1003)=1,SUMIF($B$2:$B$1097,B1003,$L$2:$L$1097),"")</f>
        <v/>
      </c>
    </row>
    <row r="1004" spans="1:18" ht="12.75" x14ac:dyDescent="0.2">
      <c r="A1004" s="3">
        <v>1003</v>
      </c>
      <c r="B1004" s="26">
        <v>45259</v>
      </c>
      <c r="C1004" s="23" t="s">
        <v>42</v>
      </c>
      <c r="D1004" s="4">
        <v>5</v>
      </c>
      <c r="E1004" s="24" t="s">
        <v>40</v>
      </c>
      <c r="F1004" s="5" t="s">
        <v>11</v>
      </c>
      <c r="G1004" s="5" t="s">
        <v>10</v>
      </c>
      <c r="H1004" s="5" t="s">
        <v>45</v>
      </c>
      <c r="I1004" s="5" t="s">
        <v>17</v>
      </c>
      <c r="J1004" s="5" t="s">
        <v>53</v>
      </c>
      <c r="K1004" s="6">
        <v>19</v>
      </c>
      <c r="L1004" s="15">
        <v>185</v>
      </c>
      <c r="M1004" s="15">
        <f t="shared" ca="1" si="108"/>
        <v>5</v>
      </c>
      <c r="N1004" s="16">
        <f t="shared" ca="1" si="105"/>
        <v>180</v>
      </c>
      <c r="O1004" s="18">
        <f t="shared" ca="1" si="104"/>
        <v>0.97297297297297303</v>
      </c>
      <c r="P1004" s="19">
        <f t="shared" si="106"/>
        <v>9.7368421052631575</v>
      </c>
      <c r="Q1004" s="16" t="str">
        <f>IF(COUNTIF($B$2:B1004,B1004)=1,SUMIF($B$2:$B$1097,B1004,$L$2:$L$1097),"")</f>
        <v/>
      </c>
    </row>
    <row r="1005" spans="1:18" ht="12.75" x14ac:dyDescent="0.2">
      <c r="A1005" s="3">
        <v>1004</v>
      </c>
      <c r="B1005" s="26">
        <v>45260</v>
      </c>
      <c r="C1005" s="23" t="s">
        <v>42</v>
      </c>
      <c r="D1005" s="4">
        <v>6</v>
      </c>
      <c r="E1005" s="24" t="s">
        <v>40</v>
      </c>
      <c r="F1005" s="5" t="s">
        <v>11</v>
      </c>
      <c r="G1005" s="5" t="s">
        <v>10</v>
      </c>
      <c r="H1005" s="5" t="s">
        <v>45</v>
      </c>
      <c r="I1005" s="5" t="s">
        <v>13</v>
      </c>
      <c r="J1005" s="5" t="s">
        <v>52</v>
      </c>
      <c r="K1005" s="6">
        <v>27</v>
      </c>
      <c r="L1005" s="15">
        <v>257</v>
      </c>
      <c r="M1005" s="15">
        <f t="shared" ca="1" si="108"/>
        <v>32</v>
      </c>
      <c r="N1005" s="16">
        <f t="shared" ca="1" si="105"/>
        <v>225</v>
      </c>
      <c r="O1005" s="18">
        <f t="shared" ca="1" si="104"/>
        <v>0.8754863813229572</v>
      </c>
      <c r="P1005" s="19">
        <f t="shared" si="106"/>
        <v>9.518518518518519</v>
      </c>
      <c r="Q1005" s="16">
        <f>IF(COUNTIF($B$2:B1005,B1005)=1,SUMIF($B$2:$B$1097,B1005,$L$2:$L$1097),"")</f>
        <v>937</v>
      </c>
      <c r="R1005" s="16">
        <f>AVERAGE(Q985:Q1005)</f>
        <v>734.33333333333337</v>
      </c>
    </row>
    <row r="1006" spans="1:18" ht="12.75" x14ac:dyDescent="0.2">
      <c r="A1006" s="3">
        <v>1005</v>
      </c>
      <c r="B1006" s="26">
        <v>45260</v>
      </c>
      <c r="C1006" s="23" t="s">
        <v>42</v>
      </c>
      <c r="D1006" s="4">
        <v>6</v>
      </c>
      <c r="E1006" s="24" t="s">
        <v>40</v>
      </c>
      <c r="F1006" s="5" t="s">
        <v>11</v>
      </c>
      <c r="G1006" s="5" t="s">
        <v>10</v>
      </c>
      <c r="H1006" s="5" t="s">
        <v>45</v>
      </c>
      <c r="I1006" s="5" t="s">
        <v>15</v>
      </c>
      <c r="J1006" s="5" t="s">
        <v>55</v>
      </c>
      <c r="K1006" s="6">
        <v>24</v>
      </c>
      <c r="L1006" s="15">
        <v>248</v>
      </c>
      <c r="M1006" s="15">
        <f t="shared" ca="1" si="108"/>
        <v>16</v>
      </c>
      <c r="N1006" s="16">
        <f t="shared" ca="1" si="105"/>
        <v>232</v>
      </c>
      <c r="O1006" s="18">
        <f t="shared" ca="1" si="104"/>
        <v>0.93548387096774188</v>
      </c>
      <c r="P1006" s="19">
        <f t="shared" si="106"/>
        <v>10.333333333333334</v>
      </c>
      <c r="Q1006" s="16" t="str">
        <f>IF(COUNTIF($B$2:B1006,B1006)=1,SUMIF($B$2:$B$1097,B1006,$L$2:$L$1097),"")</f>
        <v/>
      </c>
    </row>
    <row r="1007" spans="1:18" ht="12.75" x14ac:dyDescent="0.2">
      <c r="A1007" s="3">
        <v>1006</v>
      </c>
      <c r="B1007" s="26">
        <v>45260</v>
      </c>
      <c r="C1007" s="23" t="s">
        <v>42</v>
      </c>
      <c r="D1007" s="4">
        <v>6</v>
      </c>
      <c r="E1007" s="24" t="s">
        <v>40</v>
      </c>
      <c r="F1007" s="5" t="s">
        <v>11</v>
      </c>
      <c r="G1007" s="5" t="s">
        <v>10</v>
      </c>
      <c r="H1007" s="5" t="s">
        <v>45</v>
      </c>
      <c r="I1007" s="5" t="s">
        <v>16</v>
      </c>
      <c r="J1007" s="5" t="s">
        <v>55</v>
      </c>
      <c r="K1007" s="6">
        <v>25</v>
      </c>
      <c r="L1007" s="15">
        <v>219</v>
      </c>
      <c r="M1007" s="15">
        <f t="shared" ca="1" si="108"/>
        <v>17</v>
      </c>
      <c r="N1007" s="16">
        <f t="shared" ca="1" si="105"/>
        <v>202</v>
      </c>
      <c r="O1007" s="18">
        <f t="shared" ca="1" si="104"/>
        <v>0.92237442922374424</v>
      </c>
      <c r="P1007" s="19">
        <f t="shared" si="106"/>
        <v>8.76</v>
      </c>
      <c r="Q1007" s="16" t="str">
        <f>IF(COUNTIF($B$2:B1007,B1007)=1,SUMIF($B$2:$B$1097,B1007,$L$2:$L$1097),"")</f>
        <v/>
      </c>
    </row>
    <row r="1008" spans="1:18" ht="12.75" x14ac:dyDescent="0.2">
      <c r="A1008" s="3">
        <v>1007</v>
      </c>
      <c r="B1008" s="26">
        <v>45260</v>
      </c>
      <c r="C1008" s="23" t="s">
        <v>42</v>
      </c>
      <c r="D1008" s="4">
        <v>6</v>
      </c>
      <c r="E1008" s="24" t="s">
        <v>40</v>
      </c>
      <c r="F1008" s="5" t="s">
        <v>11</v>
      </c>
      <c r="G1008" s="5" t="s">
        <v>10</v>
      </c>
      <c r="H1008" s="5" t="s">
        <v>45</v>
      </c>
      <c r="I1008" s="5" t="s">
        <v>17</v>
      </c>
      <c r="J1008" s="5" t="s">
        <v>53</v>
      </c>
      <c r="K1008" s="6">
        <v>23</v>
      </c>
      <c r="L1008" s="15">
        <v>213</v>
      </c>
      <c r="M1008" s="15">
        <f t="shared" ca="1" si="108"/>
        <v>1</v>
      </c>
      <c r="N1008" s="16">
        <f t="shared" ca="1" si="105"/>
        <v>212</v>
      </c>
      <c r="O1008" s="18">
        <f t="shared" ca="1" si="104"/>
        <v>0.99530516431924887</v>
      </c>
      <c r="P1008" s="19">
        <f t="shared" si="106"/>
        <v>9.2608695652173907</v>
      </c>
      <c r="Q1008" s="16" t="str">
        <f>IF(COUNTIF($B$2:B1008,B1008)=1,SUMIF($B$2:$B$1097,B1008,$L$2:$L$1097),"")</f>
        <v/>
      </c>
    </row>
    <row r="1009" spans="1:18" ht="12.75" x14ac:dyDescent="0.2">
      <c r="A1009" s="3">
        <v>1008</v>
      </c>
      <c r="B1009" s="26">
        <v>45261</v>
      </c>
      <c r="C1009" s="23" t="s">
        <v>46</v>
      </c>
      <c r="D1009" s="4">
        <v>7</v>
      </c>
      <c r="E1009" s="24" t="s">
        <v>40</v>
      </c>
      <c r="F1009" s="5" t="s">
        <v>11</v>
      </c>
      <c r="G1009" s="5" t="s">
        <v>10</v>
      </c>
      <c r="H1009" s="5" t="s">
        <v>45</v>
      </c>
      <c r="I1009" s="5" t="s">
        <v>13</v>
      </c>
      <c r="J1009" s="5" t="s">
        <v>56</v>
      </c>
      <c r="K1009" s="6">
        <v>25</v>
      </c>
      <c r="L1009" s="15">
        <v>243</v>
      </c>
      <c r="M1009" s="15">
        <f t="shared" ca="1" si="108"/>
        <v>36</v>
      </c>
      <c r="N1009" s="16">
        <f t="shared" ca="1" si="105"/>
        <v>207</v>
      </c>
      <c r="O1009" s="18">
        <f t="shared" ca="1" si="104"/>
        <v>0.85185185185185186</v>
      </c>
      <c r="P1009" s="19">
        <f t="shared" si="106"/>
        <v>9.7200000000000006</v>
      </c>
      <c r="Q1009" s="16">
        <f>IF(COUNTIF($B$2:B1009,B1009)=1,SUMIF($B$2:$B$1097,B1009,$L$2:$L$1097),"")</f>
        <v>243</v>
      </c>
      <c r="R1009" s="16">
        <f t="shared" ref="R1009:R1010" si="110">AVERAGE(Q989:Q1009)</f>
        <v>734.16666666666663</v>
      </c>
    </row>
    <row r="1010" spans="1:18" ht="12.75" x14ac:dyDescent="0.2">
      <c r="A1010" s="3">
        <v>1009</v>
      </c>
      <c r="B1010" s="26">
        <v>45263</v>
      </c>
      <c r="C1010" s="23" t="s">
        <v>46</v>
      </c>
      <c r="D1010" s="4">
        <v>2</v>
      </c>
      <c r="E1010" s="24" t="s">
        <v>40</v>
      </c>
      <c r="F1010" s="5" t="s">
        <v>11</v>
      </c>
      <c r="G1010" s="5" t="s">
        <v>11</v>
      </c>
      <c r="H1010" s="5" t="s">
        <v>14</v>
      </c>
      <c r="I1010" s="5" t="s">
        <v>13</v>
      </c>
      <c r="J1010" s="5" t="s">
        <v>52</v>
      </c>
      <c r="K1010" s="6">
        <v>20</v>
      </c>
      <c r="L1010" s="15">
        <v>220</v>
      </c>
      <c r="M1010" s="15">
        <f t="shared" ca="1" si="108"/>
        <v>30</v>
      </c>
      <c r="N1010" s="16">
        <f t="shared" ca="1" si="105"/>
        <v>190</v>
      </c>
      <c r="O1010" s="18">
        <f t="shared" ca="1" si="104"/>
        <v>0.86363636363636365</v>
      </c>
      <c r="P1010" s="19">
        <f t="shared" si="106"/>
        <v>11</v>
      </c>
      <c r="Q1010" s="16">
        <f>IF(COUNTIF($B$2:B1010,B1010)=1,SUMIF($B$2:$B$1097,B1010,$L$2:$L$1097),"")</f>
        <v>594</v>
      </c>
      <c r="R1010" s="16">
        <f t="shared" si="110"/>
        <v>680.33333333333337</v>
      </c>
    </row>
    <row r="1011" spans="1:18" ht="12.75" x14ac:dyDescent="0.2">
      <c r="A1011" s="3">
        <v>1010</v>
      </c>
      <c r="B1011" s="26">
        <v>45263</v>
      </c>
      <c r="C1011" s="23" t="s">
        <v>46</v>
      </c>
      <c r="D1011" s="4">
        <v>2</v>
      </c>
      <c r="E1011" s="24" t="s">
        <v>40</v>
      </c>
      <c r="F1011" s="5" t="s">
        <v>11</v>
      </c>
      <c r="G1011" s="5" t="s">
        <v>11</v>
      </c>
      <c r="H1011" s="5" t="s">
        <v>14</v>
      </c>
      <c r="I1011" s="5" t="s">
        <v>15</v>
      </c>
      <c r="J1011" s="5" t="s">
        <v>54</v>
      </c>
      <c r="K1011" s="6">
        <v>11</v>
      </c>
      <c r="L1011" s="15">
        <v>121</v>
      </c>
      <c r="M1011" s="15">
        <f t="shared" ca="1" si="108"/>
        <v>19</v>
      </c>
      <c r="N1011" s="16">
        <f t="shared" ca="1" si="105"/>
        <v>102</v>
      </c>
      <c r="O1011" s="18">
        <f t="shared" ca="1" si="104"/>
        <v>0.84297520661157022</v>
      </c>
      <c r="P1011" s="19">
        <f t="shared" si="106"/>
        <v>11</v>
      </c>
      <c r="Q1011" s="16" t="str">
        <f>IF(COUNTIF($B$2:B1011,B1011)=1,SUMIF($B$2:$B$1097,B1011,$L$2:$L$1097),"")</f>
        <v/>
      </c>
    </row>
    <row r="1012" spans="1:18" ht="12.75" x14ac:dyDescent="0.2">
      <c r="A1012" s="3">
        <v>1011</v>
      </c>
      <c r="B1012" s="26">
        <v>45263</v>
      </c>
      <c r="C1012" s="23" t="s">
        <v>46</v>
      </c>
      <c r="D1012" s="4">
        <v>2</v>
      </c>
      <c r="E1012" s="24" t="s">
        <v>40</v>
      </c>
      <c r="F1012" s="5" t="s">
        <v>11</v>
      </c>
      <c r="G1012" s="5" t="s">
        <v>11</v>
      </c>
      <c r="H1012" s="5" t="s">
        <v>14</v>
      </c>
      <c r="I1012" s="5" t="s">
        <v>16</v>
      </c>
      <c r="J1012" s="5" t="s">
        <v>54</v>
      </c>
      <c r="K1012" s="6">
        <v>9</v>
      </c>
      <c r="L1012" s="15">
        <v>99</v>
      </c>
      <c r="M1012" s="15">
        <f t="shared" ca="1" si="108"/>
        <v>44</v>
      </c>
      <c r="N1012" s="16">
        <f t="shared" ca="1" si="105"/>
        <v>55</v>
      </c>
      <c r="O1012" s="18">
        <f t="shared" ca="1" si="104"/>
        <v>0.55555555555555558</v>
      </c>
      <c r="P1012" s="19">
        <f t="shared" si="106"/>
        <v>11</v>
      </c>
      <c r="Q1012" s="16" t="str">
        <f>IF(COUNTIF($B$2:B1012,B1012)=1,SUMIF($B$2:$B$1097,B1012,$L$2:$L$1097),"")</f>
        <v/>
      </c>
    </row>
    <row r="1013" spans="1:18" ht="12.75" x14ac:dyDescent="0.2">
      <c r="A1013" s="3">
        <v>1012</v>
      </c>
      <c r="B1013" s="26">
        <v>45263</v>
      </c>
      <c r="C1013" s="23" t="s">
        <v>46</v>
      </c>
      <c r="D1013" s="4">
        <v>2</v>
      </c>
      <c r="E1013" s="24" t="s">
        <v>40</v>
      </c>
      <c r="F1013" s="5" t="s">
        <v>11</v>
      </c>
      <c r="G1013" s="5" t="s">
        <v>11</v>
      </c>
      <c r="H1013" s="5" t="s">
        <v>14</v>
      </c>
      <c r="I1013" s="5" t="s">
        <v>17</v>
      </c>
      <c r="J1013" s="5" t="s">
        <v>54</v>
      </c>
      <c r="K1013" s="6">
        <v>14</v>
      </c>
      <c r="L1013" s="15">
        <v>154</v>
      </c>
      <c r="M1013" s="15">
        <f t="shared" ca="1" si="108"/>
        <v>2</v>
      </c>
      <c r="N1013" s="16">
        <f t="shared" ca="1" si="105"/>
        <v>152</v>
      </c>
      <c r="O1013" s="18">
        <f t="shared" ca="1" si="104"/>
        <v>0.98701298701298701</v>
      </c>
      <c r="P1013" s="19">
        <f t="shared" si="106"/>
        <v>11</v>
      </c>
      <c r="Q1013" s="16" t="str">
        <f>IF(COUNTIF($B$2:B1013,B1013)=1,SUMIF($B$2:$B$1097,B1013,$L$2:$L$1097),"")</f>
        <v/>
      </c>
    </row>
    <row r="1014" spans="1:18" ht="12.75" x14ac:dyDescent="0.2">
      <c r="A1014" s="3">
        <v>1013</v>
      </c>
      <c r="B1014" s="26">
        <v>45264</v>
      </c>
      <c r="C1014" s="23" t="s">
        <v>46</v>
      </c>
      <c r="D1014" s="4">
        <v>3</v>
      </c>
      <c r="E1014" s="24" t="s">
        <v>40</v>
      </c>
      <c r="F1014" s="5" t="s">
        <v>11</v>
      </c>
      <c r="G1014" s="5" t="s">
        <v>11</v>
      </c>
      <c r="H1014" s="5" t="s">
        <v>14</v>
      </c>
      <c r="I1014" s="5" t="s">
        <v>13</v>
      </c>
      <c r="J1014" s="5" t="s">
        <v>56</v>
      </c>
      <c r="K1014" s="6">
        <v>18</v>
      </c>
      <c r="L1014" s="15">
        <v>198</v>
      </c>
      <c r="M1014" s="15">
        <f t="shared" ca="1" si="108"/>
        <v>25</v>
      </c>
      <c r="N1014" s="16">
        <f t="shared" ca="1" si="105"/>
        <v>173</v>
      </c>
      <c r="O1014" s="18">
        <f t="shared" ca="1" si="104"/>
        <v>0.8737373737373737</v>
      </c>
      <c r="P1014" s="19">
        <f t="shared" si="106"/>
        <v>11</v>
      </c>
      <c r="Q1014" s="16">
        <f>IF(COUNTIF($B$2:B1014,B1014)=1,SUMIF($B$2:$B$1097,B1014,$L$2:$L$1097),"")</f>
        <v>506</v>
      </c>
      <c r="R1014" s="16">
        <f>AVERAGE(Q994:Q1014)</f>
        <v>635</v>
      </c>
    </row>
    <row r="1015" spans="1:18" ht="12.75" x14ac:dyDescent="0.2">
      <c r="A1015" s="3">
        <v>1014</v>
      </c>
      <c r="B1015" s="26">
        <v>45264</v>
      </c>
      <c r="C1015" s="23" t="s">
        <v>46</v>
      </c>
      <c r="D1015" s="4">
        <v>3</v>
      </c>
      <c r="E1015" s="24" t="s">
        <v>40</v>
      </c>
      <c r="F1015" s="5" t="s">
        <v>11</v>
      </c>
      <c r="G1015" s="5" t="s">
        <v>11</v>
      </c>
      <c r="H1015" s="5" t="s">
        <v>14</v>
      </c>
      <c r="I1015" s="5" t="s">
        <v>15</v>
      </c>
      <c r="J1015" s="5" t="s">
        <v>56</v>
      </c>
      <c r="K1015" s="6">
        <v>10</v>
      </c>
      <c r="L1015" s="15">
        <v>110</v>
      </c>
      <c r="M1015" s="15">
        <f t="shared" ca="1" si="108"/>
        <v>47</v>
      </c>
      <c r="N1015" s="16">
        <f t="shared" ca="1" si="105"/>
        <v>63</v>
      </c>
      <c r="O1015" s="18">
        <f t="shared" ca="1" si="104"/>
        <v>0.57272727272727275</v>
      </c>
      <c r="P1015" s="19">
        <f t="shared" si="106"/>
        <v>11</v>
      </c>
      <c r="Q1015" s="16" t="str">
        <f>IF(COUNTIF($B$2:B1015,B1015)=1,SUMIF($B$2:$B$1097,B1015,$L$2:$L$1097),"")</f>
        <v/>
      </c>
    </row>
    <row r="1016" spans="1:18" ht="12.75" x14ac:dyDescent="0.2">
      <c r="A1016" s="3">
        <v>1015</v>
      </c>
      <c r="B1016" s="26">
        <v>45264</v>
      </c>
      <c r="C1016" s="23" t="s">
        <v>46</v>
      </c>
      <c r="D1016" s="4">
        <v>3</v>
      </c>
      <c r="E1016" s="24" t="s">
        <v>40</v>
      </c>
      <c r="F1016" s="5" t="s">
        <v>11</v>
      </c>
      <c r="G1016" s="5" t="s">
        <v>11</v>
      </c>
      <c r="H1016" s="5" t="s">
        <v>14</v>
      </c>
      <c r="I1016" s="5" t="s">
        <v>16</v>
      </c>
      <c r="J1016" s="5" t="s">
        <v>55</v>
      </c>
      <c r="K1016" s="6">
        <v>5</v>
      </c>
      <c r="L1016" s="15">
        <v>55</v>
      </c>
      <c r="M1016" s="15">
        <f t="shared" ca="1" si="108"/>
        <v>11</v>
      </c>
      <c r="N1016" s="16">
        <f t="shared" ca="1" si="105"/>
        <v>44</v>
      </c>
      <c r="O1016" s="18">
        <f t="shared" ca="1" si="104"/>
        <v>0.8</v>
      </c>
      <c r="P1016" s="19">
        <f t="shared" si="106"/>
        <v>11</v>
      </c>
      <c r="Q1016" s="16" t="str">
        <f>IF(COUNTIF($B$2:B1016,B1016)=1,SUMIF($B$2:$B$1097,B1016,$L$2:$L$1097),"")</f>
        <v/>
      </c>
    </row>
    <row r="1017" spans="1:18" ht="12.75" x14ac:dyDescent="0.2">
      <c r="A1017" s="3">
        <v>1016</v>
      </c>
      <c r="B1017" s="26">
        <v>45264</v>
      </c>
      <c r="C1017" s="23" t="s">
        <v>46</v>
      </c>
      <c r="D1017" s="4">
        <v>3</v>
      </c>
      <c r="E1017" s="24" t="s">
        <v>40</v>
      </c>
      <c r="F1017" s="5" t="s">
        <v>11</v>
      </c>
      <c r="G1017" s="5" t="s">
        <v>11</v>
      </c>
      <c r="H1017" s="5" t="s">
        <v>14</v>
      </c>
      <c r="I1017" s="5" t="s">
        <v>17</v>
      </c>
      <c r="J1017" s="5" t="s">
        <v>53</v>
      </c>
      <c r="K1017" s="6">
        <v>13</v>
      </c>
      <c r="L1017" s="15">
        <v>143</v>
      </c>
      <c r="M1017" s="15">
        <f t="shared" ca="1" si="108"/>
        <v>30</v>
      </c>
      <c r="N1017" s="16">
        <f t="shared" ca="1" si="105"/>
        <v>113</v>
      </c>
      <c r="O1017" s="18">
        <f t="shared" ca="1" si="104"/>
        <v>0.79020979020979021</v>
      </c>
      <c r="P1017" s="19">
        <f t="shared" si="106"/>
        <v>11</v>
      </c>
      <c r="Q1017" s="16" t="str">
        <f>IF(COUNTIF($B$2:B1017,B1017)=1,SUMIF($B$2:$B$1097,B1017,$L$2:$L$1097),"")</f>
        <v/>
      </c>
    </row>
    <row r="1018" spans="1:18" ht="12.75" x14ac:dyDescent="0.2">
      <c r="A1018" s="3">
        <v>1017</v>
      </c>
      <c r="B1018" s="26">
        <v>45265</v>
      </c>
      <c r="C1018" s="23" t="s">
        <v>46</v>
      </c>
      <c r="D1018" s="4">
        <v>4</v>
      </c>
      <c r="E1018" s="24" t="s">
        <v>40</v>
      </c>
      <c r="F1018" s="5" t="s">
        <v>11</v>
      </c>
      <c r="G1018" s="5" t="s">
        <v>11</v>
      </c>
      <c r="H1018" s="5" t="s">
        <v>14</v>
      </c>
      <c r="I1018" s="5" t="s">
        <v>13</v>
      </c>
      <c r="J1018" s="5" t="s">
        <v>52</v>
      </c>
      <c r="K1018" s="6">
        <v>16</v>
      </c>
      <c r="L1018" s="15">
        <v>176</v>
      </c>
      <c r="M1018" s="15">
        <f t="shared" ca="1" si="108"/>
        <v>50</v>
      </c>
      <c r="N1018" s="16">
        <f t="shared" ca="1" si="105"/>
        <v>126</v>
      </c>
      <c r="O1018" s="18">
        <f t="shared" ca="1" si="104"/>
        <v>0.71590909090909094</v>
      </c>
      <c r="P1018" s="19">
        <f t="shared" si="106"/>
        <v>11</v>
      </c>
      <c r="Q1018" s="16">
        <f>IF(COUNTIF($B$2:B1018,B1018)=1,SUMIF($B$2:$B$1097,B1018,$L$2:$L$1097),"")</f>
        <v>418</v>
      </c>
      <c r="R1018" s="16">
        <f>AVERAGE(Q998:Q1018)</f>
        <v>580.16666666666663</v>
      </c>
    </row>
    <row r="1019" spans="1:18" ht="12.75" x14ac:dyDescent="0.2">
      <c r="A1019" s="3">
        <v>1018</v>
      </c>
      <c r="B1019" s="26">
        <v>45265</v>
      </c>
      <c r="C1019" s="23" t="s">
        <v>46</v>
      </c>
      <c r="D1019" s="4">
        <v>4</v>
      </c>
      <c r="E1019" s="24" t="s">
        <v>40</v>
      </c>
      <c r="F1019" s="5" t="s">
        <v>11</v>
      </c>
      <c r="G1019" s="5" t="s">
        <v>11</v>
      </c>
      <c r="H1019" s="5" t="s">
        <v>14</v>
      </c>
      <c r="I1019" s="5" t="s">
        <v>15</v>
      </c>
      <c r="J1019" s="5" t="s">
        <v>54</v>
      </c>
      <c r="K1019" s="6">
        <v>8</v>
      </c>
      <c r="L1019" s="15">
        <v>88</v>
      </c>
      <c r="M1019" s="15">
        <f t="shared" ca="1" si="108"/>
        <v>34</v>
      </c>
      <c r="N1019" s="16">
        <f t="shared" ca="1" si="105"/>
        <v>54</v>
      </c>
      <c r="O1019" s="18">
        <f t="shared" ca="1" si="104"/>
        <v>0.61363636363636365</v>
      </c>
      <c r="P1019" s="19">
        <f t="shared" si="106"/>
        <v>11</v>
      </c>
      <c r="Q1019" s="16" t="str">
        <f>IF(COUNTIF($B$2:B1019,B1019)=1,SUMIF($B$2:$B$1097,B1019,$L$2:$L$1097),"")</f>
        <v/>
      </c>
    </row>
    <row r="1020" spans="1:18" ht="12.75" x14ac:dyDescent="0.2">
      <c r="A1020" s="3">
        <v>1019</v>
      </c>
      <c r="B1020" s="26">
        <v>45265</v>
      </c>
      <c r="C1020" s="23" t="s">
        <v>46</v>
      </c>
      <c r="D1020" s="4">
        <v>4</v>
      </c>
      <c r="E1020" s="24" t="s">
        <v>40</v>
      </c>
      <c r="F1020" s="5" t="s">
        <v>11</v>
      </c>
      <c r="G1020" s="5" t="s">
        <v>11</v>
      </c>
      <c r="H1020" s="5" t="s">
        <v>14</v>
      </c>
      <c r="I1020" s="5" t="s">
        <v>16</v>
      </c>
      <c r="J1020" s="5" t="s">
        <v>54</v>
      </c>
      <c r="K1020" s="6">
        <v>5</v>
      </c>
      <c r="L1020" s="15">
        <v>55</v>
      </c>
      <c r="M1020" s="15">
        <f t="shared" ca="1" si="108"/>
        <v>5</v>
      </c>
      <c r="N1020" s="16">
        <f t="shared" ca="1" si="105"/>
        <v>50</v>
      </c>
      <c r="O1020" s="18">
        <f t="shared" ca="1" si="104"/>
        <v>0.90909090909090906</v>
      </c>
      <c r="P1020" s="19">
        <f t="shared" si="106"/>
        <v>11</v>
      </c>
      <c r="Q1020" s="16" t="str">
        <f>IF(COUNTIF($B$2:B1020,B1020)=1,SUMIF($B$2:$B$1097,B1020,$L$2:$L$1097),"")</f>
        <v/>
      </c>
    </row>
    <row r="1021" spans="1:18" ht="12.75" x14ac:dyDescent="0.2">
      <c r="A1021" s="3">
        <v>1020</v>
      </c>
      <c r="B1021" s="26">
        <v>45265</v>
      </c>
      <c r="C1021" s="23" t="s">
        <v>46</v>
      </c>
      <c r="D1021" s="4">
        <v>4</v>
      </c>
      <c r="E1021" s="24" t="s">
        <v>40</v>
      </c>
      <c r="F1021" s="5" t="s">
        <v>11</v>
      </c>
      <c r="G1021" s="5" t="s">
        <v>11</v>
      </c>
      <c r="H1021" s="5" t="s">
        <v>14</v>
      </c>
      <c r="I1021" s="5" t="s">
        <v>17</v>
      </c>
      <c r="J1021" s="5" t="s">
        <v>54</v>
      </c>
      <c r="K1021" s="6">
        <v>9</v>
      </c>
      <c r="L1021" s="15">
        <v>99</v>
      </c>
      <c r="M1021" s="15">
        <f t="shared" ca="1" si="108"/>
        <v>16</v>
      </c>
      <c r="N1021" s="16">
        <f t="shared" ca="1" si="105"/>
        <v>83</v>
      </c>
      <c r="O1021" s="18">
        <f t="shared" ca="1" si="104"/>
        <v>0.83838383838383834</v>
      </c>
      <c r="P1021" s="19">
        <f t="shared" si="106"/>
        <v>11</v>
      </c>
      <c r="Q1021" s="16" t="str">
        <f>IF(COUNTIF($B$2:B1021,B1021)=1,SUMIF($B$2:$B$1097,B1021,$L$2:$L$1097),"")</f>
        <v/>
      </c>
    </row>
    <row r="1022" spans="1:18" ht="12.75" x14ac:dyDescent="0.2">
      <c r="A1022" s="3">
        <v>1021</v>
      </c>
      <c r="B1022" s="26">
        <v>45266</v>
      </c>
      <c r="C1022" s="23" t="s">
        <v>46</v>
      </c>
      <c r="D1022" s="4">
        <v>5</v>
      </c>
      <c r="E1022" s="24" t="s">
        <v>40</v>
      </c>
      <c r="F1022" s="5" t="s">
        <v>11</v>
      </c>
      <c r="G1022" s="5" t="s">
        <v>11</v>
      </c>
      <c r="H1022" s="5" t="s">
        <v>14</v>
      </c>
      <c r="I1022" s="5" t="s">
        <v>13</v>
      </c>
      <c r="J1022" s="5" t="s">
        <v>56</v>
      </c>
      <c r="K1022" s="6">
        <v>17</v>
      </c>
      <c r="L1022" s="15">
        <v>187</v>
      </c>
      <c r="M1022" s="15">
        <f t="shared" ca="1" si="108"/>
        <v>23</v>
      </c>
      <c r="N1022" s="16">
        <f t="shared" ca="1" si="105"/>
        <v>164</v>
      </c>
      <c r="O1022" s="18">
        <f t="shared" ca="1" si="104"/>
        <v>0.87700534759358284</v>
      </c>
      <c r="P1022" s="19">
        <f t="shared" si="106"/>
        <v>11</v>
      </c>
      <c r="Q1022" s="16">
        <f>IF(COUNTIF($B$2:B1022,B1022)=1,SUMIF($B$2:$B$1097,B1022,$L$2:$L$1097),"")</f>
        <v>528</v>
      </c>
      <c r="R1022" s="16">
        <f>AVERAGE(Q1002:Q1022)</f>
        <v>537.66666666666663</v>
      </c>
    </row>
    <row r="1023" spans="1:18" ht="12.75" x14ac:dyDescent="0.2">
      <c r="A1023" s="3">
        <v>1022</v>
      </c>
      <c r="B1023" s="26">
        <v>45266</v>
      </c>
      <c r="C1023" s="23" t="s">
        <v>46</v>
      </c>
      <c r="D1023" s="4">
        <v>5</v>
      </c>
      <c r="E1023" s="24" t="s">
        <v>40</v>
      </c>
      <c r="F1023" s="5" t="s">
        <v>11</v>
      </c>
      <c r="G1023" s="5" t="s">
        <v>11</v>
      </c>
      <c r="H1023" s="5" t="s">
        <v>14</v>
      </c>
      <c r="I1023" s="5" t="s">
        <v>15</v>
      </c>
      <c r="J1023" s="5" t="s">
        <v>56</v>
      </c>
      <c r="K1023" s="6">
        <v>13</v>
      </c>
      <c r="L1023" s="15">
        <v>143</v>
      </c>
      <c r="M1023" s="15">
        <f t="shared" ca="1" si="108"/>
        <v>38</v>
      </c>
      <c r="N1023" s="16">
        <f t="shared" ca="1" si="105"/>
        <v>105</v>
      </c>
      <c r="O1023" s="18">
        <f t="shared" ca="1" si="104"/>
        <v>0.73426573426573427</v>
      </c>
      <c r="P1023" s="19">
        <f t="shared" si="106"/>
        <v>11</v>
      </c>
      <c r="Q1023" s="16" t="str">
        <f>IF(COUNTIF($B$2:B1023,B1023)=1,SUMIF($B$2:$B$1097,B1023,$L$2:$L$1097),"")</f>
        <v/>
      </c>
    </row>
    <row r="1024" spans="1:18" ht="12.75" x14ac:dyDescent="0.2">
      <c r="A1024" s="3">
        <v>1023</v>
      </c>
      <c r="B1024" s="26">
        <v>45266</v>
      </c>
      <c r="C1024" s="23" t="s">
        <v>46</v>
      </c>
      <c r="D1024" s="4">
        <v>5</v>
      </c>
      <c r="E1024" s="24" t="s">
        <v>40</v>
      </c>
      <c r="F1024" s="5" t="s">
        <v>11</v>
      </c>
      <c r="G1024" s="5" t="s">
        <v>11</v>
      </c>
      <c r="H1024" s="5" t="s">
        <v>14</v>
      </c>
      <c r="I1024" s="5" t="s">
        <v>16</v>
      </c>
      <c r="J1024" s="5" t="s">
        <v>55</v>
      </c>
      <c r="K1024" s="6">
        <v>5</v>
      </c>
      <c r="L1024" s="15">
        <v>55</v>
      </c>
      <c r="M1024" s="15">
        <f t="shared" ca="1" si="108"/>
        <v>43</v>
      </c>
      <c r="N1024" s="16">
        <f t="shared" ca="1" si="105"/>
        <v>12</v>
      </c>
      <c r="O1024" s="18">
        <f t="shared" ca="1" si="104"/>
        <v>0.21818181818181817</v>
      </c>
      <c r="P1024" s="19">
        <f t="shared" si="106"/>
        <v>11</v>
      </c>
      <c r="Q1024" s="16" t="str">
        <f>IF(COUNTIF($B$2:B1024,B1024)=1,SUMIF($B$2:$B$1097,B1024,$L$2:$L$1097),"")</f>
        <v/>
      </c>
    </row>
    <row r="1025" spans="1:18" ht="12.75" x14ac:dyDescent="0.2">
      <c r="A1025" s="3">
        <v>1024</v>
      </c>
      <c r="B1025" s="26">
        <v>45266</v>
      </c>
      <c r="C1025" s="23" t="s">
        <v>46</v>
      </c>
      <c r="D1025" s="4">
        <v>5</v>
      </c>
      <c r="E1025" s="24" t="s">
        <v>40</v>
      </c>
      <c r="F1025" s="5" t="s">
        <v>11</v>
      </c>
      <c r="G1025" s="5" t="s">
        <v>11</v>
      </c>
      <c r="H1025" s="5" t="s">
        <v>14</v>
      </c>
      <c r="I1025" s="5" t="s">
        <v>17</v>
      </c>
      <c r="J1025" s="5" t="s">
        <v>53</v>
      </c>
      <c r="K1025" s="6">
        <v>13</v>
      </c>
      <c r="L1025" s="15">
        <v>143</v>
      </c>
      <c r="M1025" s="15">
        <f t="shared" ca="1" si="108"/>
        <v>30</v>
      </c>
      <c r="N1025" s="16">
        <f t="shared" ca="1" si="105"/>
        <v>113</v>
      </c>
      <c r="O1025" s="18">
        <f t="shared" ca="1" si="104"/>
        <v>0.79020979020979021</v>
      </c>
      <c r="P1025" s="19">
        <f t="shared" si="106"/>
        <v>11</v>
      </c>
      <c r="Q1025" s="16" t="str">
        <f>IF(COUNTIF($B$2:B1025,B1025)=1,SUMIF($B$2:$B$1097,B1025,$L$2:$L$1097),"")</f>
        <v/>
      </c>
    </row>
    <row r="1026" spans="1:18" ht="12.75" x14ac:dyDescent="0.2">
      <c r="A1026" s="3">
        <v>1025</v>
      </c>
      <c r="B1026" s="26">
        <v>45267</v>
      </c>
      <c r="C1026" s="23" t="s">
        <v>46</v>
      </c>
      <c r="D1026" s="4">
        <v>6</v>
      </c>
      <c r="E1026" s="24" t="s">
        <v>40</v>
      </c>
      <c r="F1026" s="5" t="s">
        <v>11</v>
      </c>
      <c r="G1026" s="5" t="s">
        <v>11</v>
      </c>
      <c r="H1026" s="5" t="s">
        <v>14</v>
      </c>
      <c r="I1026" s="5" t="s">
        <v>13</v>
      </c>
      <c r="J1026" s="5" t="s">
        <v>52</v>
      </c>
      <c r="K1026" s="6">
        <v>20</v>
      </c>
      <c r="L1026" s="15">
        <v>220</v>
      </c>
      <c r="M1026" s="15">
        <f t="shared" ca="1" si="108"/>
        <v>48</v>
      </c>
      <c r="N1026" s="16">
        <f t="shared" ca="1" si="105"/>
        <v>172</v>
      </c>
      <c r="O1026" s="18">
        <f t="shared" ref="O1026:O1089" ca="1" si="111">IF(L1026=0, 0, N1026/L1026)</f>
        <v>0.78181818181818186</v>
      </c>
      <c r="P1026" s="19">
        <f t="shared" si="106"/>
        <v>11</v>
      </c>
      <c r="Q1026" s="16">
        <f>IF(COUNTIF($B$2:B1026,B1026)=1,SUMIF($B$2:$B$1097,B1026,$L$2:$L$1097),"")</f>
        <v>594</v>
      </c>
      <c r="R1026" s="16">
        <f>AVERAGE(Q1006:Q1026)</f>
        <v>480.5</v>
      </c>
    </row>
    <row r="1027" spans="1:18" ht="12.75" x14ac:dyDescent="0.2">
      <c r="A1027" s="3">
        <v>1026</v>
      </c>
      <c r="B1027" s="26">
        <v>45267</v>
      </c>
      <c r="C1027" s="23" t="s">
        <v>46</v>
      </c>
      <c r="D1027" s="4">
        <v>6</v>
      </c>
      <c r="E1027" s="24" t="s">
        <v>40</v>
      </c>
      <c r="F1027" s="5" t="s">
        <v>11</v>
      </c>
      <c r="G1027" s="5" t="s">
        <v>11</v>
      </c>
      <c r="H1027" s="5" t="s">
        <v>14</v>
      </c>
      <c r="I1027" s="5" t="s">
        <v>15</v>
      </c>
      <c r="J1027" s="5" t="s">
        <v>55</v>
      </c>
      <c r="K1027" s="6">
        <v>10</v>
      </c>
      <c r="L1027" s="15">
        <v>110</v>
      </c>
      <c r="M1027" s="15">
        <f t="shared" ca="1" si="108"/>
        <v>50</v>
      </c>
      <c r="N1027" s="16">
        <f t="shared" ref="N1027:N1090" ca="1" si="112">L1027-M1027</f>
        <v>60</v>
      </c>
      <c r="O1027" s="18">
        <f t="shared" ca="1" si="111"/>
        <v>0.54545454545454541</v>
      </c>
      <c r="P1027" s="19">
        <f t="shared" ref="P1027:P1090" si="113">IF(K1027=0, 0, L1027/K1027)</f>
        <v>11</v>
      </c>
      <c r="Q1027" s="16" t="str">
        <f>IF(COUNTIF($B$2:B1027,B1027)=1,SUMIF($B$2:$B$1097,B1027,$L$2:$L$1097),"")</f>
        <v/>
      </c>
    </row>
    <row r="1028" spans="1:18" ht="12.75" x14ac:dyDescent="0.2">
      <c r="A1028" s="3">
        <v>1027</v>
      </c>
      <c r="B1028" s="26">
        <v>45267</v>
      </c>
      <c r="C1028" s="23" t="s">
        <v>46</v>
      </c>
      <c r="D1028" s="4">
        <v>6</v>
      </c>
      <c r="E1028" s="24" t="s">
        <v>40</v>
      </c>
      <c r="F1028" s="5" t="s">
        <v>11</v>
      </c>
      <c r="G1028" s="5" t="s">
        <v>11</v>
      </c>
      <c r="H1028" s="5" t="s">
        <v>14</v>
      </c>
      <c r="I1028" s="5" t="s">
        <v>16</v>
      </c>
      <c r="J1028" s="5" t="s">
        <v>55</v>
      </c>
      <c r="K1028" s="6">
        <v>9</v>
      </c>
      <c r="L1028" s="15">
        <v>99</v>
      </c>
      <c r="M1028" s="15">
        <f t="shared" ca="1" si="108"/>
        <v>24</v>
      </c>
      <c r="N1028" s="16">
        <f t="shared" ca="1" si="112"/>
        <v>75</v>
      </c>
      <c r="O1028" s="18">
        <f t="shared" ca="1" si="111"/>
        <v>0.75757575757575757</v>
      </c>
      <c r="P1028" s="19">
        <f t="shared" si="113"/>
        <v>11</v>
      </c>
      <c r="Q1028" s="16" t="str">
        <f>IF(COUNTIF($B$2:B1028,B1028)=1,SUMIF($B$2:$B$1097,B1028,$L$2:$L$1097),"")</f>
        <v/>
      </c>
    </row>
    <row r="1029" spans="1:18" ht="12.75" x14ac:dyDescent="0.2">
      <c r="A1029" s="3">
        <v>1028</v>
      </c>
      <c r="B1029" s="26">
        <v>45267</v>
      </c>
      <c r="C1029" s="23" t="s">
        <v>46</v>
      </c>
      <c r="D1029" s="4">
        <v>6</v>
      </c>
      <c r="E1029" s="24" t="s">
        <v>40</v>
      </c>
      <c r="F1029" s="5" t="s">
        <v>11</v>
      </c>
      <c r="G1029" s="5" t="s">
        <v>11</v>
      </c>
      <c r="H1029" s="5" t="s">
        <v>14</v>
      </c>
      <c r="I1029" s="5" t="s">
        <v>17</v>
      </c>
      <c r="J1029" s="5" t="s">
        <v>53</v>
      </c>
      <c r="K1029" s="6">
        <v>15</v>
      </c>
      <c r="L1029" s="15">
        <v>165</v>
      </c>
      <c r="M1029" s="15">
        <f t="shared" ca="1" si="108"/>
        <v>7</v>
      </c>
      <c r="N1029" s="16">
        <f t="shared" ca="1" si="112"/>
        <v>158</v>
      </c>
      <c r="O1029" s="18">
        <f t="shared" ca="1" si="111"/>
        <v>0.95757575757575752</v>
      </c>
      <c r="P1029" s="19">
        <f t="shared" si="113"/>
        <v>11</v>
      </c>
      <c r="Q1029" s="16" t="str">
        <f>IF(COUNTIF($B$2:B1029,B1029)=1,SUMIF($B$2:$B$1097,B1029,$L$2:$L$1097),"")</f>
        <v/>
      </c>
    </row>
    <row r="1030" spans="1:18" ht="12.75" x14ac:dyDescent="0.2">
      <c r="A1030" s="3">
        <v>1029</v>
      </c>
      <c r="B1030" s="26">
        <v>45268</v>
      </c>
      <c r="C1030" s="23" t="s">
        <v>46</v>
      </c>
      <c r="D1030" s="4">
        <v>7</v>
      </c>
      <c r="E1030" s="24" t="s">
        <v>40</v>
      </c>
      <c r="F1030" s="5" t="s">
        <v>11</v>
      </c>
      <c r="G1030" s="5" t="s">
        <v>11</v>
      </c>
      <c r="H1030" s="5" t="s">
        <v>14</v>
      </c>
      <c r="I1030" s="5" t="s">
        <v>13</v>
      </c>
      <c r="J1030" s="5" t="s">
        <v>56</v>
      </c>
      <c r="K1030" s="6">
        <v>21</v>
      </c>
      <c r="L1030" s="15">
        <v>231</v>
      </c>
      <c r="M1030" s="15">
        <f t="shared" ca="1" si="108"/>
        <v>39</v>
      </c>
      <c r="N1030" s="16">
        <f t="shared" ca="1" si="112"/>
        <v>192</v>
      </c>
      <c r="O1030" s="18">
        <f t="shared" ca="1" si="111"/>
        <v>0.83116883116883122</v>
      </c>
      <c r="P1030" s="19">
        <f t="shared" si="113"/>
        <v>11</v>
      </c>
      <c r="Q1030" s="16">
        <f>IF(COUNTIF($B$2:B1030,B1030)=1,SUMIF($B$2:$B$1097,B1030,$L$2:$L$1097),"")</f>
        <v>231</v>
      </c>
      <c r="R1030" s="16">
        <f t="shared" ref="R1030:R1031" si="114">AVERAGE(Q1010:Q1030)</f>
        <v>478.5</v>
      </c>
    </row>
    <row r="1031" spans="1:18" ht="12.75" x14ac:dyDescent="0.2">
      <c r="A1031" s="3">
        <v>1030</v>
      </c>
      <c r="B1031" s="26">
        <v>45270</v>
      </c>
      <c r="C1031" s="23" t="s">
        <v>46</v>
      </c>
      <c r="D1031" s="4">
        <v>2</v>
      </c>
      <c r="E1031" s="24" t="s">
        <v>40</v>
      </c>
      <c r="F1031" s="5" t="s">
        <v>11</v>
      </c>
      <c r="G1031" s="5" t="s">
        <v>11</v>
      </c>
      <c r="H1031" s="5" t="s">
        <v>14</v>
      </c>
      <c r="I1031" s="5" t="s">
        <v>13</v>
      </c>
      <c r="J1031" s="5" t="s">
        <v>52</v>
      </c>
      <c r="K1031" s="6">
        <v>20</v>
      </c>
      <c r="L1031" s="15">
        <v>220</v>
      </c>
      <c r="M1031" s="15">
        <f t="shared" ca="1" si="108"/>
        <v>20</v>
      </c>
      <c r="N1031" s="16">
        <f t="shared" ca="1" si="112"/>
        <v>200</v>
      </c>
      <c r="O1031" s="18">
        <f t="shared" ca="1" si="111"/>
        <v>0.90909090909090906</v>
      </c>
      <c r="P1031" s="19">
        <f t="shared" si="113"/>
        <v>11</v>
      </c>
      <c r="Q1031" s="16">
        <f>IF(COUNTIF($B$2:B1031,B1031)=1,SUMIF($B$2:$B$1097,B1031,$L$2:$L$1097),"")</f>
        <v>572</v>
      </c>
      <c r="R1031" s="16">
        <f t="shared" si="114"/>
        <v>474.83333333333331</v>
      </c>
    </row>
    <row r="1032" spans="1:18" ht="12.75" x14ac:dyDescent="0.2">
      <c r="A1032" s="3">
        <v>1031</v>
      </c>
      <c r="B1032" s="26">
        <v>45270</v>
      </c>
      <c r="C1032" s="23" t="s">
        <v>46</v>
      </c>
      <c r="D1032" s="4">
        <v>2</v>
      </c>
      <c r="E1032" s="24" t="s">
        <v>40</v>
      </c>
      <c r="F1032" s="5" t="s">
        <v>11</v>
      </c>
      <c r="G1032" s="5" t="s">
        <v>11</v>
      </c>
      <c r="H1032" s="5" t="s">
        <v>14</v>
      </c>
      <c r="I1032" s="5" t="s">
        <v>15</v>
      </c>
      <c r="J1032" s="5" t="s">
        <v>54</v>
      </c>
      <c r="K1032" s="6">
        <v>9</v>
      </c>
      <c r="L1032" s="15">
        <v>99</v>
      </c>
      <c r="M1032" s="15">
        <f t="shared" ca="1" si="108"/>
        <v>16</v>
      </c>
      <c r="N1032" s="16">
        <f t="shared" ca="1" si="112"/>
        <v>83</v>
      </c>
      <c r="O1032" s="18">
        <f t="shared" ca="1" si="111"/>
        <v>0.83838383838383834</v>
      </c>
      <c r="P1032" s="19">
        <f t="shared" si="113"/>
        <v>11</v>
      </c>
      <c r="Q1032" s="16" t="str">
        <f>IF(COUNTIF($B$2:B1032,B1032)=1,SUMIF($B$2:$B$1097,B1032,$L$2:$L$1097),"")</f>
        <v/>
      </c>
    </row>
    <row r="1033" spans="1:18" ht="12.75" x14ac:dyDescent="0.2">
      <c r="A1033" s="3">
        <v>1032</v>
      </c>
      <c r="B1033" s="26">
        <v>45270</v>
      </c>
      <c r="C1033" s="23" t="s">
        <v>46</v>
      </c>
      <c r="D1033" s="4">
        <v>2</v>
      </c>
      <c r="E1033" s="24" t="s">
        <v>40</v>
      </c>
      <c r="F1033" s="5" t="s">
        <v>11</v>
      </c>
      <c r="G1033" s="5" t="s">
        <v>11</v>
      </c>
      <c r="H1033" s="5" t="s">
        <v>14</v>
      </c>
      <c r="I1033" s="5" t="s">
        <v>16</v>
      </c>
      <c r="J1033" s="5" t="s">
        <v>54</v>
      </c>
      <c r="K1033" s="6">
        <v>9</v>
      </c>
      <c r="L1033" s="15">
        <v>99</v>
      </c>
      <c r="M1033" s="15">
        <f t="shared" ref="M1033:M1093" ca="1" si="115">RANDBETWEEN(1,50)</f>
        <v>33</v>
      </c>
      <c r="N1033" s="16">
        <f t="shared" ca="1" si="112"/>
        <v>66</v>
      </c>
      <c r="O1033" s="18">
        <f t="shared" ca="1" si="111"/>
        <v>0.66666666666666663</v>
      </c>
      <c r="P1033" s="19">
        <f t="shared" si="113"/>
        <v>11</v>
      </c>
      <c r="Q1033" s="16" t="str">
        <f>IF(COUNTIF($B$2:B1033,B1033)=1,SUMIF($B$2:$B$1097,B1033,$L$2:$L$1097),"")</f>
        <v/>
      </c>
    </row>
    <row r="1034" spans="1:18" ht="12.75" x14ac:dyDescent="0.2">
      <c r="A1034" s="3">
        <v>1033</v>
      </c>
      <c r="B1034" s="26">
        <v>45270</v>
      </c>
      <c r="C1034" s="23" t="s">
        <v>46</v>
      </c>
      <c r="D1034" s="4">
        <v>2</v>
      </c>
      <c r="E1034" s="24" t="s">
        <v>40</v>
      </c>
      <c r="F1034" s="5" t="s">
        <v>11</v>
      </c>
      <c r="G1034" s="5" t="s">
        <v>11</v>
      </c>
      <c r="H1034" s="5" t="s">
        <v>14</v>
      </c>
      <c r="I1034" s="5" t="s">
        <v>17</v>
      </c>
      <c r="J1034" s="5" t="s">
        <v>54</v>
      </c>
      <c r="K1034" s="6">
        <v>14</v>
      </c>
      <c r="L1034" s="15">
        <v>154</v>
      </c>
      <c r="M1034" s="15">
        <f t="shared" ca="1" si="115"/>
        <v>49</v>
      </c>
      <c r="N1034" s="16">
        <f t="shared" ca="1" si="112"/>
        <v>105</v>
      </c>
      <c r="O1034" s="18">
        <f t="shared" ca="1" si="111"/>
        <v>0.68181818181818177</v>
      </c>
      <c r="P1034" s="19">
        <f t="shared" si="113"/>
        <v>11</v>
      </c>
      <c r="Q1034" s="16" t="str">
        <f>IF(COUNTIF($B$2:B1034,B1034)=1,SUMIF($B$2:$B$1097,B1034,$L$2:$L$1097),"")</f>
        <v/>
      </c>
    </row>
    <row r="1035" spans="1:18" ht="12.75" x14ac:dyDescent="0.2">
      <c r="A1035" s="3">
        <v>1034</v>
      </c>
      <c r="B1035" s="26">
        <v>45271</v>
      </c>
      <c r="C1035" s="23" t="s">
        <v>46</v>
      </c>
      <c r="D1035" s="4">
        <v>3</v>
      </c>
      <c r="E1035" s="24" t="s">
        <v>40</v>
      </c>
      <c r="F1035" s="5" t="s">
        <v>11</v>
      </c>
      <c r="G1035" s="5" t="s">
        <v>11</v>
      </c>
      <c r="H1035" s="5" t="s">
        <v>14</v>
      </c>
      <c r="I1035" s="5" t="s">
        <v>13</v>
      </c>
      <c r="J1035" s="5" t="s">
        <v>56</v>
      </c>
      <c r="K1035" s="6">
        <v>15</v>
      </c>
      <c r="L1035" s="15">
        <v>165</v>
      </c>
      <c r="M1035" s="15">
        <f t="shared" ca="1" si="115"/>
        <v>2</v>
      </c>
      <c r="N1035" s="16">
        <f t="shared" ca="1" si="112"/>
        <v>163</v>
      </c>
      <c r="O1035" s="18">
        <f t="shared" ca="1" si="111"/>
        <v>0.98787878787878791</v>
      </c>
      <c r="P1035" s="19">
        <f t="shared" si="113"/>
        <v>11</v>
      </c>
      <c r="Q1035" s="16">
        <f>IF(COUNTIF($B$2:B1035,B1035)=1,SUMIF($B$2:$B$1097,B1035,$L$2:$L$1097),"")</f>
        <v>473</v>
      </c>
      <c r="R1035" s="16">
        <f>AVERAGE(Q1015:Q1035)</f>
        <v>469.33333333333331</v>
      </c>
    </row>
    <row r="1036" spans="1:18" ht="12.75" x14ac:dyDescent="0.2">
      <c r="A1036" s="3">
        <v>1035</v>
      </c>
      <c r="B1036" s="26">
        <v>45271</v>
      </c>
      <c r="C1036" s="23" t="s">
        <v>46</v>
      </c>
      <c r="D1036" s="4">
        <v>3</v>
      </c>
      <c r="E1036" s="24" t="s">
        <v>40</v>
      </c>
      <c r="F1036" s="5" t="s">
        <v>11</v>
      </c>
      <c r="G1036" s="5" t="s">
        <v>11</v>
      </c>
      <c r="H1036" s="5" t="s">
        <v>14</v>
      </c>
      <c r="I1036" s="5" t="s">
        <v>15</v>
      </c>
      <c r="J1036" s="5" t="s">
        <v>56</v>
      </c>
      <c r="K1036" s="6">
        <v>12</v>
      </c>
      <c r="L1036" s="15">
        <v>132</v>
      </c>
      <c r="M1036" s="15">
        <f t="shared" ca="1" si="115"/>
        <v>16</v>
      </c>
      <c r="N1036" s="16">
        <f t="shared" ca="1" si="112"/>
        <v>116</v>
      </c>
      <c r="O1036" s="18">
        <f t="shared" ca="1" si="111"/>
        <v>0.87878787878787878</v>
      </c>
      <c r="P1036" s="19">
        <f t="shared" si="113"/>
        <v>11</v>
      </c>
      <c r="Q1036" s="16" t="str">
        <f>IF(COUNTIF($B$2:B1036,B1036)=1,SUMIF($B$2:$B$1097,B1036,$L$2:$L$1097),"")</f>
        <v/>
      </c>
    </row>
    <row r="1037" spans="1:18" ht="12.75" x14ac:dyDescent="0.2">
      <c r="A1037" s="3">
        <v>1036</v>
      </c>
      <c r="B1037" s="26">
        <v>45271</v>
      </c>
      <c r="C1037" s="23" t="s">
        <v>46</v>
      </c>
      <c r="D1037" s="4">
        <v>3</v>
      </c>
      <c r="E1037" s="24" t="s">
        <v>40</v>
      </c>
      <c r="F1037" s="5" t="s">
        <v>11</v>
      </c>
      <c r="G1037" s="5" t="s">
        <v>11</v>
      </c>
      <c r="H1037" s="5" t="s">
        <v>14</v>
      </c>
      <c r="I1037" s="5" t="s">
        <v>16</v>
      </c>
      <c r="J1037" s="5" t="s">
        <v>55</v>
      </c>
      <c r="K1037" s="6">
        <v>5</v>
      </c>
      <c r="L1037" s="15">
        <v>55</v>
      </c>
      <c r="M1037" s="15">
        <f t="shared" ca="1" si="115"/>
        <v>30</v>
      </c>
      <c r="N1037" s="16">
        <f t="shared" ca="1" si="112"/>
        <v>25</v>
      </c>
      <c r="O1037" s="18">
        <f t="shared" ca="1" si="111"/>
        <v>0.45454545454545453</v>
      </c>
      <c r="P1037" s="19">
        <f t="shared" si="113"/>
        <v>11</v>
      </c>
      <c r="Q1037" s="16" t="str">
        <f>IF(COUNTIF($B$2:B1037,B1037)=1,SUMIF($B$2:$B$1097,B1037,$L$2:$L$1097),"")</f>
        <v/>
      </c>
    </row>
    <row r="1038" spans="1:18" ht="12.75" x14ac:dyDescent="0.2">
      <c r="A1038" s="3">
        <v>1037</v>
      </c>
      <c r="B1038" s="26">
        <v>45271</v>
      </c>
      <c r="C1038" s="23" t="s">
        <v>46</v>
      </c>
      <c r="D1038" s="4">
        <v>3</v>
      </c>
      <c r="E1038" s="24" t="s">
        <v>40</v>
      </c>
      <c r="F1038" s="5" t="s">
        <v>11</v>
      </c>
      <c r="G1038" s="5" t="s">
        <v>11</v>
      </c>
      <c r="H1038" s="5" t="s">
        <v>14</v>
      </c>
      <c r="I1038" s="5" t="s">
        <v>17</v>
      </c>
      <c r="J1038" s="5" t="s">
        <v>53</v>
      </c>
      <c r="K1038" s="6">
        <v>11</v>
      </c>
      <c r="L1038" s="15">
        <v>121</v>
      </c>
      <c r="M1038" s="15">
        <f t="shared" ca="1" si="115"/>
        <v>39</v>
      </c>
      <c r="N1038" s="16">
        <f t="shared" ca="1" si="112"/>
        <v>82</v>
      </c>
      <c r="O1038" s="18">
        <f t="shared" ca="1" si="111"/>
        <v>0.6776859504132231</v>
      </c>
      <c r="P1038" s="19">
        <f t="shared" si="113"/>
        <v>11</v>
      </c>
      <c r="Q1038" s="16" t="str">
        <f>IF(COUNTIF($B$2:B1038,B1038)=1,SUMIF($B$2:$B$1097,B1038,$L$2:$L$1097),"")</f>
        <v/>
      </c>
    </row>
    <row r="1039" spans="1:18" ht="12.75" x14ac:dyDescent="0.2">
      <c r="A1039" s="3">
        <v>1038</v>
      </c>
      <c r="B1039" s="26">
        <v>45272</v>
      </c>
      <c r="C1039" s="23" t="s">
        <v>46</v>
      </c>
      <c r="D1039" s="4">
        <v>4</v>
      </c>
      <c r="E1039" s="24" t="s">
        <v>40</v>
      </c>
      <c r="F1039" s="5" t="s">
        <v>11</v>
      </c>
      <c r="G1039" s="5" t="s">
        <v>11</v>
      </c>
      <c r="H1039" s="5" t="s">
        <v>14</v>
      </c>
      <c r="I1039" s="5" t="s">
        <v>13</v>
      </c>
      <c r="J1039" s="5" t="s">
        <v>52</v>
      </c>
      <c r="K1039" s="6">
        <v>15</v>
      </c>
      <c r="L1039" s="15">
        <v>165</v>
      </c>
      <c r="M1039" s="15">
        <f t="shared" ca="1" si="115"/>
        <v>38</v>
      </c>
      <c r="N1039" s="16">
        <f t="shared" ca="1" si="112"/>
        <v>127</v>
      </c>
      <c r="O1039" s="18">
        <f t="shared" ca="1" si="111"/>
        <v>0.76969696969696966</v>
      </c>
      <c r="P1039" s="19">
        <f t="shared" si="113"/>
        <v>11</v>
      </c>
      <c r="Q1039" s="16">
        <f>IF(COUNTIF($B$2:B1039,B1039)=1,SUMIF($B$2:$B$1097,B1039,$L$2:$L$1097),"")</f>
        <v>429</v>
      </c>
      <c r="R1039" s="16">
        <f>AVERAGE(Q1019:Q1039)</f>
        <v>471.16666666666669</v>
      </c>
    </row>
    <row r="1040" spans="1:18" ht="12.75" x14ac:dyDescent="0.2">
      <c r="A1040" s="3">
        <v>1039</v>
      </c>
      <c r="B1040" s="26">
        <v>45272</v>
      </c>
      <c r="C1040" s="23" t="s">
        <v>46</v>
      </c>
      <c r="D1040" s="4">
        <v>4</v>
      </c>
      <c r="E1040" s="24" t="s">
        <v>40</v>
      </c>
      <c r="F1040" s="5" t="s">
        <v>11</v>
      </c>
      <c r="G1040" s="5" t="s">
        <v>11</v>
      </c>
      <c r="H1040" s="5" t="s">
        <v>14</v>
      </c>
      <c r="I1040" s="5" t="s">
        <v>15</v>
      </c>
      <c r="J1040" s="5" t="s">
        <v>54</v>
      </c>
      <c r="K1040" s="6">
        <v>8</v>
      </c>
      <c r="L1040" s="15">
        <v>88</v>
      </c>
      <c r="M1040" s="15">
        <f t="shared" ca="1" si="115"/>
        <v>29</v>
      </c>
      <c r="N1040" s="16">
        <f t="shared" ca="1" si="112"/>
        <v>59</v>
      </c>
      <c r="O1040" s="18">
        <f t="shared" ca="1" si="111"/>
        <v>0.67045454545454541</v>
      </c>
      <c r="P1040" s="19">
        <f t="shared" si="113"/>
        <v>11</v>
      </c>
      <c r="Q1040" s="16" t="str">
        <f>IF(COUNTIF($B$2:B1040,B1040)=1,SUMIF($B$2:$B$1097,B1040,$L$2:$L$1097),"")</f>
        <v/>
      </c>
    </row>
    <row r="1041" spans="1:18" ht="12.75" x14ac:dyDescent="0.2">
      <c r="A1041" s="3">
        <v>1040</v>
      </c>
      <c r="B1041" s="26">
        <v>45272</v>
      </c>
      <c r="C1041" s="23" t="s">
        <v>46</v>
      </c>
      <c r="D1041" s="4">
        <v>4</v>
      </c>
      <c r="E1041" s="24" t="s">
        <v>40</v>
      </c>
      <c r="F1041" s="5" t="s">
        <v>11</v>
      </c>
      <c r="G1041" s="5" t="s">
        <v>11</v>
      </c>
      <c r="H1041" s="5" t="s">
        <v>14</v>
      </c>
      <c r="I1041" s="5" t="s">
        <v>16</v>
      </c>
      <c r="J1041" s="5" t="s">
        <v>54</v>
      </c>
      <c r="K1041" s="6">
        <v>5</v>
      </c>
      <c r="L1041" s="15">
        <v>55</v>
      </c>
      <c r="M1041" s="15">
        <f t="shared" ca="1" si="115"/>
        <v>22</v>
      </c>
      <c r="N1041" s="16">
        <f t="shared" ca="1" si="112"/>
        <v>33</v>
      </c>
      <c r="O1041" s="18">
        <f t="shared" ca="1" si="111"/>
        <v>0.6</v>
      </c>
      <c r="P1041" s="19">
        <f t="shared" si="113"/>
        <v>11</v>
      </c>
      <c r="Q1041" s="16" t="str">
        <f>IF(COUNTIF($B$2:B1041,B1041)=1,SUMIF($B$2:$B$1097,B1041,$L$2:$L$1097),"")</f>
        <v/>
      </c>
    </row>
    <row r="1042" spans="1:18" ht="12.75" x14ac:dyDescent="0.2">
      <c r="A1042" s="3">
        <v>1041</v>
      </c>
      <c r="B1042" s="26">
        <v>45272</v>
      </c>
      <c r="C1042" s="23" t="s">
        <v>46</v>
      </c>
      <c r="D1042" s="4">
        <v>4</v>
      </c>
      <c r="E1042" s="24" t="s">
        <v>40</v>
      </c>
      <c r="F1042" s="5" t="s">
        <v>11</v>
      </c>
      <c r="G1042" s="5" t="s">
        <v>11</v>
      </c>
      <c r="H1042" s="5" t="s">
        <v>14</v>
      </c>
      <c r="I1042" s="5" t="s">
        <v>17</v>
      </c>
      <c r="J1042" s="5" t="s">
        <v>54</v>
      </c>
      <c r="K1042" s="6">
        <v>11</v>
      </c>
      <c r="L1042" s="15">
        <v>121</v>
      </c>
      <c r="M1042" s="15">
        <f t="shared" ca="1" si="115"/>
        <v>36</v>
      </c>
      <c r="N1042" s="16">
        <f t="shared" ca="1" si="112"/>
        <v>85</v>
      </c>
      <c r="O1042" s="18">
        <f t="shared" ca="1" si="111"/>
        <v>0.7024793388429752</v>
      </c>
      <c r="P1042" s="19">
        <f t="shared" si="113"/>
        <v>11</v>
      </c>
      <c r="Q1042" s="16" t="str">
        <f>IF(COUNTIF($B$2:B1042,B1042)=1,SUMIF($B$2:$B$1097,B1042,$L$2:$L$1097),"")</f>
        <v/>
      </c>
    </row>
    <row r="1043" spans="1:18" ht="12.75" x14ac:dyDescent="0.2">
      <c r="A1043" s="3">
        <v>1042</v>
      </c>
      <c r="B1043" s="26">
        <v>45273</v>
      </c>
      <c r="C1043" s="23" t="s">
        <v>46</v>
      </c>
      <c r="D1043" s="4">
        <v>5</v>
      </c>
      <c r="E1043" s="24" t="s">
        <v>40</v>
      </c>
      <c r="F1043" s="5" t="s">
        <v>11</v>
      </c>
      <c r="G1043" s="5" t="s">
        <v>11</v>
      </c>
      <c r="H1043" s="5" t="s">
        <v>14</v>
      </c>
      <c r="I1043" s="5" t="s">
        <v>13</v>
      </c>
      <c r="J1043" s="5" t="s">
        <v>56</v>
      </c>
      <c r="K1043" s="6">
        <v>17</v>
      </c>
      <c r="L1043" s="15">
        <v>187</v>
      </c>
      <c r="M1043" s="15">
        <f t="shared" ca="1" si="115"/>
        <v>46</v>
      </c>
      <c r="N1043" s="16">
        <f t="shared" ca="1" si="112"/>
        <v>141</v>
      </c>
      <c r="O1043" s="18">
        <f t="shared" ca="1" si="111"/>
        <v>0.75401069518716579</v>
      </c>
      <c r="P1043" s="19">
        <f t="shared" si="113"/>
        <v>11</v>
      </c>
      <c r="Q1043" s="16">
        <f>IF(COUNTIF($B$2:B1043,B1043)=1,SUMIF($B$2:$B$1097,B1043,$L$2:$L$1097),"")</f>
        <v>495</v>
      </c>
      <c r="R1043" s="16">
        <f>AVERAGE(Q1023:Q1043)</f>
        <v>465.66666666666669</v>
      </c>
    </row>
    <row r="1044" spans="1:18" ht="12.75" x14ac:dyDescent="0.2">
      <c r="A1044" s="3">
        <v>1043</v>
      </c>
      <c r="B1044" s="26">
        <v>45273</v>
      </c>
      <c r="C1044" s="23" t="s">
        <v>46</v>
      </c>
      <c r="D1044" s="4">
        <v>5</v>
      </c>
      <c r="E1044" s="24" t="s">
        <v>40</v>
      </c>
      <c r="F1044" s="5" t="s">
        <v>11</v>
      </c>
      <c r="G1044" s="5" t="s">
        <v>11</v>
      </c>
      <c r="H1044" s="5" t="s">
        <v>14</v>
      </c>
      <c r="I1044" s="5" t="s">
        <v>15</v>
      </c>
      <c r="J1044" s="5" t="s">
        <v>56</v>
      </c>
      <c r="K1044" s="6">
        <v>12</v>
      </c>
      <c r="L1044" s="15">
        <v>132</v>
      </c>
      <c r="M1044" s="15">
        <f t="shared" ca="1" si="115"/>
        <v>18</v>
      </c>
      <c r="N1044" s="16">
        <f t="shared" ca="1" si="112"/>
        <v>114</v>
      </c>
      <c r="O1044" s="18">
        <f t="shared" ca="1" si="111"/>
        <v>0.86363636363636365</v>
      </c>
      <c r="P1044" s="19">
        <f t="shared" si="113"/>
        <v>11</v>
      </c>
      <c r="Q1044" s="16" t="str">
        <f>IF(COUNTIF($B$2:B1044,B1044)=1,SUMIF($B$2:$B$1097,B1044,$L$2:$L$1097),"")</f>
        <v/>
      </c>
    </row>
    <row r="1045" spans="1:18" ht="12.75" x14ac:dyDescent="0.2">
      <c r="A1045" s="3">
        <v>1044</v>
      </c>
      <c r="B1045" s="26">
        <v>45273</v>
      </c>
      <c r="C1045" s="23" t="s">
        <v>46</v>
      </c>
      <c r="D1045" s="4">
        <v>5</v>
      </c>
      <c r="E1045" s="24" t="s">
        <v>40</v>
      </c>
      <c r="F1045" s="5" t="s">
        <v>11</v>
      </c>
      <c r="G1045" s="5" t="s">
        <v>11</v>
      </c>
      <c r="H1045" s="5" t="s">
        <v>14</v>
      </c>
      <c r="I1045" s="5" t="s">
        <v>16</v>
      </c>
      <c r="J1045" s="5" t="s">
        <v>55</v>
      </c>
      <c r="K1045" s="6">
        <v>5</v>
      </c>
      <c r="L1045" s="15">
        <v>55</v>
      </c>
      <c r="M1045" s="15">
        <f t="shared" ca="1" si="115"/>
        <v>20</v>
      </c>
      <c r="N1045" s="16">
        <f t="shared" ca="1" si="112"/>
        <v>35</v>
      </c>
      <c r="O1045" s="18">
        <f t="shared" ca="1" si="111"/>
        <v>0.63636363636363635</v>
      </c>
      <c r="P1045" s="19">
        <f t="shared" si="113"/>
        <v>11</v>
      </c>
      <c r="Q1045" s="16" t="str">
        <f>IF(COUNTIF($B$2:B1045,B1045)=1,SUMIF($B$2:$B$1097,B1045,$L$2:$L$1097),"")</f>
        <v/>
      </c>
    </row>
    <row r="1046" spans="1:18" ht="12.75" x14ac:dyDescent="0.2">
      <c r="A1046" s="3">
        <v>1045</v>
      </c>
      <c r="B1046" s="26">
        <v>45273</v>
      </c>
      <c r="C1046" s="23" t="s">
        <v>46</v>
      </c>
      <c r="D1046" s="4">
        <v>5</v>
      </c>
      <c r="E1046" s="24" t="s">
        <v>40</v>
      </c>
      <c r="F1046" s="5" t="s">
        <v>11</v>
      </c>
      <c r="G1046" s="5" t="s">
        <v>11</v>
      </c>
      <c r="H1046" s="5" t="s">
        <v>14</v>
      </c>
      <c r="I1046" s="5" t="s">
        <v>17</v>
      </c>
      <c r="J1046" s="5" t="s">
        <v>53</v>
      </c>
      <c r="K1046" s="6">
        <v>11</v>
      </c>
      <c r="L1046" s="15">
        <v>121</v>
      </c>
      <c r="M1046" s="15">
        <f t="shared" ca="1" si="115"/>
        <v>24</v>
      </c>
      <c r="N1046" s="16">
        <f t="shared" ca="1" si="112"/>
        <v>97</v>
      </c>
      <c r="O1046" s="18">
        <f t="shared" ca="1" si="111"/>
        <v>0.80165289256198347</v>
      </c>
      <c r="P1046" s="19">
        <f t="shared" si="113"/>
        <v>11</v>
      </c>
      <c r="Q1046" s="16" t="str">
        <f>IF(COUNTIF($B$2:B1046,B1046)=1,SUMIF($B$2:$B$1097,B1046,$L$2:$L$1097),"")</f>
        <v/>
      </c>
    </row>
    <row r="1047" spans="1:18" ht="12.75" x14ac:dyDescent="0.2">
      <c r="A1047" s="3">
        <v>1046</v>
      </c>
      <c r="B1047" s="26">
        <v>45274</v>
      </c>
      <c r="C1047" s="23" t="s">
        <v>46</v>
      </c>
      <c r="D1047" s="4">
        <v>6</v>
      </c>
      <c r="E1047" s="24" t="s">
        <v>40</v>
      </c>
      <c r="F1047" s="5" t="s">
        <v>11</v>
      </c>
      <c r="G1047" s="5" t="s">
        <v>11</v>
      </c>
      <c r="H1047" s="5" t="s">
        <v>14</v>
      </c>
      <c r="I1047" s="5" t="s">
        <v>13</v>
      </c>
      <c r="J1047" s="5" t="s">
        <v>52</v>
      </c>
      <c r="K1047" s="6">
        <v>19</v>
      </c>
      <c r="L1047" s="15">
        <v>209</v>
      </c>
      <c r="M1047" s="15">
        <f t="shared" ca="1" si="115"/>
        <v>40</v>
      </c>
      <c r="N1047" s="16">
        <f t="shared" ca="1" si="112"/>
        <v>169</v>
      </c>
      <c r="O1047" s="18">
        <f t="shared" ca="1" si="111"/>
        <v>0.80861244019138756</v>
      </c>
      <c r="P1047" s="19">
        <f t="shared" si="113"/>
        <v>11</v>
      </c>
      <c r="Q1047" s="16">
        <f>IF(COUNTIF($B$2:B1047,B1047)=1,SUMIF($B$2:$B$1097,B1047,$L$2:$L$1097),"")</f>
        <v>616</v>
      </c>
      <c r="R1047" s="16">
        <f>AVERAGE(Q1027:Q1047)</f>
        <v>469.33333333333331</v>
      </c>
    </row>
    <row r="1048" spans="1:18" ht="12.75" x14ac:dyDescent="0.2">
      <c r="A1048" s="3">
        <v>1047</v>
      </c>
      <c r="B1048" s="26">
        <v>45274</v>
      </c>
      <c r="C1048" s="23" t="s">
        <v>46</v>
      </c>
      <c r="D1048" s="4">
        <v>6</v>
      </c>
      <c r="E1048" s="24" t="s">
        <v>40</v>
      </c>
      <c r="F1048" s="5" t="s">
        <v>11</v>
      </c>
      <c r="G1048" s="5" t="s">
        <v>11</v>
      </c>
      <c r="H1048" s="5" t="s">
        <v>14</v>
      </c>
      <c r="I1048" s="5" t="s">
        <v>15</v>
      </c>
      <c r="J1048" s="5" t="s">
        <v>55</v>
      </c>
      <c r="K1048" s="6">
        <v>9</v>
      </c>
      <c r="L1048" s="15">
        <v>99</v>
      </c>
      <c r="M1048" s="15">
        <f t="shared" ca="1" si="115"/>
        <v>17</v>
      </c>
      <c r="N1048" s="16">
        <f t="shared" ca="1" si="112"/>
        <v>82</v>
      </c>
      <c r="O1048" s="18">
        <f t="shared" ca="1" si="111"/>
        <v>0.82828282828282829</v>
      </c>
      <c r="P1048" s="19">
        <f t="shared" si="113"/>
        <v>11</v>
      </c>
      <c r="Q1048" s="16" t="str">
        <f>IF(COUNTIF($B$2:B1048,B1048)=1,SUMIF($B$2:$B$1097,B1048,$L$2:$L$1097),"")</f>
        <v/>
      </c>
    </row>
    <row r="1049" spans="1:18" ht="12.75" x14ac:dyDescent="0.2">
      <c r="A1049" s="3">
        <v>1048</v>
      </c>
      <c r="B1049" s="26">
        <v>45274</v>
      </c>
      <c r="C1049" s="23" t="s">
        <v>46</v>
      </c>
      <c r="D1049" s="4">
        <v>6</v>
      </c>
      <c r="E1049" s="24" t="s">
        <v>40</v>
      </c>
      <c r="F1049" s="5" t="s">
        <v>11</v>
      </c>
      <c r="G1049" s="5" t="s">
        <v>11</v>
      </c>
      <c r="H1049" s="5" t="s">
        <v>14</v>
      </c>
      <c r="I1049" s="5" t="s">
        <v>16</v>
      </c>
      <c r="J1049" s="5" t="s">
        <v>55</v>
      </c>
      <c r="K1049" s="6">
        <v>9</v>
      </c>
      <c r="L1049" s="15">
        <v>99</v>
      </c>
      <c r="M1049" s="15">
        <f t="shared" ca="1" si="115"/>
        <v>47</v>
      </c>
      <c r="N1049" s="16">
        <f t="shared" ca="1" si="112"/>
        <v>52</v>
      </c>
      <c r="O1049" s="18">
        <f t="shared" ca="1" si="111"/>
        <v>0.5252525252525253</v>
      </c>
      <c r="P1049" s="19">
        <f t="shared" si="113"/>
        <v>11</v>
      </c>
      <c r="Q1049" s="16" t="str">
        <f>IF(COUNTIF($B$2:B1049,B1049)=1,SUMIF($B$2:$B$1097,B1049,$L$2:$L$1097),"")</f>
        <v/>
      </c>
    </row>
    <row r="1050" spans="1:18" ht="12.75" x14ac:dyDescent="0.2">
      <c r="A1050" s="3">
        <v>1049</v>
      </c>
      <c r="B1050" s="26">
        <v>45274</v>
      </c>
      <c r="C1050" s="23" t="s">
        <v>46</v>
      </c>
      <c r="D1050" s="4">
        <v>6</v>
      </c>
      <c r="E1050" s="24" t="s">
        <v>40</v>
      </c>
      <c r="F1050" s="5" t="s">
        <v>11</v>
      </c>
      <c r="G1050" s="5" t="s">
        <v>11</v>
      </c>
      <c r="H1050" s="5" t="s">
        <v>14</v>
      </c>
      <c r="I1050" s="5" t="s">
        <v>17</v>
      </c>
      <c r="J1050" s="5" t="s">
        <v>53</v>
      </c>
      <c r="K1050" s="6">
        <v>19</v>
      </c>
      <c r="L1050" s="15">
        <v>209</v>
      </c>
      <c r="M1050" s="15">
        <f t="shared" ca="1" si="115"/>
        <v>46</v>
      </c>
      <c r="N1050" s="16">
        <f t="shared" ca="1" si="112"/>
        <v>163</v>
      </c>
      <c r="O1050" s="18">
        <f t="shared" ca="1" si="111"/>
        <v>0.77990430622009566</v>
      </c>
      <c r="P1050" s="19">
        <f t="shared" si="113"/>
        <v>11</v>
      </c>
      <c r="Q1050" s="16" t="str">
        <f>IF(COUNTIF($B$2:B1050,B1050)=1,SUMIF($B$2:$B$1097,B1050,$L$2:$L$1097),"")</f>
        <v/>
      </c>
    </row>
    <row r="1051" spans="1:18" ht="12.75" x14ac:dyDescent="0.2">
      <c r="A1051" s="3">
        <v>1050</v>
      </c>
      <c r="B1051" s="26">
        <v>45275</v>
      </c>
      <c r="C1051" s="23" t="s">
        <v>46</v>
      </c>
      <c r="D1051" s="4">
        <v>7</v>
      </c>
      <c r="E1051" s="24" t="s">
        <v>40</v>
      </c>
      <c r="F1051" s="5" t="s">
        <v>11</v>
      </c>
      <c r="G1051" s="5" t="s">
        <v>11</v>
      </c>
      <c r="H1051" s="5" t="s">
        <v>14</v>
      </c>
      <c r="I1051" s="5" t="s">
        <v>13</v>
      </c>
      <c r="J1051" s="5" t="s">
        <v>56</v>
      </c>
      <c r="K1051" s="6">
        <v>19</v>
      </c>
      <c r="L1051" s="15">
        <v>209</v>
      </c>
      <c r="M1051" s="15">
        <f t="shared" ca="1" si="115"/>
        <v>41</v>
      </c>
      <c r="N1051" s="16">
        <f t="shared" ca="1" si="112"/>
        <v>168</v>
      </c>
      <c r="O1051" s="18">
        <f t="shared" ca="1" si="111"/>
        <v>0.80382775119617222</v>
      </c>
      <c r="P1051" s="19">
        <f t="shared" si="113"/>
        <v>11</v>
      </c>
      <c r="Q1051" s="16">
        <f>IF(COUNTIF($B$2:B1051,B1051)=1,SUMIF($B$2:$B$1097,B1051,$L$2:$L$1097),"")</f>
        <v>209</v>
      </c>
      <c r="R1051" s="16">
        <f t="shared" ref="R1051:R1052" si="116">AVERAGE(Q1031:Q1051)</f>
        <v>465.66666666666669</v>
      </c>
    </row>
    <row r="1052" spans="1:18" ht="12.75" x14ac:dyDescent="0.2">
      <c r="A1052" s="3">
        <v>1051</v>
      </c>
      <c r="B1052" s="26">
        <v>45277</v>
      </c>
      <c r="C1052" s="23" t="s">
        <v>46</v>
      </c>
      <c r="D1052" s="4">
        <v>2</v>
      </c>
      <c r="E1052" s="24" t="s">
        <v>40</v>
      </c>
      <c r="F1052" s="5" t="s">
        <v>11</v>
      </c>
      <c r="G1052" s="5" t="s">
        <v>11</v>
      </c>
      <c r="H1052" s="5" t="s">
        <v>14</v>
      </c>
      <c r="I1052" s="5" t="s">
        <v>13</v>
      </c>
      <c r="J1052" s="5" t="s">
        <v>52</v>
      </c>
      <c r="K1052" s="6">
        <v>21</v>
      </c>
      <c r="L1052" s="15">
        <v>231</v>
      </c>
      <c r="M1052" s="15">
        <f t="shared" ca="1" si="115"/>
        <v>26</v>
      </c>
      <c r="N1052" s="16">
        <f t="shared" ca="1" si="112"/>
        <v>205</v>
      </c>
      <c r="O1052" s="18">
        <f t="shared" ca="1" si="111"/>
        <v>0.88744588744588748</v>
      </c>
      <c r="P1052" s="19">
        <f t="shared" si="113"/>
        <v>11</v>
      </c>
      <c r="Q1052" s="16">
        <f>IF(COUNTIF($B$2:B1052,B1052)=1,SUMIF($B$2:$B$1097,B1052,$L$2:$L$1097),"")</f>
        <v>616</v>
      </c>
      <c r="R1052" s="16">
        <f t="shared" si="116"/>
        <v>473</v>
      </c>
    </row>
    <row r="1053" spans="1:18" ht="12.75" x14ac:dyDescent="0.2">
      <c r="A1053" s="3">
        <v>1052</v>
      </c>
      <c r="B1053" s="26">
        <v>45277</v>
      </c>
      <c r="C1053" s="23" t="s">
        <v>46</v>
      </c>
      <c r="D1053" s="4">
        <v>2</v>
      </c>
      <c r="E1053" s="24" t="s">
        <v>40</v>
      </c>
      <c r="F1053" s="5" t="s">
        <v>11</v>
      </c>
      <c r="G1053" s="5" t="s">
        <v>11</v>
      </c>
      <c r="H1053" s="5" t="s">
        <v>14</v>
      </c>
      <c r="I1053" s="5" t="s">
        <v>15</v>
      </c>
      <c r="J1053" s="5" t="s">
        <v>54</v>
      </c>
      <c r="K1053" s="6">
        <v>11</v>
      </c>
      <c r="L1053" s="15">
        <v>121</v>
      </c>
      <c r="M1053" s="15">
        <f t="shared" ca="1" si="115"/>
        <v>49</v>
      </c>
      <c r="N1053" s="16">
        <f t="shared" ca="1" si="112"/>
        <v>72</v>
      </c>
      <c r="O1053" s="18">
        <f t="shared" ca="1" si="111"/>
        <v>0.5950413223140496</v>
      </c>
      <c r="P1053" s="19">
        <f t="shared" si="113"/>
        <v>11</v>
      </c>
      <c r="Q1053" s="16" t="str">
        <f>IF(COUNTIF($B$2:B1053,B1053)=1,SUMIF($B$2:$B$1097,B1053,$L$2:$L$1097),"")</f>
        <v/>
      </c>
    </row>
    <row r="1054" spans="1:18" ht="12.75" x14ac:dyDescent="0.2">
      <c r="A1054" s="3">
        <v>1053</v>
      </c>
      <c r="B1054" s="26">
        <v>45277</v>
      </c>
      <c r="C1054" s="23" t="s">
        <v>46</v>
      </c>
      <c r="D1054" s="4">
        <v>2</v>
      </c>
      <c r="E1054" s="24" t="s">
        <v>40</v>
      </c>
      <c r="F1054" s="5" t="s">
        <v>11</v>
      </c>
      <c r="G1054" s="5" t="s">
        <v>11</v>
      </c>
      <c r="H1054" s="5" t="s">
        <v>14</v>
      </c>
      <c r="I1054" s="5" t="s">
        <v>16</v>
      </c>
      <c r="J1054" s="5" t="s">
        <v>54</v>
      </c>
      <c r="K1054" s="6">
        <v>10</v>
      </c>
      <c r="L1054" s="15">
        <v>110</v>
      </c>
      <c r="M1054" s="15">
        <f t="shared" ca="1" si="115"/>
        <v>5</v>
      </c>
      <c r="N1054" s="16">
        <f t="shared" ca="1" si="112"/>
        <v>105</v>
      </c>
      <c r="O1054" s="18">
        <f t="shared" ca="1" si="111"/>
        <v>0.95454545454545459</v>
      </c>
      <c r="P1054" s="19">
        <f t="shared" si="113"/>
        <v>11</v>
      </c>
      <c r="Q1054" s="16" t="str">
        <f>IF(COUNTIF($B$2:B1054,B1054)=1,SUMIF($B$2:$B$1097,B1054,$L$2:$L$1097),"")</f>
        <v/>
      </c>
    </row>
    <row r="1055" spans="1:18" ht="12.75" x14ac:dyDescent="0.2">
      <c r="A1055" s="3">
        <v>1054</v>
      </c>
      <c r="B1055" s="26">
        <v>45277</v>
      </c>
      <c r="C1055" s="23" t="s">
        <v>46</v>
      </c>
      <c r="D1055" s="4">
        <v>2</v>
      </c>
      <c r="E1055" s="24" t="s">
        <v>40</v>
      </c>
      <c r="F1055" s="5" t="s">
        <v>11</v>
      </c>
      <c r="G1055" s="5" t="s">
        <v>11</v>
      </c>
      <c r="H1055" s="5" t="s">
        <v>14</v>
      </c>
      <c r="I1055" s="5" t="s">
        <v>17</v>
      </c>
      <c r="J1055" s="5" t="s">
        <v>54</v>
      </c>
      <c r="K1055" s="6">
        <v>14</v>
      </c>
      <c r="L1055" s="15">
        <v>154</v>
      </c>
      <c r="M1055" s="15">
        <f t="shared" ca="1" si="115"/>
        <v>26</v>
      </c>
      <c r="N1055" s="16">
        <f t="shared" ca="1" si="112"/>
        <v>128</v>
      </c>
      <c r="O1055" s="18">
        <f t="shared" ca="1" si="111"/>
        <v>0.83116883116883122</v>
      </c>
      <c r="P1055" s="19">
        <f t="shared" si="113"/>
        <v>11</v>
      </c>
      <c r="Q1055" s="16" t="str">
        <f>IF(COUNTIF($B$2:B1055,B1055)=1,SUMIF($B$2:$B$1097,B1055,$L$2:$L$1097),"")</f>
        <v/>
      </c>
    </row>
    <row r="1056" spans="1:18" ht="12.75" x14ac:dyDescent="0.2">
      <c r="A1056" s="3">
        <v>1055</v>
      </c>
      <c r="B1056" s="26">
        <v>45278</v>
      </c>
      <c r="C1056" s="23" t="s">
        <v>46</v>
      </c>
      <c r="D1056" s="4">
        <v>3</v>
      </c>
      <c r="E1056" s="24" t="s">
        <v>40</v>
      </c>
      <c r="F1056" s="5" t="s">
        <v>11</v>
      </c>
      <c r="G1056" s="5" t="s">
        <v>11</v>
      </c>
      <c r="H1056" s="5" t="s">
        <v>14</v>
      </c>
      <c r="I1056" s="5" t="s">
        <v>13</v>
      </c>
      <c r="J1056" s="5" t="s">
        <v>56</v>
      </c>
      <c r="K1056" s="6">
        <v>17</v>
      </c>
      <c r="L1056" s="15">
        <v>187</v>
      </c>
      <c r="M1056" s="15">
        <f t="shared" ca="1" si="115"/>
        <v>37</v>
      </c>
      <c r="N1056" s="16">
        <f t="shared" ca="1" si="112"/>
        <v>150</v>
      </c>
      <c r="O1056" s="18">
        <f t="shared" ca="1" si="111"/>
        <v>0.80213903743315507</v>
      </c>
      <c r="P1056" s="19">
        <f t="shared" si="113"/>
        <v>11</v>
      </c>
      <c r="Q1056" s="16">
        <f>IF(COUNTIF($B$2:B1056,B1056)=1,SUMIF($B$2:$B$1097,B1056,$L$2:$L$1097),"")</f>
        <v>451</v>
      </c>
      <c r="R1056" s="16">
        <f>AVERAGE(Q1036:Q1056)</f>
        <v>469.33333333333331</v>
      </c>
    </row>
    <row r="1057" spans="1:18" ht="12.75" x14ac:dyDescent="0.2">
      <c r="A1057" s="3">
        <v>1056</v>
      </c>
      <c r="B1057" s="26">
        <v>45278</v>
      </c>
      <c r="C1057" s="23" t="s">
        <v>46</v>
      </c>
      <c r="D1057" s="4">
        <v>3</v>
      </c>
      <c r="E1057" s="24" t="s">
        <v>40</v>
      </c>
      <c r="F1057" s="5" t="s">
        <v>11</v>
      </c>
      <c r="G1057" s="5" t="s">
        <v>11</v>
      </c>
      <c r="H1057" s="5" t="s">
        <v>14</v>
      </c>
      <c r="I1057" s="5" t="s">
        <v>15</v>
      </c>
      <c r="J1057" s="5" t="s">
        <v>56</v>
      </c>
      <c r="K1057" s="6">
        <v>8</v>
      </c>
      <c r="L1057" s="15">
        <v>88</v>
      </c>
      <c r="M1057" s="15">
        <f t="shared" ca="1" si="115"/>
        <v>46</v>
      </c>
      <c r="N1057" s="16">
        <f t="shared" ca="1" si="112"/>
        <v>42</v>
      </c>
      <c r="O1057" s="18">
        <f t="shared" ca="1" si="111"/>
        <v>0.47727272727272729</v>
      </c>
      <c r="P1057" s="19">
        <f t="shared" si="113"/>
        <v>11</v>
      </c>
      <c r="Q1057" s="16" t="str">
        <f>IF(COUNTIF($B$2:B1057,B1057)=1,SUMIF($B$2:$B$1097,B1057,$L$2:$L$1097),"")</f>
        <v/>
      </c>
    </row>
    <row r="1058" spans="1:18" ht="12.75" x14ac:dyDescent="0.2">
      <c r="A1058" s="3">
        <v>1057</v>
      </c>
      <c r="B1058" s="26">
        <v>45278</v>
      </c>
      <c r="C1058" s="23" t="s">
        <v>46</v>
      </c>
      <c r="D1058" s="4">
        <v>3</v>
      </c>
      <c r="E1058" s="24" t="s">
        <v>40</v>
      </c>
      <c r="F1058" s="5" t="s">
        <v>11</v>
      </c>
      <c r="G1058" s="5" t="s">
        <v>11</v>
      </c>
      <c r="H1058" s="5" t="s">
        <v>14</v>
      </c>
      <c r="I1058" s="5" t="s">
        <v>16</v>
      </c>
      <c r="J1058" s="5" t="s">
        <v>55</v>
      </c>
      <c r="K1058" s="6">
        <v>5</v>
      </c>
      <c r="L1058" s="15">
        <v>55</v>
      </c>
      <c r="M1058" s="15">
        <f t="shared" ca="1" si="115"/>
        <v>34</v>
      </c>
      <c r="N1058" s="16">
        <f t="shared" ca="1" si="112"/>
        <v>21</v>
      </c>
      <c r="O1058" s="18">
        <f t="shared" ca="1" si="111"/>
        <v>0.38181818181818183</v>
      </c>
      <c r="P1058" s="19">
        <f t="shared" si="113"/>
        <v>11</v>
      </c>
      <c r="Q1058" s="16" t="str">
        <f>IF(COUNTIF($B$2:B1058,B1058)=1,SUMIF($B$2:$B$1097,B1058,$L$2:$L$1097),"")</f>
        <v/>
      </c>
    </row>
    <row r="1059" spans="1:18" ht="12.75" x14ac:dyDescent="0.2">
      <c r="A1059" s="3">
        <v>1058</v>
      </c>
      <c r="B1059" s="26">
        <v>45278</v>
      </c>
      <c r="C1059" s="23" t="s">
        <v>46</v>
      </c>
      <c r="D1059" s="4">
        <v>3</v>
      </c>
      <c r="E1059" s="24" t="s">
        <v>40</v>
      </c>
      <c r="F1059" s="5" t="s">
        <v>11</v>
      </c>
      <c r="G1059" s="5" t="s">
        <v>11</v>
      </c>
      <c r="H1059" s="5" t="s">
        <v>14</v>
      </c>
      <c r="I1059" s="5" t="s">
        <v>17</v>
      </c>
      <c r="J1059" s="5" t="s">
        <v>53</v>
      </c>
      <c r="K1059" s="6">
        <v>11</v>
      </c>
      <c r="L1059" s="15">
        <v>121</v>
      </c>
      <c r="M1059" s="15">
        <f t="shared" ca="1" si="115"/>
        <v>22</v>
      </c>
      <c r="N1059" s="16">
        <f t="shared" ca="1" si="112"/>
        <v>99</v>
      </c>
      <c r="O1059" s="18">
        <f t="shared" ca="1" si="111"/>
        <v>0.81818181818181823</v>
      </c>
      <c r="P1059" s="19">
        <f t="shared" si="113"/>
        <v>11</v>
      </c>
      <c r="Q1059" s="16" t="str">
        <f>IF(COUNTIF($B$2:B1059,B1059)=1,SUMIF($B$2:$B$1097,B1059,$L$2:$L$1097),"")</f>
        <v/>
      </c>
    </row>
    <row r="1060" spans="1:18" ht="12.75" x14ac:dyDescent="0.2">
      <c r="A1060" s="3">
        <v>1059</v>
      </c>
      <c r="B1060" s="26">
        <v>45279</v>
      </c>
      <c r="C1060" s="23" t="s">
        <v>46</v>
      </c>
      <c r="D1060" s="4">
        <v>4</v>
      </c>
      <c r="E1060" s="24" t="s">
        <v>40</v>
      </c>
      <c r="F1060" s="5" t="s">
        <v>11</v>
      </c>
      <c r="G1060" s="5" t="s">
        <v>10</v>
      </c>
      <c r="H1060" s="5" t="s">
        <v>47</v>
      </c>
      <c r="I1060" s="5" t="s">
        <v>13</v>
      </c>
      <c r="J1060" s="5" t="s">
        <v>52</v>
      </c>
      <c r="K1060" s="6">
        <v>23</v>
      </c>
      <c r="L1060" s="15">
        <v>205</v>
      </c>
      <c r="M1060" s="15">
        <f t="shared" ca="1" si="115"/>
        <v>36</v>
      </c>
      <c r="N1060" s="16">
        <f t="shared" ca="1" si="112"/>
        <v>169</v>
      </c>
      <c r="O1060" s="18">
        <f t="shared" ca="1" si="111"/>
        <v>0.82439024390243898</v>
      </c>
      <c r="P1060" s="19">
        <f t="shared" si="113"/>
        <v>8.9130434782608692</v>
      </c>
      <c r="Q1060" s="16">
        <f>IF(COUNTIF($B$2:B1060,B1060)=1,SUMIF($B$2:$B$1097,B1060,$L$2:$L$1097),"")</f>
        <v>785</v>
      </c>
      <c r="R1060" s="16">
        <f>AVERAGE(Q1040:Q1060)</f>
        <v>528.66666666666663</v>
      </c>
    </row>
    <row r="1061" spans="1:18" ht="12.75" x14ac:dyDescent="0.2">
      <c r="A1061" s="3">
        <v>1060</v>
      </c>
      <c r="B1061" s="26">
        <v>45279</v>
      </c>
      <c r="C1061" s="23" t="s">
        <v>46</v>
      </c>
      <c r="D1061" s="4">
        <v>4</v>
      </c>
      <c r="E1061" s="24" t="s">
        <v>40</v>
      </c>
      <c r="F1061" s="5" t="s">
        <v>11</v>
      </c>
      <c r="G1061" s="5" t="s">
        <v>10</v>
      </c>
      <c r="H1061" s="5" t="s">
        <v>47</v>
      </c>
      <c r="I1061" s="5" t="s">
        <v>15</v>
      </c>
      <c r="J1061" s="5" t="s">
        <v>54</v>
      </c>
      <c r="K1061" s="6">
        <v>21</v>
      </c>
      <c r="L1061" s="15">
        <v>199</v>
      </c>
      <c r="M1061" s="15">
        <f t="shared" ca="1" si="115"/>
        <v>16</v>
      </c>
      <c r="N1061" s="16">
        <f t="shared" ca="1" si="112"/>
        <v>183</v>
      </c>
      <c r="O1061" s="18">
        <f t="shared" ca="1" si="111"/>
        <v>0.91959798994974873</v>
      </c>
      <c r="P1061" s="19">
        <f t="shared" si="113"/>
        <v>9.4761904761904763</v>
      </c>
      <c r="Q1061" s="16" t="str">
        <f>IF(COUNTIF($B$2:B1061,B1061)=1,SUMIF($B$2:$B$1097,B1061,$L$2:$L$1097),"")</f>
        <v/>
      </c>
    </row>
    <row r="1062" spans="1:18" ht="12.75" x14ac:dyDescent="0.2">
      <c r="A1062" s="3">
        <v>1061</v>
      </c>
      <c r="B1062" s="26">
        <v>45279</v>
      </c>
      <c r="C1062" s="23" t="s">
        <v>46</v>
      </c>
      <c r="D1062" s="4">
        <v>4</v>
      </c>
      <c r="E1062" s="24" t="s">
        <v>40</v>
      </c>
      <c r="F1062" s="5" t="s">
        <v>11</v>
      </c>
      <c r="G1062" s="5" t="s">
        <v>10</v>
      </c>
      <c r="H1062" s="5" t="s">
        <v>47</v>
      </c>
      <c r="I1062" s="5" t="s">
        <v>16</v>
      </c>
      <c r="J1062" s="5" t="s">
        <v>54</v>
      </c>
      <c r="K1062" s="6">
        <v>20</v>
      </c>
      <c r="L1062" s="15">
        <v>196</v>
      </c>
      <c r="M1062" s="15">
        <f t="shared" ca="1" si="115"/>
        <v>50</v>
      </c>
      <c r="N1062" s="16">
        <f t="shared" ca="1" si="112"/>
        <v>146</v>
      </c>
      <c r="O1062" s="18">
        <f t="shared" ca="1" si="111"/>
        <v>0.74489795918367352</v>
      </c>
      <c r="P1062" s="19">
        <f t="shared" si="113"/>
        <v>9.8000000000000007</v>
      </c>
      <c r="Q1062" s="16" t="str">
        <f>IF(COUNTIF($B$2:B1062,B1062)=1,SUMIF($B$2:$B$1097,B1062,$L$2:$L$1097),"")</f>
        <v/>
      </c>
    </row>
    <row r="1063" spans="1:18" ht="12.75" x14ac:dyDescent="0.2">
      <c r="A1063" s="3">
        <v>1062</v>
      </c>
      <c r="B1063" s="26">
        <v>45279</v>
      </c>
      <c r="C1063" s="23" t="s">
        <v>46</v>
      </c>
      <c r="D1063" s="4">
        <v>4</v>
      </c>
      <c r="E1063" s="24" t="s">
        <v>40</v>
      </c>
      <c r="F1063" s="5" t="s">
        <v>11</v>
      </c>
      <c r="G1063" s="5" t="s">
        <v>10</v>
      </c>
      <c r="H1063" s="5" t="s">
        <v>47</v>
      </c>
      <c r="I1063" s="5" t="s">
        <v>17</v>
      </c>
      <c r="J1063" s="5" t="s">
        <v>54</v>
      </c>
      <c r="K1063" s="6">
        <v>19</v>
      </c>
      <c r="L1063" s="15">
        <v>185</v>
      </c>
      <c r="M1063" s="15">
        <f t="shared" ca="1" si="115"/>
        <v>4</v>
      </c>
      <c r="N1063" s="16">
        <f t="shared" ca="1" si="112"/>
        <v>181</v>
      </c>
      <c r="O1063" s="18">
        <f t="shared" ca="1" si="111"/>
        <v>0.97837837837837838</v>
      </c>
      <c r="P1063" s="19">
        <f t="shared" si="113"/>
        <v>9.7368421052631575</v>
      </c>
      <c r="Q1063" s="16" t="str">
        <f>IF(COUNTIF($B$2:B1063,B1063)=1,SUMIF($B$2:$B$1097,B1063,$L$2:$L$1097),"")</f>
        <v/>
      </c>
    </row>
    <row r="1064" spans="1:18" ht="12.75" x14ac:dyDescent="0.2">
      <c r="A1064" s="3">
        <v>1063</v>
      </c>
      <c r="B1064" s="26">
        <v>45280</v>
      </c>
      <c r="C1064" s="23" t="s">
        <v>46</v>
      </c>
      <c r="D1064" s="4">
        <v>5</v>
      </c>
      <c r="E1064" s="24" t="s">
        <v>40</v>
      </c>
      <c r="F1064" s="5" t="s">
        <v>11</v>
      </c>
      <c r="G1064" s="5" t="s">
        <v>10</v>
      </c>
      <c r="H1064" s="5" t="s">
        <v>47</v>
      </c>
      <c r="I1064" s="5" t="s">
        <v>13</v>
      </c>
      <c r="J1064" s="5" t="s">
        <v>56</v>
      </c>
      <c r="K1064" s="6">
        <v>20</v>
      </c>
      <c r="L1064" s="15">
        <v>188</v>
      </c>
      <c r="M1064" s="15">
        <f t="shared" ca="1" si="115"/>
        <v>5</v>
      </c>
      <c r="N1064" s="16">
        <f t="shared" ca="1" si="112"/>
        <v>183</v>
      </c>
      <c r="O1064" s="18">
        <f t="shared" ca="1" si="111"/>
        <v>0.97340425531914898</v>
      </c>
      <c r="P1064" s="19">
        <f t="shared" si="113"/>
        <v>9.4</v>
      </c>
      <c r="Q1064" s="16">
        <f>IF(COUNTIF($B$2:B1064,B1064)=1,SUMIF($B$2:$B$1097,B1064,$L$2:$L$1097),"")</f>
        <v>790</v>
      </c>
      <c r="R1064" s="16">
        <f>AVERAGE(Q1044:Q1064)</f>
        <v>577.83333333333337</v>
      </c>
    </row>
    <row r="1065" spans="1:18" ht="12.75" x14ac:dyDescent="0.2">
      <c r="A1065" s="3">
        <v>1064</v>
      </c>
      <c r="B1065" s="26">
        <v>45280</v>
      </c>
      <c r="C1065" s="23" t="s">
        <v>46</v>
      </c>
      <c r="D1065" s="4">
        <v>5</v>
      </c>
      <c r="E1065" s="24" t="s">
        <v>40</v>
      </c>
      <c r="F1065" s="5" t="s">
        <v>11</v>
      </c>
      <c r="G1065" s="5" t="s">
        <v>10</v>
      </c>
      <c r="H1065" s="5" t="s">
        <v>47</v>
      </c>
      <c r="I1065" s="5" t="s">
        <v>15</v>
      </c>
      <c r="J1065" s="5" t="s">
        <v>56</v>
      </c>
      <c r="K1065" s="6">
        <v>24</v>
      </c>
      <c r="L1065" s="15">
        <v>200</v>
      </c>
      <c r="M1065" s="15">
        <f t="shared" ca="1" si="115"/>
        <v>48</v>
      </c>
      <c r="N1065" s="16">
        <f t="shared" ca="1" si="112"/>
        <v>152</v>
      </c>
      <c r="O1065" s="18">
        <f t="shared" ca="1" si="111"/>
        <v>0.76</v>
      </c>
      <c r="P1065" s="19">
        <f t="shared" si="113"/>
        <v>8.3333333333333339</v>
      </c>
      <c r="Q1065" s="16" t="str">
        <f>IF(COUNTIF($B$2:B1065,B1065)=1,SUMIF($B$2:$B$1097,B1065,$L$2:$L$1097),"")</f>
        <v/>
      </c>
    </row>
    <row r="1066" spans="1:18" ht="12.75" x14ac:dyDescent="0.2">
      <c r="A1066" s="3">
        <v>1065</v>
      </c>
      <c r="B1066" s="26">
        <v>45280</v>
      </c>
      <c r="C1066" s="23" t="s">
        <v>46</v>
      </c>
      <c r="D1066" s="4">
        <v>5</v>
      </c>
      <c r="E1066" s="24" t="s">
        <v>40</v>
      </c>
      <c r="F1066" s="5" t="s">
        <v>11</v>
      </c>
      <c r="G1066" s="5" t="s">
        <v>10</v>
      </c>
      <c r="H1066" s="5" t="s">
        <v>47</v>
      </c>
      <c r="I1066" s="5" t="s">
        <v>16</v>
      </c>
      <c r="J1066" s="5" t="s">
        <v>55</v>
      </c>
      <c r="K1066" s="6">
        <v>23</v>
      </c>
      <c r="L1066" s="15">
        <v>197</v>
      </c>
      <c r="M1066" s="15">
        <f t="shared" ca="1" si="115"/>
        <v>24</v>
      </c>
      <c r="N1066" s="16">
        <f t="shared" ca="1" si="112"/>
        <v>173</v>
      </c>
      <c r="O1066" s="18">
        <f t="shared" ca="1" si="111"/>
        <v>0.87817258883248728</v>
      </c>
      <c r="P1066" s="19">
        <f t="shared" si="113"/>
        <v>8.5652173913043477</v>
      </c>
      <c r="Q1066" s="16" t="str">
        <f>IF(COUNTIF($B$2:B1066,B1066)=1,SUMIF($B$2:$B$1097,B1066,$L$2:$L$1097),"")</f>
        <v/>
      </c>
    </row>
    <row r="1067" spans="1:18" ht="12.75" x14ac:dyDescent="0.2">
      <c r="A1067" s="3">
        <v>1066</v>
      </c>
      <c r="B1067" s="26">
        <v>45280</v>
      </c>
      <c r="C1067" s="23" t="s">
        <v>46</v>
      </c>
      <c r="D1067" s="4">
        <v>5</v>
      </c>
      <c r="E1067" s="24" t="s">
        <v>40</v>
      </c>
      <c r="F1067" s="5" t="s">
        <v>11</v>
      </c>
      <c r="G1067" s="5" t="s">
        <v>10</v>
      </c>
      <c r="H1067" s="5" t="s">
        <v>47</v>
      </c>
      <c r="I1067" s="5" t="s">
        <v>17</v>
      </c>
      <c r="J1067" s="5" t="s">
        <v>53</v>
      </c>
      <c r="K1067" s="6">
        <v>23</v>
      </c>
      <c r="L1067" s="15">
        <v>205</v>
      </c>
      <c r="M1067" s="15">
        <f t="shared" ca="1" si="115"/>
        <v>31</v>
      </c>
      <c r="N1067" s="16">
        <f t="shared" ca="1" si="112"/>
        <v>174</v>
      </c>
      <c r="O1067" s="18">
        <f t="shared" ca="1" si="111"/>
        <v>0.84878048780487803</v>
      </c>
      <c r="P1067" s="19">
        <f t="shared" si="113"/>
        <v>8.9130434782608692</v>
      </c>
      <c r="Q1067" s="16" t="str">
        <f>IF(COUNTIF($B$2:B1067,B1067)=1,SUMIF($B$2:$B$1097,B1067,$L$2:$L$1097),"")</f>
        <v/>
      </c>
    </row>
    <row r="1068" spans="1:18" ht="12.75" x14ac:dyDescent="0.2">
      <c r="A1068" s="3">
        <v>1067</v>
      </c>
      <c r="B1068" s="26">
        <v>45281</v>
      </c>
      <c r="C1068" s="23" t="s">
        <v>46</v>
      </c>
      <c r="D1068" s="4">
        <v>6</v>
      </c>
      <c r="E1068" s="24" t="s">
        <v>40</v>
      </c>
      <c r="F1068" s="5" t="s">
        <v>11</v>
      </c>
      <c r="G1068" s="5" t="s">
        <v>10</v>
      </c>
      <c r="H1068" s="5" t="s">
        <v>47</v>
      </c>
      <c r="I1068" s="5" t="s">
        <v>13</v>
      </c>
      <c r="J1068" s="5" t="s">
        <v>52</v>
      </c>
      <c r="K1068" s="6">
        <v>23</v>
      </c>
      <c r="L1068" s="15">
        <v>237</v>
      </c>
      <c r="M1068" s="15">
        <f t="shared" ca="1" si="115"/>
        <v>7</v>
      </c>
      <c r="N1068" s="16">
        <f t="shared" ca="1" si="112"/>
        <v>230</v>
      </c>
      <c r="O1068" s="18">
        <f t="shared" ca="1" si="111"/>
        <v>0.97046413502109707</v>
      </c>
      <c r="P1068" s="19">
        <f t="shared" si="113"/>
        <v>10.304347826086957</v>
      </c>
      <c r="Q1068" s="16">
        <f>IF(COUNTIF($B$2:B1068,B1068)=1,SUMIF($B$2:$B$1097,B1068,$L$2:$L$1097),"")</f>
        <v>988</v>
      </c>
      <c r="R1068" s="16">
        <f>AVERAGE(Q1048:Q1068)</f>
        <v>639.83333333333337</v>
      </c>
    </row>
    <row r="1069" spans="1:18" ht="12.75" x14ac:dyDescent="0.2">
      <c r="A1069" s="3">
        <v>1068</v>
      </c>
      <c r="B1069" s="26">
        <v>45281</v>
      </c>
      <c r="C1069" s="23" t="s">
        <v>46</v>
      </c>
      <c r="D1069" s="4">
        <v>6</v>
      </c>
      <c r="E1069" s="24" t="s">
        <v>40</v>
      </c>
      <c r="F1069" s="5" t="s">
        <v>11</v>
      </c>
      <c r="G1069" s="5" t="s">
        <v>10</v>
      </c>
      <c r="H1069" s="5" t="s">
        <v>47</v>
      </c>
      <c r="I1069" s="5" t="s">
        <v>15</v>
      </c>
      <c r="J1069" s="5" t="s">
        <v>55</v>
      </c>
      <c r="K1069" s="6">
        <v>30</v>
      </c>
      <c r="L1069" s="15">
        <v>266</v>
      </c>
      <c r="M1069" s="15">
        <f t="shared" ca="1" si="115"/>
        <v>22</v>
      </c>
      <c r="N1069" s="16">
        <f t="shared" ca="1" si="112"/>
        <v>244</v>
      </c>
      <c r="O1069" s="18">
        <f t="shared" ca="1" si="111"/>
        <v>0.91729323308270672</v>
      </c>
      <c r="P1069" s="19">
        <f t="shared" si="113"/>
        <v>8.8666666666666671</v>
      </c>
      <c r="Q1069" s="16" t="str">
        <f>IF(COUNTIF($B$2:B1069,B1069)=1,SUMIF($B$2:$B$1097,B1069,$L$2:$L$1097),"")</f>
        <v/>
      </c>
    </row>
    <row r="1070" spans="1:18" ht="12.75" x14ac:dyDescent="0.2">
      <c r="A1070" s="3">
        <v>1069</v>
      </c>
      <c r="B1070" s="26">
        <v>45281</v>
      </c>
      <c r="C1070" s="23" t="s">
        <v>46</v>
      </c>
      <c r="D1070" s="4">
        <v>6</v>
      </c>
      <c r="E1070" s="24" t="s">
        <v>40</v>
      </c>
      <c r="F1070" s="5" t="s">
        <v>11</v>
      </c>
      <c r="G1070" s="5" t="s">
        <v>10</v>
      </c>
      <c r="H1070" s="5" t="s">
        <v>47</v>
      </c>
      <c r="I1070" s="5" t="s">
        <v>16</v>
      </c>
      <c r="J1070" s="5" t="s">
        <v>55</v>
      </c>
      <c r="K1070" s="6">
        <v>27</v>
      </c>
      <c r="L1070" s="15">
        <v>233</v>
      </c>
      <c r="M1070" s="15">
        <f t="shared" ca="1" si="115"/>
        <v>27</v>
      </c>
      <c r="N1070" s="16">
        <f t="shared" ca="1" si="112"/>
        <v>206</v>
      </c>
      <c r="O1070" s="18">
        <f t="shared" ca="1" si="111"/>
        <v>0.88412017167381973</v>
      </c>
      <c r="P1070" s="19">
        <f t="shared" si="113"/>
        <v>8.6296296296296298</v>
      </c>
      <c r="Q1070" s="16" t="str">
        <f>IF(COUNTIF($B$2:B1070,B1070)=1,SUMIF($B$2:$B$1097,B1070,$L$2:$L$1097),"")</f>
        <v/>
      </c>
    </row>
    <row r="1071" spans="1:18" ht="12.75" x14ac:dyDescent="0.2">
      <c r="A1071" s="3">
        <v>1070</v>
      </c>
      <c r="B1071" s="26">
        <v>45281</v>
      </c>
      <c r="C1071" s="23" t="s">
        <v>46</v>
      </c>
      <c r="D1071" s="4">
        <v>6</v>
      </c>
      <c r="E1071" s="24" t="s">
        <v>40</v>
      </c>
      <c r="F1071" s="5" t="s">
        <v>11</v>
      </c>
      <c r="G1071" s="5" t="s">
        <v>10</v>
      </c>
      <c r="H1071" s="5" t="s">
        <v>47</v>
      </c>
      <c r="I1071" s="5" t="s">
        <v>17</v>
      </c>
      <c r="J1071" s="5" t="s">
        <v>53</v>
      </c>
      <c r="K1071" s="6">
        <v>28</v>
      </c>
      <c r="L1071" s="15">
        <v>252</v>
      </c>
      <c r="M1071" s="15">
        <f t="shared" ca="1" si="115"/>
        <v>50</v>
      </c>
      <c r="N1071" s="16">
        <f t="shared" ca="1" si="112"/>
        <v>202</v>
      </c>
      <c r="O1071" s="18">
        <f t="shared" ca="1" si="111"/>
        <v>0.80158730158730163</v>
      </c>
      <c r="P1071" s="19">
        <f t="shared" si="113"/>
        <v>9</v>
      </c>
      <c r="Q1071" s="16" t="str">
        <f>IF(COUNTIF($B$2:B1071,B1071)=1,SUMIF($B$2:$B$1097,B1071,$L$2:$L$1097),"")</f>
        <v/>
      </c>
    </row>
    <row r="1072" spans="1:18" ht="12.75" x14ac:dyDescent="0.2">
      <c r="A1072" s="3">
        <v>1071</v>
      </c>
      <c r="B1072" s="26">
        <v>45282</v>
      </c>
      <c r="C1072" s="23" t="s">
        <v>46</v>
      </c>
      <c r="D1072" s="4">
        <v>7</v>
      </c>
      <c r="E1072" s="24" t="s">
        <v>40</v>
      </c>
      <c r="F1072" s="5" t="s">
        <v>11</v>
      </c>
      <c r="G1072" s="5" t="s">
        <v>10</v>
      </c>
      <c r="H1072" s="5" t="s">
        <v>47</v>
      </c>
      <c r="I1072" s="5" t="s">
        <v>13</v>
      </c>
      <c r="J1072" s="5" t="s">
        <v>56</v>
      </c>
      <c r="K1072" s="6">
        <v>22</v>
      </c>
      <c r="L1072" s="15">
        <v>218</v>
      </c>
      <c r="M1072" s="15">
        <f t="shared" ca="1" si="115"/>
        <v>19</v>
      </c>
      <c r="N1072" s="16">
        <f t="shared" ca="1" si="112"/>
        <v>199</v>
      </c>
      <c r="O1072" s="18">
        <f t="shared" ca="1" si="111"/>
        <v>0.91284403669724767</v>
      </c>
      <c r="P1072" s="19">
        <f t="shared" si="113"/>
        <v>9.9090909090909083</v>
      </c>
      <c r="Q1072" s="16">
        <f>IF(COUNTIF($B$2:B1072,B1072)=1,SUMIF($B$2:$B$1097,B1072,$L$2:$L$1097),"")</f>
        <v>218</v>
      </c>
      <c r="R1072" s="16">
        <f t="shared" ref="R1072:R1073" si="117">AVERAGE(Q1052:Q1072)</f>
        <v>641.33333333333337</v>
      </c>
    </row>
    <row r="1073" spans="1:18" ht="12.75" x14ac:dyDescent="0.2">
      <c r="A1073" s="3">
        <v>1072</v>
      </c>
      <c r="B1073" s="26">
        <v>45284</v>
      </c>
      <c r="C1073" s="23" t="s">
        <v>46</v>
      </c>
      <c r="D1073" s="4">
        <v>2</v>
      </c>
      <c r="E1073" s="24" t="s">
        <v>40</v>
      </c>
      <c r="F1073" s="5" t="s">
        <v>10</v>
      </c>
      <c r="G1073" s="5" t="s">
        <v>11</v>
      </c>
      <c r="H1073" s="5" t="s">
        <v>48</v>
      </c>
      <c r="I1073" s="5" t="s">
        <v>13</v>
      </c>
      <c r="J1073" s="5" t="s">
        <v>14</v>
      </c>
      <c r="K1073" s="6">
        <v>0</v>
      </c>
      <c r="L1073" s="15">
        <v>0</v>
      </c>
      <c r="M1073" s="15">
        <v>10</v>
      </c>
      <c r="N1073" s="16">
        <f t="shared" si="112"/>
        <v>-10</v>
      </c>
      <c r="O1073" s="18">
        <f t="shared" si="111"/>
        <v>0</v>
      </c>
      <c r="P1073" s="19">
        <f t="shared" si="113"/>
        <v>0</v>
      </c>
      <c r="Q1073" s="16">
        <f>IF(COUNTIF($B$2:B1073,B1073)=1,SUMIF($B$2:$B$1097,B1073,$L$2:$L$1097),"")</f>
        <v>0</v>
      </c>
      <c r="R1073" s="16">
        <f t="shared" si="117"/>
        <v>538.66666666666663</v>
      </c>
    </row>
    <row r="1074" spans="1:18" ht="12.75" x14ac:dyDescent="0.2">
      <c r="A1074" s="3">
        <v>1073</v>
      </c>
      <c r="B1074" s="26">
        <v>45284</v>
      </c>
      <c r="C1074" s="23" t="s">
        <v>46</v>
      </c>
      <c r="D1074" s="4">
        <v>2</v>
      </c>
      <c r="E1074" s="24" t="s">
        <v>40</v>
      </c>
      <c r="F1074" s="5" t="s">
        <v>10</v>
      </c>
      <c r="G1074" s="5" t="s">
        <v>11</v>
      </c>
      <c r="H1074" s="5" t="s">
        <v>48</v>
      </c>
      <c r="I1074" s="5" t="s">
        <v>15</v>
      </c>
      <c r="J1074" s="5" t="s">
        <v>14</v>
      </c>
      <c r="K1074" s="6">
        <v>0</v>
      </c>
      <c r="L1074" s="15">
        <v>0</v>
      </c>
      <c r="M1074" s="15">
        <v>10</v>
      </c>
      <c r="N1074" s="16">
        <f t="shared" si="112"/>
        <v>-10</v>
      </c>
      <c r="O1074" s="18">
        <f t="shared" si="111"/>
        <v>0</v>
      </c>
      <c r="P1074" s="19">
        <f t="shared" si="113"/>
        <v>0</v>
      </c>
      <c r="Q1074" s="16" t="str">
        <f>IF(COUNTIF($B$2:B1074,B1074)=1,SUMIF($B$2:$B$1097,B1074,$L$2:$L$1097),"")</f>
        <v/>
      </c>
    </row>
    <row r="1075" spans="1:18" ht="12.75" x14ac:dyDescent="0.2">
      <c r="A1075" s="3">
        <v>1074</v>
      </c>
      <c r="B1075" s="26">
        <v>45284</v>
      </c>
      <c r="C1075" s="23" t="s">
        <v>46</v>
      </c>
      <c r="D1075" s="4">
        <v>2</v>
      </c>
      <c r="E1075" s="24" t="s">
        <v>40</v>
      </c>
      <c r="F1075" s="5" t="s">
        <v>10</v>
      </c>
      <c r="G1075" s="5" t="s">
        <v>11</v>
      </c>
      <c r="H1075" s="5" t="s">
        <v>48</v>
      </c>
      <c r="I1075" s="5" t="s">
        <v>16</v>
      </c>
      <c r="J1075" s="5" t="s">
        <v>14</v>
      </c>
      <c r="K1075" s="6">
        <v>0</v>
      </c>
      <c r="L1075" s="15">
        <v>0</v>
      </c>
      <c r="M1075" s="15">
        <v>10</v>
      </c>
      <c r="N1075" s="16">
        <f t="shared" si="112"/>
        <v>-10</v>
      </c>
      <c r="O1075" s="18">
        <f t="shared" si="111"/>
        <v>0</v>
      </c>
      <c r="P1075" s="19">
        <f t="shared" si="113"/>
        <v>0</v>
      </c>
      <c r="Q1075" s="16" t="str">
        <f>IF(COUNTIF($B$2:B1075,B1075)=1,SUMIF($B$2:$B$1097,B1075,$L$2:$L$1097),"")</f>
        <v/>
      </c>
    </row>
    <row r="1076" spans="1:18" ht="12.75" x14ac:dyDescent="0.2">
      <c r="A1076" s="3">
        <v>1075</v>
      </c>
      <c r="B1076" s="26">
        <v>45284</v>
      </c>
      <c r="C1076" s="23" t="s">
        <v>46</v>
      </c>
      <c r="D1076" s="4">
        <v>2</v>
      </c>
      <c r="E1076" s="24" t="s">
        <v>40</v>
      </c>
      <c r="F1076" s="5" t="s">
        <v>10</v>
      </c>
      <c r="G1076" s="5" t="s">
        <v>11</v>
      </c>
      <c r="H1076" s="5" t="s">
        <v>48</v>
      </c>
      <c r="I1076" s="5" t="s">
        <v>17</v>
      </c>
      <c r="J1076" s="5" t="s">
        <v>14</v>
      </c>
      <c r="K1076" s="6">
        <v>0</v>
      </c>
      <c r="L1076" s="15">
        <v>0</v>
      </c>
      <c r="M1076" s="15">
        <v>10</v>
      </c>
      <c r="N1076" s="16">
        <f t="shared" si="112"/>
        <v>-10</v>
      </c>
      <c r="O1076" s="18">
        <f t="shared" si="111"/>
        <v>0</v>
      </c>
      <c r="P1076" s="19">
        <f t="shared" si="113"/>
        <v>0</v>
      </c>
      <c r="Q1076" s="16" t="str">
        <f>IF(COUNTIF($B$2:B1076,B1076)=1,SUMIF($B$2:$B$1097,B1076,$L$2:$L$1097),"")</f>
        <v/>
      </c>
    </row>
    <row r="1077" spans="1:18" ht="12.75" x14ac:dyDescent="0.2">
      <c r="A1077" s="3">
        <v>1076</v>
      </c>
      <c r="B1077" s="26">
        <v>45285</v>
      </c>
      <c r="C1077" s="23" t="s">
        <v>46</v>
      </c>
      <c r="D1077" s="4">
        <v>3</v>
      </c>
      <c r="E1077" s="24" t="s">
        <v>40</v>
      </c>
      <c r="F1077" s="5" t="s">
        <v>10</v>
      </c>
      <c r="G1077" s="5" t="s">
        <v>11</v>
      </c>
      <c r="H1077" s="5" t="s">
        <v>49</v>
      </c>
      <c r="I1077" s="5" t="s">
        <v>13</v>
      </c>
      <c r="J1077" s="5" t="s">
        <v>14</v>
      </c>
      <c r="K1077" s="6">
        <v>0</v>
      </c>
      <c r="L1077" s="15">
        <v>0</v>
      </c>
      <c r="M1077" s="15">
        <v>10</v>
      </c>
      <c r="N1077" s="16">
        <f t="shared" si="112"/>
        <v>-10</v>
      </c>
      <c r="O1077" s="18">
        <f t="shared" si="111"/>
        <v>0</v>
      </c>
      <c r="P1077" s="19">
        <f t="shared" si="113"/>
        <v>0</v>
      </c>
      <c r="Q1077" s="16">
        <f>IF(COUNTIF($B$2:B1077,B1077)=1,SUMIF($B$2:$B$1097,B1077,$L$2:$L$1097),"")</f>
        <v>0</v>
      </c>
      <c r="R1077" s="16">
        <f>AVERAGE(Q1057:Q1077)</f>
        <v>463.5</v>
      </c>
    </row>
    <row r="1078" spans="1:18" ht="12.75" x14ac:dyDescent="0.2">
      <c r="A1078" s="3">
        <v>1077</v>
      </c>
      <c r="B1078" s="26">
        <v>45285</v>
      </c>
      <c r="C1078" s="23" t="s">
        <v>46</v>
      </c>
      <c r="D1078" s="4">
        <v>3</v>
      </c>
      <c r="E1078" s="24" t="s">
        <v>40</v>
      </c>
      <c r="F1078" s="5" t="s">
        <v>10</v>
      </c>
      <c r="G1078" s="5" t="s">
        <v>11</v>
      </c>
      <c r="H1078" s="5" t="s">
        <v>49</v>
      </c>
      <c r="I1078" s="5" t="s">
        <v>15</v>
      </c>
      <c r="J1078" s="5" t="s">
        <v>14</v>
      </c>
      <c r="K1078" s="6">
        <v>0</v>
      </c>
      <c r="L1078" s="15">
        <v>0</v>
      </c>
      <c r="M1078" s="15">
        <v>10</v>
      </c>
      <c r="N1078" s="16">
        <f t="shared" si="112"/>
        <v>-10</v>
      </c>
      <c r="O1078" s="18">
        <f t="shared" si="111"/>
        <v>0</v>
      </c>
      <c r="P1078" s="19">
        <f t="shared" si="113"/>
        <v>0</v>
      </c>
      <c r="Q1078" s="16" t="str">
        <f>IF(COUNTIF($B$2:B1078,B1078)=1,SUMIF($B$2:$B$1097,B1078,$L$2:$L$1097),"")</f>
        <v/>
      </c>
    </row>
    <row r="1079" spans="1:18" ht="12.75" x14ac:dyDescent="0.2">
      <c r="A1079" s="3">
        <v>1078</v>
      </c>
      <c r="B1079" s="26">
        <v>45285</v>
      </c>
      <c r="C1079" s="23" t="s">
        <v>46</v>
      </c>
      <c r="D1079" s="4">
        <v>3</v>
      </c>
      <c r="E1079" s="24" t="s">
        <v>40</v>
      </c>
      <c r="F1079" s="5" t="s">
        <v>10</v>
      </c>
      <c r="G1079" s="5" t="s">
        <v>11</v>
      </c>
      <c r="H1079" s="5" t="s">
        <v>49</v>
      </c>
      <c r="I1079" s="5" t="s">
        <v>16</v>
      </c>
      <c r="J1079" s="5" t="s">
        <v>14</v>
      </c>
      <c r="K1079" s="6">
        <v>0</v>
      </c>
      <c r="L1079" s="15">
        <v>0</v>
      </c>
      <c r="M1079" s="15">
        <v>10</v>
      </c>
      <c r="N1079" s="16">
        <f t="shared" si="112"/>
        <v>-10</v>
      </c>
      <c r="O1079" s="18">
        <f t="shared" si="111"/>
        <v>0</v>
      </c>
      <c r="P1079" s="19">
        <f t="shared" si="113"/>
        <v>0</v>
      </c>
      <c r="Q1079" s="16" t="str">
        <f>IF(COUNTIF($B$2:B1079,B1079)=1,SUMIF($B$2:$B$1097,B1079,$L$2:$L$1097),"")</f>
        <v/>
      </c>
    </row>
    <row r="1080" spans="1:18" ht="12.75" x14ac:dyDescent="0.2">
      <c r="A1080" s="3">
        <v>1079</v>
      </c>
      <c r="B1080" s="26">
        <v>45285</v>
      </c>
      <c r="C1080" s="23" t="s">
        <v>46</v>
      </c>
      <c r="D1080" s="4">
        <v>3</v>
      </c>
      <c r="E1080" s="24" t="s">
        <v>40</v>
      </c>
      <c r="F1080" s="5" t="s">
        <v>10</v>
      </c>
      <c r="G1080" s="5" t="s">
        <v>11</v>
      </c>
      <c r="H1080" s="5" t="s">
        <v>49</v>
      </c>
      <c r="I1080" s="5" t="s">
        <v>17</v>
      </c>
      <c r="J1080" s="5" t="s">
        <v>14</v>
      </c>
      <c r="K1080" s="6">
        <v>0</v>
      </c>
      <c r="L1080" s="15">
        <v>0</v>
      </c>
      <c r="M1080" s="15">
        <v>10</v>
      </c>
      <c r="N1080" s="16">
        <f t="shared" si="112"/>
        <v>-10</v>
      </c>
      <c r="O1080" s="18">
        <f t="shared" si="111"/>
        <v>0</v>
      </c>
      <c r="P1080" s="19">
        <f t="shared" si="113"/>
        <v>0</v>
      </c>
      <c r="Q1080" s="16" t="str">
        <f>IF(COUNTIF($B$2:B1080,B1080)=1,SUMIF($B$2:$B$1097,B1080,$L$2:$L$1097),"")</f>
        <v/>
      </c>
    </row>
    <row r="1081" spans="1:18" ht="12.75" x14ac:dyDescent="0.2">
      <c r="A1081" s="3">
        <v>1080</v>
      </c>
      <c r="B1081" s="26">
        <v>45286</v>
      </c>
      <c r="C1081" s="23" t="s">
        <v>46</v>
      </c>
      <c r="D1081" s="4">
        <v>4</v>
      </c>
      <c r="E1081" s="24" t="s">
        <v>40</v>
      </c>
      <c r="F1081" s="5" t="s">
        <v>11</v>
      </c>
      <c r="G1081" s="5" t="s">
        <v>11</v>
      </c>
      <c r="H1081" s="5" t="s">
        <v>14</v>
      </c>
      <c r="I1081" s="5" t="s">
        <v>13</v>
      </c>
      <c r="J1081" s="5" t="s">
        <v>52</v>
      </c>
      <c r="K1081" s="6">
        <v>15</v>
      </c>
      <c r="L1081" s="15">
        <v>165</v>
      </c>
      <c r="M1081" s="15">
        <f t="shared" ca="1" si="115"/>
        <v>7</v>
      </c>
      <c r="N1081" s="16">
        <f t="shared" ca="1" si="112"/>
        <v>158</v>
      </c>
      <c r="O1081" s="18">
        <f t="shared" ca="1" si="111"/>
        <v>0.95757575757575752</v>
      </c>
      <c r="P1081" s="19">
        <f t="shared" si="113"/>
        <v>11</v>
      </c>
      <c r="Q1081" s="16">
        <f>IF(COUNTIF($B$2:B1081,B1081)=1,SUMIF($B$2:$B$1097,B1081,$L$2:$L$1097),"")</f>
        <v>429</v>
      </c>
      <c r="R1081" s="16">
        <f>AVERAGE(Q1061:Q1081)</f>
        <v>404.16666666666669</v>
      </c>
    </row>
    <row r="1082" spans="1:18" ht="12.75" x14ac:dyDescent="0.2">
      <c r="A1082" s="3">
        <v>1081</v>
      </c>
      <c r="B1082" s="26">
        <v>45286</v>
      </c>
      <c r="C1082" s="23" t="s">
        <v>46</v>
      </c>
      <c r="D1082" s="4">
        <v>4</v>
      </c>
      <c r="E1082" s="24" t="s">
        <v>40</v>
      </c>
      <c r="F1082" s="5" t="s">
        <v>11</v>
      </c>
      <c r="G1082" s="5" t="s">
        <v>11</v>
      </c>
      <c r="H1082" s="5" t="s">
        <v>14</v>
      </c>
      <c r="I1082" s="5" t="s">
        <v>15</v>
      </c>
      <c r="J1082" s="5" t="s">
        <v>54</v>
      </c>
      <c r="K1082" s="6">
        <v>7</v>
      </c>
      <c r="L1082" s="15">
        <v>77</v>
      </c>
      <c r="M1082" s="15">
        <f t="shared" ca="1" si="115"/>
        <v>31</v>
      </c>
      <c r="N1082" s="16">
        <f t="shared" ca="1" si="112"/>
        <v>46</v>
      </c>
      <c r="O1082" s="18">
        <f t="shared" ca="1" si="111"/>
        <v>0.59740259740259738</v>
      </c>
      <c r="P1082" s="19">
        <f t="shared" si="113"/>
        <v>11</v>
      </c>
      <c r="Q1082" s="16" t="str">
        <f>IF(COUNTIF($B$2:B1082,B1082)=1,SUMIF($B$2:$B$1097,B1082,$L$2:$L$1097),"")</f>
        <v/>
      </c>
    </row>
    <row r="1083" spans="1:18" ht="12.75" x14ac:dyDescent="0.2">
      <c r="A1083" s="3">
        <v>1082</v>
      </c>
      <c r="B1083" s="26">
        <v>45286</v>
      </c>
      <c r="C1083" s="23" t="s">
        <v>46</v>
      </c>
      <c r="D1083" s="4">
        <v>4</v>
      </c>
      <c r="E1083" s="24" t="s">
        <v>40</v>
      </c>
      <c r="F1083" s="5" t="s">
        <v>11</v>
      </c>
      <c r="G1083" s="5" t="s">
        <v>11</v>
      </c>
      <c r="H1083" s="5" t="s">
        <v>14</v>
      </c>
      <c r="I1083" s="5" t="s">
        <v>16</v>
      </c>
      <c r="J1083" s="5" t="s">
        <v>54</v>
      </c>
      <c r="K1083" s="6">
        <v>5</v>
      </c>
      <c r="L1083" s="15">
        <v>55</v>
      </c>
      <c r="M1083" s="15">
        <f t="shared" ca="1" si="115"/>
        <v>39</v>
      </c>
      <c r="N1083" s="16">
        <f t="shared" ca="1" si="112"/>
        <v>16</v>
      </c>
      <c r="O1083" s="18">
        <f t="shared" ca="1" si="111"/>
        <v>0.29090909090909089</v>
      </c>
      <c r="P1083" s="19">
        <f t="shared" si="113"/>
        <v>11</v>
      </c>
      <c r="Q1083" s="16" t="str">
        <f>IF(COUNTIF($B$2:B1083,B1083)=1,SUMIF($B$2:$B$1097,B1083,$L$2:$L$1097),"")</f>
        <v/>
      </c>
    </row>
    <row r="1084" spans="1:18" ht="12.75" x14ac:dyDescent="0.2">
      <c r="A1084" s="3">
        <v>1083</v>
      </c>
      <c r="B1084" s="26">
        <v>45286</v>
      </c>
      <c r="C1084" s="23" t="s">
        <v>46</v>
      </c>
      <c r="D1084" s="4">
        <v>4</v>
      </c>
      <c r="E1084" s="24" t="s">
        <v>40</v>
      </c>
      <c r="F1084" s="5" t="s">
        <v>11</v>
      </c>
      <c r="G1084" s="5" t="s">
        <v>11</v>
      </c>
      <c r="H1084" s="5" t="s">
        <v>14</v>
      </c>
      <c r="I1084" s="5" t="s">
        <v>17</v>
      </c>
      <c r="J1084" s="5" t="s">
        <v>54</v>
      </c>
      <c r="K1084" s="6">
        <v>12</v>
      </c>
      <c r="L1084" s="15">
        <v>132</v>
      </c>
      <c r="M1084" s="15">
        <f t="shared" ca="1" si="115"/>
        <v>36</v>
      </c>
      <c r="N1084" s="16">
        <f t="shared" ca="1" si="112"/>
        <v>96</v>
      </c>
      <c r="O1084" s="18">
        <f t="shared" ca="1" si="111"/>
        <v>0.72727272727272729</v>
      </c>
      <c r="P1084" s="19">
        <f t="shared" si="113"/>
        <v>11</v>
      </c>
      <c r="Q1084" s="16" t="str">
        <f>IF(COUNTIF($B$2:B1084,B1084)=1,SUMIF($B$2:$B$1097,B1084,$L$2:$L$1097),"")</f>
        <v/>
      </c>
    </row>
    <row r="1085" spans="1:18" ht="12.75" x14ac:dyDescent="0.2">
      <c r="A1085" s="3">
        <v>1084</v>
      </c>
      <c r="B1085" s="26">
        <v>45287</v>
      </c>
      <c r="C1085" s="23" t="s">
        <v>46</v>
      </c>
      <c r="D1085" s="4">
        <v>5</v>
      </c>
      <c r="E1085" s="24" t="s">
        <v>40</v>
      </c>
      <c r="F1085" s="5" t="s">
        <v>11</v>
      </c>
      <c r="G1085" s="5" t="s">
        <v>11</v>
      </c>
      <c r="H1085" s="5" t="s">
        <v>14</v>
      </c>
      <c r="I1085" s="5" t="s">
        <v>13</v>
      </c>
      <c r="J1085" s="5" t="s">
        <v>56</v>
      </c>
      <c r="K1085" s="6">
        <v>18</v>
      </c>
      <c r="L1085" s="15">
        <v>198</v>
      </c>
      <c r="M1085" s="15">
        <f t="shared" ca="1" si="115"/>
        <v>43</v>
      </c>
      <c r="N1085" s="16">
        <f t="shared" ca="1" si="112"/>
        <v>155</v>
      </c>
      <c r="O1085" s="18">
        <f t="shared" ca="1" si="111"/>
        <v>0.78282828282828287</v>
      </c>
      <c r="P1085" s="19">
        <f t="shared" si="113"/>
        <v>11</v>
      </c>
      <c r="Q1085" s="16">
        <f>IF(COUNTIF($B$2:B1085,B1085)=1,SUMIF($B$2:$B$1097,B1085,$L$2:$L$1097),"")</f>
        <v>517</v>
      </c>
      <c r="R1085" s="16">
        <f>AVERAGE(Q1065:Q1085)</f>
        <v>358.66666666666669</v>
      </c>
    </row>
    <row r="1086" spans="1:18" ht="12.75" x14ac:dyDescent="0.2">
      <c r="A1086" s="3">
        <v>1085</v>
      </c>
      <c r="B1086" s="26">
        <v>45287</v>
      </c>
      <c r="C1086" s="23" t="s">
        <v>46</v>
      </c>
      <c r="D1086" s="4">
        <v>5</v>
      </c>
      <c r="E1086" s="24" t="s">
        <v>40</v>
      </c>
      <c r="F1086" s="5" t="s">
        <v>11</v>
      </c>
      <c r="G1086" s="5" t="s">
        <v>11</v>
      </c>
      <c r="H1086" s="5" t="s">
        <v>14</v>
      </c>
      <c r="I1086" s="5" t="s">
        <v>15</v>
      </c>
      <c r="J1086" s="5" t="s">
        <v>56</v>
      </c>
      <c r="K1086" s="6">
        <v>11</v>
      </c>
      <c r="L1086" s="15">
        <v>121</v>
      </c>
      <c r="M1086" s="15">
        <f t="shared" ca="1" si="115"/>
        <v>47</v>
      </c>
      <c r="N1086" s="16">
        <f t="shared" ca="1" si="112"/>
        <v>74</v>
      </c>
      <c r="O1086" s="18">
        <f t="shared" ca="1" si="111"/>
        <v>0.61157024793388426</v>
      </c>
      <c r="P1086" s="19">
        <f t="shared" si="113"/>
        <v>11</v>
      </c>
      <c r="Q1086" s="16" t="str">
        <f>IF(COUNTIF($B$2:B1086,B1086)=1,SUMIF($B$2:$B$1097,B1086,$L$2:$L$1097),"")</f>
        <v/>
      </c>
    </row>
    <row r="1087" spans="1:18" ht="12.75" x14ac:dyDescent="0.2">
      <c r="A1087" s="3">
        <v>1086</v>
      </c>
      <c r="B1087" s="26">
        <v>45287</v>
      </c>
      <c r="C1087" s="23" t="s">
        <v>46</v>
      </c>
      <c r="D1087" s="4">
        <v>5</v>
      </c>
      <c r="E1087" s="24" t="s">
        <v>40</v>
      </c>
      <c r="F1087" s="5" t="s">
        <v>11</v>
      </c>
      <c r="G1087" s="5" t="s">
        <v>11</v>
      </c>
      <c r="H1087" s="5" t="s">
        <v>14</v>
      </c>
      <c r="I1087" s="5" t="s">
        <v>16</v>
      </c>
      <c r="J1087" s="5" t="s">
        <v>55</v>
      </c>
      <c r="K1087" s="6">
        <v>5</v>
      </c>
      <c r="L1087" s="15">
        <v>55</v>
      </c>
      <c r="M1087" s="15">
        <f t="shared" ca="1" si="115"/>
        <v>50</v>
      </c>
      <c r="N1087" s="16">
        <f t="shared" ca="1" si="112"/>
        <v>5</v>
      </c>
      <c r="O1087" s="18">
        <f t="shared" ca="1" si="111"/>
        <v>9.0909090909090912E-2</v>
      </c>
      <c r="P1087" s="19">
        <f t="shared" si="113"/>
        <v>11</v>
      </c>
      <c r="Q1087" s="16" t="str">
        <f>IF(COUNTIF($B$2:B1087,B1087)=1,SUMIF($B$2:$B$1097,B1087,$L$2:$L$1097),"")</f>
        <v/>
      </c>
    </row>
    <row r="1088" spans="1:18" ht="12.75" x14ac:dyDescent="0.2">
      <c r="A1088" s="3">
        <v>1087</v>
      </c>
      <c r="B1088" s="26">
        <v>45287</v>
      </c>
      <c r="C1088" s="23" t="s">
        <v>46</v>
      </c>
      <c r="D1088" s="4">
        <v>5</v>
      </c>
      <c r="E1088" s="24" t="s">
        <v>40</v>
      </c>
      <c r="F1088" s="5" t="s">
        <v>11</v>
      </c>
      <c r="G1088" s="5" t="s">
        <v>11</v>
      </c>
      <c r="H1088" s="5" t="s">
        <v>14</v>
      </c>
      <c r="I1088" s="5" t="s">
        <v>17</v>
      </c>
      <c r="J1088" s="5" t="s">
        <v>53</v>
      </c>
      <c r="K1088" s="6">
        <v>13</v>
      </c>
      <c r="L1088" s="15">
        <v>143</v>
      </c>
      <c r="M1088" s="15">
        <f t="shared" ca="1" si="115"/>
        <v>45</v>
      </c>
      <c r="N1088" s="16">
        <f t="shared" ca="1" si="112"/>
        <v>98</v>
      </c>
      <c r="O1088" s="18">
        <f t="shared" ca="1" si="111"/>
        <v>0.68531468531468531</v>
      </c>
      <c r="P1088" s="19">
        <f t="shared" si="113"/>
        <v>11</v>
      </c>
      <c r="Q1088" s="16" t="str">
        <f>IF(COUNTIF($B$2:B1088,B1088)=1,SUMIF($B$2:$B$1097,B1088,$L$2:$L$1097),"")</f>
        <v/>
      </c>
    </row>
    <row r="1089" spans="1:18" ht="12.75" x14ac:dyDescent="0.2">
      <c r="A1089" s="3">
        <v>1088</v>
      </c>
      <c r="B1089" s="26">
        <v>45288</v>
      </c>
      <c r="C1089" s="23" t="s">
        <v>46</v>
      </c>
      <c r="D1089" s="4">
        <v>6</v>
      </c>
      <c r="E1089" s="24" t="s">
        <v>40</v>
      </c>
      <c r="F1089" s="5" t="s">
        <v>11</v>
      </c>
      <c r="G1089" s="5" t="s">
        <v>11</v>
      </c>
      <c r="H1089" s="5" t="s">
        <v>14</v>
      </c>
      <c r="I1089" s="5" t="s">
        <v>13</v>
      </c>
      <c r="J1089" s="5" t="s">
        <v>52</v>
      </c>
      <c r="K1089" s="6">
        <v>19</v>
      </c>
      <c r="L1089" s="15">
        <v>209</v>
      </c>
      <c r="M1089" s="15">
        <f t="shared" ca="1" si="115"/>
        <v>17</v>
      </c>
      <c r="N1089" s="16">
        <f t="shared" ca="1" si="112"/>
        <v>192</v>
      </c>
      <c r="O1089" s="18">
        <f t="shared" ca="1" si="111"/>
        <v>0.91866028708133973</v>
      </c>
      <c r="P1089" s="19">
        <f t="shared" si="113"/>
        <v>11</v>
      </c>
      <c r="Q1089" s="16">
        <f>IF(COUNTIF($B$2:B1089,B1089)=1,SUMIF($B$2:$B$1097,B1089,$L$2:$L$1097),"")</f>
        <v>594</v>
      </c>
      <c r="R1089" s="16">
        <f>AVERAGE(Q1069:Q1089)</f>
        <v>293</v>
      </c>
    </row>
    <row r="1090" spans="1:18" ht="12.75" x14ac:dyDescent="0.2">
      <c r="A1090" s="3">
        <v>1089</v>
      </c>
      <c r="B1090" s="26">
        <v>45288</v>
      </c>
      <c r="C1090" s="23" t="s">
        <v>46</v>
      </c>
      <c r="D1090" s="4">
        <v>6</v>
      </c>
      <c r="E1090" s="24" t="s">
        <v>40</v>
      </c>
      <c r="F1090" s="5" t="s">
        <v>11</v>
      </c>
      <c r="G1090" s="5" t="s">
        <v>11</v>
      </c>
      <c r="H1090" s="5" t="s">
        <v>14</v>
      </c>
      <c r="I1090" s="5" t="s">
        <v>15</v>
      </c>
      <c r="J1090" s="5" t="s">
        <v>55</v>
      </c>
      <c r="K1090" s="6">
        <v>12</v>
      </c>
      <c r="L1090" s="15">
        <v>132</v>
      </c>
      <c r="M1090" s="15">
        <f t="shared" ca="1" si="115"/>
        <v>39</v>
      </c>
      <c r="N1090" s="16">
        <f t="shared" ca="1" si="112"/>
        <v>93</v>
      </c>
      <c r="O1090" s="18">
        <f t="shared" ref="O1090:O1097" ca="1" si="118">IF(L1090=0, 0, N1090/L1090)</f>
        <v>0.70454545454545459</v>
      </c>
      <c r="P1090" s="19">
        <f t="shared" si="113"/>
        <v>11</v>
      </c>
      <c r="Q1090" s="16" t="str">
        <f>IF(COUNTIF($B$2:B1090,B1090)=1,SUMIF($B$2:$B$1097,B1090,$L$2:$L$1097),"")</f>
        <v/>
      </c>
    </row>
    <row r="1091" spans="1:18" ht="12.75" x14ac:dyDescent="0.2">
      <c r="A1091" s="3">
        <v>1090</v>
      </c>
      <c r="B1091" s="26">
        <v>45288</v>
      </c>
      <c r="C1091" s="23" t="s">
        <v>46</v>
      </c>
      <c r="D1091" s="4">
        <v>6</v>
      </c>
      <c r="E1091" s="24" t="s">
        <v>40</v>
      </c>
      <c r="F1091" s="5" t="s">
        <v>11</v>
      </c>
      <c r="G1091" s="5" t="s">
        <v>11</v>
      </c>
      <c r="H1091" s="5" t="s">
        <v>14</v>
      </c>
      <c r="I1091" s="5" t="s">
        <v>16</v>
      </c>
      <c r="J1091" s="5" t="s">
        <v>55</v>
      </c>
      <c r="K1091" s="6">
        <v>8</v>
      </c>
      <c r="L1091" s="15">
        <v>88</v>
      </c>
      <c r="M1091" s="15">
        <f t="shared" ca="1" si="115"/>
        <v>4</v>
      </c>
      <c r="N1091" s="16">
        <f t="shared" ref="N1091:N1097" ca="1" si="119">L1091-M1091</f>
        <v>84</v>
      </c>
      <c r="O1091" s="18">
        <f t="shared" ca="1" si="118"/>
        <v>0.95454545454545459</v>
      </c>
      <c r="P1091" s="19">
        <f t="shared" ref="P1091:P1097" si="120">IF(K1091=0, 0, L1091/K1091)</f>
        <v>11</v>
      </c>
      <c r="Q1091" s="16" t="str">
        <f>IF(COUNTIF($B$2:B1091,B1091)=1,SUMIF($B$2:$B$1097,B1091,$L$2:$L$1097),"")</f>
        <v/>
      </c>
    </row>
    <row r="1092" spans="1:18" ht="12.75" x14ac:dyDescent="0.2">
      <c r="A1092" s="3">
        <v>1091</v>
      </c>
      <c r="B1092" s="26">
        <v>45288</v>
      </c>
      <c r="C1092" s="23" t="s">
        <v>46</v>
      </c>
      <c r="D1092" s="4">
        <v>6</v>
      </c>
      <c r="E1092" s="24" t="s">
        <v>40</v>
      </c>
      <c r="F1092" s="5" t="s">
        <v>11</v>
      </c>
      <c r="G1092" s="5" t="s">
        <v>11</v>
      </c>
      <c r="H1092" s="5" t="s">
        <v>14</v>
      </c>
      <c r="I1092" s="5" t="s">
        <v>17</v>
      </c>
      <c r="J1092" s="5" t="s">
        <v>53</v>
      </c>
      <c r="K1092" s="6">
        <v>15</v>
      </c>
      <c r="L1092" s="15">
        <v>165</v>
      </c>
      <c r="M1092" s="15">
        <f t="shared" ca="1" si="115"/>
        <v>5</v>
      </c>
      <c r="N1092" s="16">
        <f t="shared" ca="1" si="119"/>
        <v>160</v>
      </c>
      <c r="O1092" s="18">
        <f t="shared" ca="1" si="118"/>
        <v>0.96969696969696972</v>
      </c>
      <c r="P1092" s="19">
        <f t="shared" si="120"/>
        <v>11</v>
      </c>
      <c r="Q1092" s="16" t="str">
        <f>IF(COUNTIF($B$2:B1092,B1092)=1,SUMIF($B$2:$B$1097,B1092,$L$2:$L$1097),"")</f>
        <v/>
      </c>
    </row>
    <row r="1093" spans="1:18" ht="12.75" x14ac:dyDescent="0.2">
      <c r="A1093" s="3">
        <v>1092</v>
      </c>
      <c r="B1093" s="26">
        <v>45289</v>
      </c>
      <c r="C1093" s="23" t="s">
        <v>46</v>
      </c>
      <c r="D1093" s="4">
        <v>7</v>
      </c>
      <c r="E1093" s="24" t="s">
        <v>40</v>
      </c>
      <c r="F1093" s="5" t="s">
        <v>11</v>
      </c>
      <c r="G1093" s="5" t="s">
        <v>11</v>
      </c>
      <c r="H1093" s="5" t="s">
        <v>14</v>
      </c>
      <c r="I1093" s="5" t="s">
        <v>13</v>
      </c>
      <c r="J1093" s="5" t="s">
        <v>56</v>
      </c>
      <c r="K1093" s="6">
        <v>22</v>
      </c>
      <c r="L1093" s="15">
        <v>242</v>
      </c>
      <c r="M1093" s="15">
        <f t="shared" ca="1" si="115"/>
        <v>2</v>
      </c>
      <c r="N1093" s="16">
        <f t="shared" ca="1" si="119"/>
        <v>240</v>
      </c>
      <c r="O1093" s="18">
        <f t="shared" ca="1" si="118"/>
        <v>0.99173553719008267</v>
      </c>
      <c r="P1093" s="19">
        <f t="shared" si="120"/>
        <v>11</v>
      </c>
      <c r="Q1093" s="16">
        <f>IF(COUNTIF($B$2:B1093,B1093)=1,SUMIF($B$2:$B$1097,B1093,$L$2:$L$1097),"")</f>
        <v>242</v>
      </c>
      <c r="R1093" s="16">
        <f t="shared" ref="R1093:R1094" si="121">AVERAGE(Q1073:Q1093)</f>
        <v>297</v>
      </c>
    </row>
    <row r="1094" spans="1:18" ht="12.75" x14ac:dyDescent="0.2">
      <c r="A1094" s="3">
        <v>1093</v>
      </c>
      <c r="B1094" s="26">
        <v>45291</v>
      </c>
      <c r="C1094" s="23" t="s">
        <v>46</v>
      </c>
      <c r="D1094" s="4">
        <v>2</v>
      </c>
      <c r="E1094" s="24" t="s">
        <v>40</v>
      </c>
      <c r="F1094" s="5" t="s">
        <v>10</v>
      </c>
      <c r="G1094" s="5" t="s">
        <v>11</v>
      </c>
      <c r="H1094" s="5" t="s">
        <v>50</v>
      </c>
      <c r="I1094" s="5" t="s">
        <v>13</v>
      </c>
      <c r="J1094" s="5" t="s">
        <v>14</v>
      </c>
      <c r="K1094" s="6">
        <v>0</v>
      </c>
      <c r="L1094" s="15">
        <v>0</v>
      </c>
      <c r="M1094" s="15">
        <v>10</v>
      </c>
      <c r="N1094" s="16">
        <f t="shared" si="119"/>
        <v>-10</v>
      </c>
      <c r="O1094" s="18">
        <f t="shared" si="118"/>
        <v>0</v>
      </c>
      <c r="P1094" s="19">
        <f t="shared" si="120"/>
        <v>0</v>
      </c>
      <c r="Q1094" s="16">
        <f>IF(COUNTIF($B$2:B1094,B1094)=1,SUMIF($B$2:$B$1097,B1094,$L$2:$L$1097),"")</f>
        <v>0</v>
      </c>
      <c r="R1094" s="16">
        <f t="shared" si="121"/>
        <v>297</v>
      </c>
    </row>
    <row r="1095" spans="1:18" ht="12.75" x14ac:dyDescent="0.2">
      <c r="A1095" s="3">
        <v>1094</v>
      </c>
      <c r="B1095" s="26">
        <v>45291</v>
      </c>
      <c r="C1095" s="23" t="s">
        <v>46</v>
      </c>
      <c r="D1095" s="4">
        <v>2</v>
      </c>
      <c r="E1095" s="24" t="s">
        <v>40</v>
      </c>
      <c r="F1095" s="5" t="s">
        <v>10</v>
      </c>
      <c r="G1095" s="5" t="s">
        <v>11</v>
      </c>
      <c r="H1095" s="5" t="s">
        <v>50</v>
      </c>
      <c r="I1095" s="5" t="s">
        <v>15</v>
      </c>
      <c r="J1095" s="5" t="s">
        <v>14</v>
      </c>
      <c r="K1095" s="6">
        <v>0</v>
      </c>
      <c r="L1095" s="15">
        <v>0</v>
      </c>
      <c r="M1095" s="15">
        <v>10</v>
      </c>
      <c r="N1095" s="16">
        <f t="shared" si="119"/>
        <v>-10</v>
      </c>
      <c r="O1095" s="18">
        <f t="shared" si="118"/>
        <v>0</v>
      </c>
      <c r="P1095" s="19">
        <f t="shared" si="120"/>
        <v>0</v>
      </c>
      <c r="Q1095" s="16" t="str">
        <f>IF(COUNTIF($B$2:B1095,B1095)=1,SUMIF($B$2:$B$1097,B1095,$L$2:$L$1097),"")</f>
        <v/>
      </c>
    </row>
    <row r="1096" spans="1:18" ht="12.75" x14ac:dyDescent="0.2">
      <c r="A1096" s="3">
        <v>1095</v>
      </c>
      <c r="B1096" s="26">
        <v>45291</v>
      </c>
      <c r="C1096" s="23" t="s">
        <v>46</v>
      </c>
      <c r="D1096" s="4">
        <v>2</v>
      </c>
      <c r="E1096" s="24" t="s">
        <v>40</v>
      </c>
      <c r="F1096" s="5" t="s">
        <v>10</v>
      </c>
      <c r="G1096" s="5" t="s">
        <v>11</v>
      </c>
      <c r="H1096" s="5" t="s">
        <v>50</v>
      </c>
      <c r="I1096" s="5" t="s">
        <v>16</v>
      </c>
      <c r="J1096" s="5" t="s">
        <v>14</v>
      </c>
      <c r="K1096" s="6">
        <v>0</v>
      </c>
      <c r="L1096" s="15">
        <v>0</v>
      </c>
      <c r="M1096" s="15">
        <v>10</v>
      </c>
      <c r="N1096" s="16">
        <f t="shared" si="119"/>
        <v>-10</v>
      </c>
      <c r="O1096" s="18">
        <f t="shared" si="118"/>
        <v>0</v>
      </c>
      <c r="P1096" s="19">
        <f t="shared" si="120"/>
        <v>0</v>
      </c>
      <c r="Q1096" s="16" t="str">
        <f>IF(COUNTIF($B$2:B1096,B1096)=1,SUMIF($B$2:$B$1097,B1096,$L$2:$L$1097),"")</f>
        <v/>
      </c>
    </row>
    <row r="1097" spans="1:18" ht="12.75" x14ac:dyDescent="0.2">
      <c r="A1097" s="3">
        <v>1096</v>
      </c>
      <c r="B1097" s="26">
        <v>45291</v>
      </c>
      <c r="C1097" s="23" t="s">
        <v>46</v>
      </c>
      <c r="D1097" s="4">
        <v>2</v>
      </c>
      <c r="E1097" s="24" t="s">
        <v>40</v>
      </c>
      <c r="F1097" s="5" t="s">
        <v>10</v>
      </c>
      <c r="G1097" s="5" t="s">
        <v>11</v>
      </c>
      <c r="H1097" s="5" t="s">
        <v>50</v>
      </c>
      <c r="I1097" s="5" t="s">
        <v>17</v>
      </c>
      <c r="J1097" s="5" t="s">
        <v>14</v>
      </c>
      <c r="K1097" s="6">
        <v>0</v>
      </c>
      <c r="L1097" s="15">
        <v>0</v>
      </c>
      <c r="M1097" s="15">
        <v>10</v>
      </c>
      <c r="N1097" s="16">
        <f t="shared" si="119"/>
        <v>-10</v>
      </c>
      <c r="O1097" s="18">
        <f t="shared" si="118"/>
        <v>0</v>
      </c>
      <c r="P1097" s="19">
        <f t="shared" si="120"/>
        <v>0</v>
      </c>
      <c r="Q1097" s="16" t="str">
        <f>IF(COUNTIF($B$2:B1097,B1097)=1,SUMIF($B$2:$B$1097,B1097,$L$2:$L$1097),"")</f>
        <v/>
      </c>
    </row>
  </sheetData>
  <autoFilter ref="A1:Q1097" xr:uid="{00000000-0001-0000-0000-000000000000}"/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29A9-E759-42B0-B40F-12E4670F4715}">
  <dimension ref="A3:I39"/>
  <sheetViews>
    <sheetView workbookViewId="0">
      <selection activeCell="F45" sqref="F45"/>
    </sheetView>
  </sheetViews>
  <sheetFormatPr defaultRowHeight="12.75" x14ac:dyDescent="0.2"/>
  <cols>
    <col min="1" max="1" width="12.28515625" bestFit="1" customWidth="1"/>
    <col min="2" max="2" width="16.7109375" bestFit="1" customWidth="1"/>
    <col min="3" max="3" width="12.85546875" bestFit="1" customWidth="1"/>
    <col min="4" max="4" width="23.5703125" bestFit="1" customWidth="1"/>
    <col min="5" max="5" width="16.140625" bestFit="1" customWidth="1"/>
    <col min="6" max="6" width="29.28515625" bestFit="1" customWidth="1"/>
  </cols>
  <sheetData>
    <row r="3" spans="1:6" x14ac:dyDescent="0.2">
      <c r="A3" s="21" t="s">
        <v>58</v>
      </c>
      <c r="B3" t="s">
        <v>65</v>
      </c>
      <c r="C3" t="s">
        <v>67</v>
      </c>
      <c r="D3" t="s">
        <v>69</v>
      </c>
      <c r="E3" t="s">
        <v>66</v>
      </c>
      <c r="F3" t="s">
        <v>68</v>
      </c>
    </row>
    <row r="4" spans="1:6" x14ac:dyDescent="0.2">
      <c r="A4" s="22" t="s">
        <v>52</v>
      </c>
      <c r="B4">
        <v>3045</v>
      </c>
      <c r="C4" s="16">
        <v>28981</v>
      </c>
      <c r="D4" s="19">
        <v>0.87907556484789406</v>
      </c>
      <c r="E4" s="16">
        <v>32847</v>
      </c>
      <c r="F4" s="19">
        <v>1646.8232116736613</v>
      </c>
    </row>
    <row r="5" spans="1:6" x14ac:dyDescent="0.2">
      <c r="A5" s="22" t="s">
        <v>54</v>
      </c>
      <c r="B5">
        <v>3187</v>
      </c>
      <c r="C5" s="16">
        <v>26493</v>
      </c>
      <c r="D5" s="19">
        <v>0.72943985110959764</v>
      </c>
      <c r="E5" s="16">
        <v>34225</v>
      </c>
      <c r="F5" s="19">
        <v>3261.1245725620906</v>
      </c>
    </row>
    <row r="6" spans="1:6" x14ac:dyDescent="0.2">
      <c r="A6" s="22" t="s">
        <v>56</v>
      </c>
      <c r="B6">
        <v>4171</v>
      </c>
      <c r="C6" s="16">
        <v>38290.267263267888</v>
      </c>
      <c r="D6" s="19">
        <v>0.83868828471888834</v>
      </c>
      <c r="E6" s="16">
        <v>44761</v>
      </c>
      <c r="F6" s="19">
        <v>2767.4715930559901</v>
      </c>
    </row>
    <row r="7" spans="1:6" x14ac:dyDescent="0.2">
      <c r="A7" s="22" t="s">
        <v>53</v>
      </c>
      <c r="B7">
        <v>2379</v>
      </c>
      <c r="C7" s="16">
        <v>21642</v>
      </c>
      <c r="D7" s="19">
        <v>0.84724038840261373</v>
      </c>
      <c r="E7" s="16">
        <v>25377</v>
      </c>
      <c r="F7" s="19">
        <v>1660.2792166592624</v>
      </c>
    </row>
    <row r="8" spans="1:6" ht="12.75" customHeight="1" x14ac:dyDescent="0.2">
      <c r="A8" s="22" t="s">
        <v>14</v>
      </c>
      <c r="B8">
        <v>0</v>
      </c>
      <c r="C8" s="16">
        <v>-280</v>
      </c>
      <c r="D8" s="19">
        <v>0</v>
      </c>
      <c r="E8" s="16">
        <v>0</v>
      </c>
      <c r="F8" s="19">
        <v>0</v>
      </c>
    </row>
    <row r="9" spans="1:6" x14ac:dyDescent="0.2">
      <c r="A9" s="22" t="s">
        <v>55</v>
      </c>
      <c r="B9">
        <v>1944</v>
      </c>
      <c r="C9" s="16">
        <v>15168</v>
      </c>
      <c r="D9" s="19">
        <v>0.68199517078617478</v>
      </c>
      <c r="E9" s="16">
        <v>20312</v>
      </c>
      <c r="F9" s="19">
        <v>2214.15598150811</v>
      </c>
    </row>
    <row r="10" spans="1:6" x14ac:dyDescent="0.2">
      <c r="A10" s="22" t="s">
        <v>51</v>
      </c>
      <c r="B10">
        <v>14726</v>
      </c>
      <c r="C10" s="16">
        <v>130294.26726326789</v>
      </c>
      <c r="D10" s="19">
        <v>0.76470955024977139</v>
      </c>
      <c r="E10" s="16">
        <v>157522</v>
      </c>
      <c r="F10" s="19">
        <v>11549.854575459116</v>
      </c>
    </row>
    <row r="39" spans="9:9" x14ac:dyDescent="0.2">
      <c r="I39" s="17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X12" sqref="X12"/>
    </sheetView>
  </sheetViews>
  <sheetFormatPr defaultColWidth="14.42578125" defaultRowHeight="15.75" customHeight="1" x14ac:dyDescent="0.2"/>
  <cols>
    <col min="1" max="1" width="5" bestFit="1" customWidth="1"/>
    <col min="2" max="2" width="10.140625" style="33" bestFit="1" customWidth="1"/>
    <col min="3" max="3" width="10" bestFit="1" customWidth="1"/>
    <col min="4" max="4" width="4.42578125" bestFit="1" customWidth="1"/>
    <col min="5" max="6" width="7.85546875" bestFit="1" customWidth="1"/>
    <col min="7" max="7" width="10.42578125" bestFit="1" customWidth="1"/>
    <col min="8" max="8" width="27.7109375" bestFit="1" customWidth="1"/>
    <col min="9" max="9" width="7.5703125" bestFit="1" customWidth="1"/>
    <col min="10" max="10" width="10" bestFit="1" customWidth="1"/>
    <col min="11" max="11" width="9.5703125" bestFit="1" customWidth="1"/>
    <col min="12" max="12" width="9" bestFit="1" customWidth="1"/>
    <col min="13" max="14" width="12" bestFit="1" customWidth="1"/>
    <col min="15" max="15" width="12.7109375" bestFit="1" customWidth="1"/>
    <col min="16" max="16" width="22.140625" bestFit="1" customWidth="1"/>
    <col min="17" max="17" width="14.28515625" style="16" bestFit="1" customWidth="1"/>
    <col min="18" max="18" width="15.7109375" style="16" bestFit="1" customWidth="1"/>
  </cols>
  <sheetData>
    <row r="1" spans="1:26" x14ac:dyDescent="0.2">
      <c r="A1" s="1" t="s">
        <v>0</v>
      </c>
      <c r="B1" s="3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" t="s">
        <v>61</v>
      </c>
      <c r="I1" s="2" t="s">
        <v>57</v>
      </c>
      <c r="J1" s="2" t="s">
        <v>58</v>
      </c>
      <c r="K1" s="2" t="s">
        <v>59</v>
      </c>
      <c r="L1" s="2" t="s">
        <v>7</v>
      </c>
      <c r="M1" s="2" t="s">
        <v>60</v>
      </c>
      <c r="N1" s="2" t="s">
        <v>62</v>
      </c>
      <c r="O1" s="2" t="s">
        <v>63</v>
      </c>
      <c r="P1" s="2" t="s">
        <v>64</v>
      </c>
      <c r="Q1" s="30" t="s">
        <v>72</v>
      </c>
      <c r="R1" s="30" t="s">
        <v>70</v>
      </c>
      <c r="S1" s="2"/>
      <c r="T1" s="2"/>
      <c r="U1" s="2"/>
      <c r="V1" s="2"/>
      <c r="W1" s="2"/>
      <c r="X1" s="2"/>
      <c r="Y1" s="2"/>
      <c r="Z1" s="2"/>
    </row>
    <row r="2" spans="1:26" x14ac:dyDescent="0.2">
      <c r="A2" s="1">
        <v>1</v>
      </c>
      <c r="B2" s="32">
        <v>44927</v>
      </c>
      <c r="C2" s="8" t="s">
        <v>8</v>
      </c>
      <c r="D2" s="8">
        <v>2</v>
      </c>
      <c r="E2" s="8" t="s">
        <v>9</v>
      </c>
      <c r="F2" s="8" t="s">
        <v>10</v>
      </c>
      <c r="G2" s="8" t="s">
        <v>11</v>
      </c>
      <c r="H2" s="8" t="s">
        <v>12</v>
      </c>
      <c r="I2" t="s">
        <v>13</v>
      </c>
      <c r="J2" t="s">
        <v>14</v>
      </c>
      <c r="K2">
        <v>0</v>
      </c>
      <c r="L2">
        <v>0</v>
      </c>
      <c r="M2">
        <v>10</v>
      </c>
      <c r="N2">
        <v>-10</v>
      </c>
      <c r="O2">
        <v>0</v>
      </c>
      <c r="P2">
        <v>0</v>
      </c>
      <c r="Q2" s="16">
        <v>0</v>
      </c>
    </row>
    <row r="3" spans="1:26" x14ac:dyDescent="0.2">
      <c r="A3" s="1">
        <v>5</v>
      </c>
      <c r="B3" s="32">
        <v>44928</v>
      </c>
      <c r="C3" s="8" t="s">
        <v>8</v>
      </c>
      <c r="D3" s="8">
        <v>3</v>
      </c>
      <c r="E3" s="8" t="s">
        <v>9</v>
      </c>
      <c r="F3" s="8" t="s">
        <v>11</v>
      </c>
      <c r="G3" s="8" t="s">
        <v>10</v>
      </c>
      <c r="H3" s="8" t="s">
        <v>18</v>
      </c>
      <c r="I3" t="s">
        <v>13</v>
      </c>
      <c r="J3" t="s">
        <v>56</v>
      </c>
      <c r="K3">
        <v>29</v>
      </c>
      <c r="L3">
        <v>295</v>
      </c>
      <c r="M3">
        <v>12.813172442809233</v>
      </c>
      <c r="N3">
        <v>282.18682755719078</v>
      </c>
      <c r="O3">
        <v>0.95656551714301963</v>
      </c>
      <c r="P3">
        <v>10.172413793103448</v>
      </c>
      <c r="Q3" s="16">
        <v>882</v>
      </c>
    </row>
    <row r="4" spans="1:26" x14ac:dyDescent="0.2">
      <c r="A4" s="1">
        <v>9</v>
      </c>
      <c r="B4" s="32">
        <v>44929</v>
      </c>
      <c r="C4" s="8" t="s">
        <v>8</v>
      </c>
      <c r="D4" s="8">
        <v>4</v>
      </c>
      <c r="E4" s="8" t="s">
        <v>9</v>
      </c>
      <c r="F4" s="8" t="s">
        <v>11</v>
      </c>
      <c r="G4" s="8" t="s">
        <v>10</v>
      </c>
      <c r="H4" s="8" t="s">
        <v>18</v>
      </c>
      <c r="I4" t="s">
        <v>13</v>
      </c>
      <c r="J4" t="s">
        <v>52</v>
      </c>
      <c r="K4">
        <v>32</v>
      </c>
      <c r="L4">
        <v>296</v>
      </c>
      <c r="M4">
        <v>13</v>
      </c>
      <c r="N4">
        <v>283</v>
      </c>
      <c r="O4">
        <v>0.95608108108108103</v>
      </c>
      <c r="P4">
        <v>9.25</v>
      </c>
      <c r="Q4" s="16">
        <v>778</v>
      </c>
    </row>
    <row r="5" spans="1:26" x14ac:dyDescent="0.2">
      <c r="A5" s="1">
        <v>13</v>
      </c>
      <c r="B5" s="32">
        <v>44930</v>
      </c>
      <c r="C5" s="8" t="s">
        <v>8</v>
      </c>
      <c r="D5" s="8">
        <v>5</v>
      </c>
      <c r="E5" s="8" t="s">
        <v>9</v>
      </c>
      <c r="F5" s="8" t="s">
        <v>11</v>
      </c>
      <c r="G5" s="8" t="s">
        <v>10</v>
      </c>
      <c r="H5" s="8" t="s">
        <v>18</v>
      </c>
      <c r="I5" t="s">
        <v>13</v>
      </c>
      <c r="J5" t="s">
        <v>56</v>
      </c>
      <c r="K5">
        <v>28</v>
      </c>
      <c r="L5">
        <v>268</v>
      </c>
      <c r="M5">
        <v>4</v>
      </c>
      <c r="N5">
        <v>264</v>
      </c>
      <c r="O5">
        <v>0.9850746268656716</v>
      </c>
      <c r="P5">
        <v>9.5714285714285712</v>
      </c>
      <c r="Q5" s="16">
        <v>819</v>
      </c>
    </row>
    <row r="6" spans="1:26" x14ac:dyDescent="0.2">
      <c r="A6" s="1">
        <v>17</v>
      </c>
      <c r="B6" s="32">
        <v>44931</v>
      </c>
      <c r="C6" s="8" t="s">
        <v>8</v>
      </c>
      <c r="D6" s="8">
        <v>6</v>
      </c>
      <c r="E6" s="8" t="s">
        <v>9</v>
      </c>
      <c r="F6" s="8" t="s">
        <v>11</v>
      </c>
      <c r="G6" s="8" t="s">
        <v>10</v>
      </c>
      <c r="H6" s="8" t="s">
        <v>18</v>
      </c>
      <c r="I6" t="s">
        <v>13</v>
      </c>
      <c r="J6" t="s">
        <v>52</v>
      </c>
      <c r="K6">
        <v>33</v>
      </c>
      <c r="L6">
        <v>331</v>
      </c>
      <c r="M6">
        <v>4</v>
      </c>
      <c r="N6">
        <v>327</v>
      </c>
      <c r="O6">
        <v>0.98791540785498488</v>
      </c>
      <c r="P6">
        <v>10.030303030303031</v>
      </c>
      <c r="Q6" s="16">
        <v>1039</v>
      </c>
    </row>
    <row r="7" spans="1:26" x14ac:dyDescent="0.2">
      <c r="A7" s="1">
        <v>21</v>
      </c>
      <c r="B7" s="32">
        <v>44932</v>
      </c>
      <c r="C7" s="8" t="s">
        <v>8</v>
      </c>
      <c r="D7" s="8">
        <v>7</v>
      </c>
      <c r="E7" s="8" t="s">
        <v>9</v>
      </c>
      <c r="F7" s="8" t="s">
        <v>11</v>
      </c>
      <c r="G7" s="8" t="s">
        <v>10</v>
      </c>
      <c r="H7" s="8" t="s">
        <v>18</v>
      </c>
      <c r="I7" t="s">
        <v>13</v>
      </c>
      <c r="J7" t="s">
        <v>56</v>
      </c>
      <c r="K7">
        <v>37</v>
      </c>
      <c r="L7">
        <v>375</v>
      </c>
      <c r="M7">
        <v>9</v>
      </c>
      <c r="N7">
        <v>366</v>
      </c>
      <c r="O7">
        <v>0.97599999999999998</v>
      </c>
      <c r="P7">
        <v>10.135135135135135</v>
      </c>
      <c r="Q7" s="16">
        <v>375</v>
      </c>
      <c r="R7" s="16">
        <v>648.83333333333337</v>
      </c>
    </row>
    <row r="8" spans="1:26" x14ac:dyDescent="0.2">
      <c r="A8" s="3">
        <v>22</v>
      </c>
      <c r="B8" s="32">
        <v>44934</v>
      </c>
      <c r="C8" s="8" t="s">
        <v>8</v>
      </c>
      <c r="D8" s="8">
        <v>2</v>
      </c>
      <c r="E8" s="8" t="s">
        <v>9</v>
      </c>
      <c r="F8" s="8" t="s">
        <v>11</v>
      </c>
      <c r="G8" s="8" t="s">
        <v>11</v>
      </c>
      <c r="H8" s="8" t="s">
        <v>14</v>
      </c>
      <c r="I8" t="s">
        <v>13</v>
      </c>
      <c r="J8" t="s">
        <v>52</v>
      </c>
      <c r="K8">
        <v>32</v>
      </c>
      <c r="L8">
        <v>352</v>
      </c>
      <c r="M8">
        <v>12</v>
      </c>
      <c r="N8">
        <v>340</v>
      </c>
      <c r="O8">
        <v>0.96590909090909094</v>
      </c>
      <c r="P8">
        <v>11</v>
      </c>
      <c r="Q8" s="16">
        <v>968</v>
      </c>
      <c r="R8" s="16">
        <v>810.16666666666663</v>
      </c>
    </row>
    <row r="9" spans="1:26" x14ac:dyDescent="0.2">
      <c r="A9" s="3">
        <v>26</v>
      </c>
      <c r="B9" s="32">
        <v>44935</v>
      </c>
      <c r="C9" s="8" t="s">
        <v>8</v>
      </c>
      <c r="D9" s="8">
        <v>3</v>
      </c>
      <c r="E9" s="8" t="s">
        <v>9</v>
      </c>
      <c r="F9" s="8" t="s">
        <v>11</v>
      </c>
      <c r="G9" s="8" t="s">
        <v>11</v>
      </c>
      <c r="H9" s="8" t="s">
        <v>14</v>
      </c>
      <c r="I9" t="s">
        <v>13</v>
      </c>
      <c r="J9" t="s">
        <v>56</v>
      </c>
      <c r="K9">
        <v>25</v>
      </c>
      <c r="L9">
        <v>275</v>
      </c>
      <c r="M9">
        <v>1</v>
      </c>
      <c r="N9">
        <v>274</v>
      </c>
      <c r="O9">
        <v>0.99636363636363634</v>
      </c>
      <c r="P9">
        <v>11</v>
      </c>
      <c r="Q9" s="16">
        <v>825</v>
      </c>
      <c r="R9" s="16">
        <v>800.66666666666663</v>
      </c>
    </row>
    <row r="10" spans="1:26" x14ac:dyDescent="0.2">
      <c r="A10" s="3">
        <v>30</v>
      </c>
      <c r="B10" s="32">
        <v>44936</v>
      </c>
      <c r="C10" s="8" t="s">
        <v>8</v>
      </c>
      <c r="D10" s="8">
        <v>4</v>
      </c>
      <c r="E10" s="8" t="s">
        <v>9</v>
      </c>
      <c r="F10" s="8" t="s">
        <v>11</v>
      </c>
      <c r="G10" s="8" t="s">
        <v>11</v>
      </c>
      <c r="H10" s="8" t="s">
        <v>14</v>
      </c>
      <c r="I10" t="s">
        <v>13</v>
      </c>
      <c r="J10" t="s">
        <v>52</v>
      </c>
      <c r="K10">
        <v>25</v>
      </c>
      <c r="L10">
        <v>275</v>
      </c>
      <c r="M10">
        <v>10</v>
      </c>
      <c r="N10">
        <v>265</v>
      </c>
      <c r="O10">
        <v>0.96363636363636362</v>
      </c>
      <c r="P10">
        <v>11</v>
      </c>
      <c r="Q10" s="16">
        <v>726</v>
      </c>
      <c r="R10" s="16">
        <v>792</v>
      </c>
    </row>
    <row r="11" spans="1:26" x14ac:dyDescent="0.2">
      <c r="A11" s="3">
        <v>34</v>
      </c>
      <c r="B11" s="32">
        <v>44937</v>
      </c>
      <c r="C11" s="8" t="s">
        <v>8</v>
      </c>
      <c r="D11" s="8">
        <v>5</v>
      </c>
      <c r="E11" s="8" t="s">
        <v>9</v>
      </c>
      <c r="F11" s="8" t="s">
        <v>11</v>
      </c>
      <c r="G11" s="8" t="s">
        <v>11</v>
      </c>
      <c r="H11" s="8" t="s">
        <v>14</v>
      </c>
      <c r="I11" t="s">
        <v>13</v>
      </c>
      <c r="J11" t="s">
        <v>56</v>
      </c>
      <c r="K11">
        <v>28</v>
      </c>
      <c r="L11">
        <v>308</v>
      </c>
      <c r="M11">
        <v>37</v>
      </c>
      <c r="N11">
        <v>271</v>
      </c>
      <c r="O11">
        <v>0.87987012987012991</v>
      </c>
      <c r="P11">
        <v>11</v>
      </c>
      <c r="Q11" s="16">
        <v>902</v>
      </c>
      <c r="R11" s="16">
        <v>805.83333333333337</v>
      </c>
    </row>
    <row r="12" spans="1:26" x14ac:dyDescent="0.2">
      <c r="A12" s="3">
        <v>38</v>
      </c>
      <c r="B12" s="32">
        <v>44938</v>
      </c>
      <c r="C12" s="8" t="s">
        <v>8</v>
      </c>
      <c r="D12" s="8">
        <v>6</v>
      </c>
      <c r="E12" s="8" t="s">
        <v>9</v>
      </c>
      <c r="F12" s="8" t="s">
        <v>11</v>
      </c>
      <c r="G12" s="8" t="s">
        <v>11</v>
      </c>
      <c r="H12" s="8" t="s">
        <v>14</v>
      </c>
      <c r="I12" t="s">
        <v>13</v>
      </c>
      <c r="J12" t="s">
        <v>52</v>
      </c>
      <c r="K12">
        <v>30</v>
      </c>
      <c r="L12">
        <v>330</v>
      </c>
      <c r="M12">
        <v>3</v>
      </c>
      <c r="N12">
        <v>327</v>
      </c>
      <c r="O12">
        <v>0.99090909090909096</v>
      </c>
      <c r="P12">
        <v>11</v>
      </c>
      <c r="Q12" s="16">
        <v>946</v>
      </c>
      <c r="R12" s="16">
        <v>790.33333333333337</v>
      </c>
    </row>
    <row r="13" spans="1:26" x14ac:dyDescent="0.2">
      <c r="A13" s="1">
        <v>42</v>
      </c>
      <c r="B13" s="32">
        <v>44939</v>
      </c>
      <c r="C13" s="8" t="s">
        <v>8</v>
      </c>
      <c r="D13" s="8">
        <v>7</v>
      </c>
      <c r="E13" s="8" t="s">
        <v>9</v>
      </c>
      <c r="F13" s="8" t="s">
        <v>11</v>
      </c>
      <c r="G13" s="8" t="s">
        <v>11</v>
      </c>
      <c r="H13" t="s">
        <v>14</v>
      </c>
      <c r="I13" t="s">
        <v>13</v>
      </c>
      <c r="J13" t="s">
        <v>56</v>
      </c>
      <c r="K13">
        <v>30</v>
      </c>
      <c r="L13">
        <v>330</v>
      </c>
      <c r="M13">
        <v>16</v>
      </c>
      <c r="N13">
        <v>314</v>
      </c>
      <c r="O13">
        <v>0.95151515151515154</v>
      </c>
      <c r="P13">
        <v>11</v>
      </c>
      <c r="Q13" s="16">
        <v>330</v>
      </c>
      <c r="R13" s="16">
        <v>782.83333333333337</v>
      </c>
    </row>
    <row r="14" spans="1:26" x14ac:dyDescent="0.2">
      <c r="A14" s="1">
        <v>43</v>
      </c>
      <c r="B14" s="32">
        <v>44941</v>
      </c>
      <c r="C14" s="8" t="s">
        <v>8</v>
      </c>
      <c r="D14" s="8">
        <v>2</v>
      </c>
      <c r="E14" s="8" t="s">
        <v>9</v>
      </c>
      <c r="F14" s="8" t="s">
        <v>10</v>
      </c>
      <c r="G14" s="8" t="s">
        <v>10</v>
      </c>
      <c r="H14" t="s">
        <v>19</v>
      </c>
      <c r="I14" t="s">
        <v>13</v>
      </c>
      <c r="J14" t="s">
        <v>52</v>
      </c>
      <c r="K14">
        <v>36</v>
      </c>
      <c r="L14">
        <v>340</v>
      </c>
      <c r="M14">
        <v>24</v>
      </c>
      <c r="N14">
        <v>316</v>
      </c>
      <c r="O14">
        <v>0.92941176470588238</v>
      </c>
      <c r="P14">
        <v>9.4444444444444446</v>
      </c>
      <c r="Q14" s="16">
        <v>959</v>
      </c>
      <c r="R14" s="16">
        <v>781.33333333333337</v>
      </c>
    </row>
    <row r="15" spans="1:26" x14ac:dyDescent="0.2">
      <c r="A15" s="1">
        <v>47</v>
      </c>
      <c r="B15" s="32">
        <v>44942</v>
      </c>
      <c r="C15" s="8" t="s">
        <v>8</v>
      </c>
      <c r="D15" s="8">
        <v>3</v>
      </c>
      <c r="E15" s="8" t="s">
        <v>9</v>
      </c>
      <c r="F15" s="8" t="s">
        <v>11</v>
      </c>
      <c r="G15" s="8" t="s">
        <v>11</v>
      </c>
      <c r="H15" t="s">
        <v>14</v>
      </c>
      <c r="I15" t="s">
        <v>13</v>
      </c>
      <c r="J15" t="s">
        <v>56</v>
      </c>
      <c r="K15">
        <v>24</v>
      </c>
      <c r="L15">
        <v>264</v>
      </c>
      <c r="M15">
        <v>33</v>
      </c>
      <c r="N15">
        <v>231</v>
      </c>
      <c r="O15">
        <v>0.875</v>
      </c>
      <c r="P15">
        <v>11</v>
      </c>
      <c r="Q15" s="16">
        <v>803</v>
      </c>
      <c r="R15" s="16">
        <v>777.66666666666663</v>
      </c>
    </row>
    <row r="16" spans="1:26" x14ac:dyDescent="0.2">
      <c r="A16" s="1">
        <v>51</v>
      </c>
      <c r="B16" s="32">
        <v>44943</v>
      </c>
      <c r="C16" s="8" t="s">
        <v>8</v>
      </c>
      <c r="D16" s="8">
        <v>4</v>
      </c>
      <c r="E16" s="8" t="s">
        <v>9</v>
      </c>
      <c r="F16" s="8" t="s">
        <v>11</v>
      </c>
      <c r="G16" s="8" t="s">
        <v>11</v>
      </c>
      <c r="H16" t="s">
        <v>14</v>
      </c>
      <c r="I16" t="s">
        <v>13</v>
      </c>
      <c r="J16" t="s">
        <v>52</v>
      </c>
      <c r="K16">
        <v>22</v>
      </c>
      <c r="L16">
        <v>242</v>
      </c>
      <c r="M16">
        <v>39</v>
      </c>
      <c r="N16">
        <v>203</v>
      </c>
      <c r="O16">
        <v>0.83884297520661155</v>
      </c>
      <c r="P16">
        <v>11</v>
      </c>
      <c r="Q16" s="16">
        <v>671</v>
      </c>
      <c r="R16" s="16">
        <v>768.5</v>
      </c>
    </row>
    <row r="17" spans="1:18" x14ac:dyDescent="0.2">
      <c r="A17" s="1">
        <v>55</v>
      </c>
      <c r="B17" s="32">
        <v>44944</v>
      </c>
      <c r="C17" s="8" t="s">
        <v>8</v>
      </c>
      <c r="D17" s="8">
        <v>5</v>
      </c>
      <c r="E17" s="8" t="s">
        <v>9</v>
      </c>
      <c r="F17" s="8" t="s">
        <v>11</v>
      </c>
      <c r="G17" s="8" t="s">
        <v>11</v>
      </c>
      <c r="H17" t="s">
        <v>14</v>
      </c>
      <c r="I17" t="s">
        <v>13</v>
      </c>
      <c r="J17" t="s">
        <v>56</v>
      </c>
      <c r="K17">
        <v>23</v>
      </c>
      <c r="L17">
        <v>253</v>
      </c>
      <c r="M17">
        <v>26</v>
      </c>
      <c r="N17">
        <v>227</v>
      </c>
      <c r="O17">
        <v>0.89723320158102771</v>
      </c>
      <c r="P17">
        <v>11</v>
      </c>
      <c r="Q17" s="16">
        <v>759</v>
      </c>
      <c r="R17" s="16">
        <v>744.66666666666663</v>
      </c>
    </row>
    <row r="18" spans="1:18" x14ac:dyDescent="0.2">
      <c r="A18" s="1">
        <v>59</v>
      </c>
      <c r="B18" s="32">
        <v>44945</v>
      </c>
      <c r="C18" s="8" t="s">
        <v>8</v>
      </c>
      <c r="D18" s="8">
        <v>6</v>
      </c>
      <c r="E18" s="8" t="s">
        <v>9</v>
      </c>
      <c r="F18" s="8" t="s">
        <v>11</v>
      </c>
      <c r="G18" s="8" t="s">
        <v>11</v>
      </c>
      <c r="H18" t="s">
        <v>14</v>
      </c>
      <c r="I18" t="s">
        <v>13</v>
      </c>
      <c r="J18" t="s">
        <v>52</v>
      </c>
      <c r="K18">
        <v>31</v>
      </c>
      <c r="L18">
        <v>341</v>
      </c>
      <c r="M18">
        <v>31</v>
      </c>
      <c r="N18">
        <v>310</v>
      </c>
      <c r="O18">
        <v>0.90909090909090906</v>
      </c>
      <c r="P18">
        <v>11</v>
      </c>
      <c r="Q18" s="16">
        <v>968</v>
      </c>
      <c r="R18" s="16">
        <v>748.33333333333337</v>
      </c>
    </row>
    <row r="19" spans="1:18" x14ac:dyDescent="0.2">
      <c r="A19" s="1">
        <v>63</v>
      </c>
      <c r="B19" s="32">
        <v>44946</v>
      </c>
      <c r="C19" s="8" t="s">
        <v>8</v>
      </c>
      <c r="D19" s="8">
        <v>7</v>
      </c>
      <c r="E19" s="8" t="s">
        <v>9</v>
      </c>
      <c r="F19" s="8" t="s">
        <v>11</v>
      </c>
      <c r="G19" s="8" t="s">
        <v>11</v>
      </c>
      <c r="H19" t="s">
        <v>14</v>
      </c>
      <c r="I19" t="s">
        <v>13</v>
      </c>
      <c r="J19" t="s">
        <v>56</v>
      </c>
      <c r="K19">
        <v>29</v>
      </c>
      <c r="L19">
        <v>319</v>
      </c>
      <c r="M19">
        <v>38</v>
      </c>
      <c r="N19">
        <v>281</v>
      </c>
      <c r="O19">
        <v>0.88087774294670851</v>
      </c>
      <c r="P19">
        <v>11</v>
      </c>
      <c r="Q19" s="16">
        <v>319</v>
      </c>
      <c r="R19" s="16">
        <v>746.5</v>
      </c>
    </row>
    <row r="20" spans="1:18" x14ac:dyDescent="0.2">
      <c r="A20" s="1">
        <v>64</v>
      </c>
      <c r="B20" s="32">
        <v>44948</v>
      </c>
      <c r="C20" s="8" t="s">
        <v>8</v>
      </c>
      <c r="D20" s="8">
        <v>2</v>
      </c>
      <c r="E20" s="8" t="s">
        <v>9</v>
      </c>
      <c r="F20" s="8" t="s">
        <v>11</v>
      </c>
      <c r="G20" s="8" t="s">
        <v>11</v>
      </c>
      <c r="H20" t="s">
        <v>14</v>
      </c>
      <c r="I20" t="s">
        <v>13</v>
      </c>
      <c r="J20" t="s">
        <v>52</v>
      </c>
      <c r="K20">
        <v>26</v>
      </c>
      <c r="L20">
        <v>286</v>
      </c>
      <c r="M20">
        <v>49</v>
      </c>
      <c r="N20">
        <v>237</v>
      </c>
      <c r="O20">
        <v>0.82867132867132864</v>
      </c>
      <c r="P20">
        <v>11</v>
      </c>
      <c r="Q20" s="16">
        <v>814</v>
      </c>
      <c r="R20" s="16">
        <v>722.33333333333337</v>
      </c>
    </row>
    <row r="21" spans="1:18" x14ac:dyDescent="0.2">
      <c r="A21" s="1">
        <v>68</v>
      </c>
      <c r="B21" s="32">
        <v>44949</v>
      </c>
      <c r="C21" s="8" t="s">
        <v>8</v>
      </c>
      <c r="D21" s="8">
        <v>3</v>
      </c>
      <c r="E21" s="8" t="s">
        <v>9</v>
      </c>
      <c r="F21" s="8" t="s">
        <v>11</v>
      </c>
      <c r="G21" s="8" t="s">
        <v>11</v>
      </c>
      <c r="H21" t="s">
        <v>14</v>
      </c>
      <c r="I21" t="s">
        <v>13</v>
      </c>
      <c r="J21" t="s">
        <v>56</v>
      </c>
      <c r="K21">
        <v>23</v>
      </c>
      <c r="L21">
        <v>253</v>
      </c>
      <c r="M21">
        <v>6</v>
      </c>
      <c r="N21">
        <v>247</v>
      </c>
      <c r="O21">
        <v>0.97628458498023718</v>
      </c>
      <c r="P21">
        <v>11</v>
      </c>
      <c r="Q21" s="16">
        <v>649</v>
      </c>
      <c r="R21" s="16">
        <v>696.66666666666663</v>
      </c>
    </row>
    <row r="22" spans="1:18" x14ac:dyDescent="0.2">
      <c r="A22" s="1">
        <v>72</v>
      </c>
      <c r="B22" s="32">
        <v>44950</v>
      </c>
      <c r="C22" s="8" t="s">
        <v>8</v>
      </c>
      <c r="D22" s="8">
        <v>4</v>
      </c>
      <c r="E22" s="8" t="s">
        <v>9</v>
      </c>
      <c r="F22" s="8" t="s">
        <v>11</v>
      </c>
      <c r="G22" s="8" t="s">
        <v>11</v>
      </c>
      <c r="H22" t="s">
        <v>14</v>
      </c>
      <c r="I22" t="s">
        <v>13</v>
      </c>
      <c r="J22" t="s">
        <v>52</v>
      </c>
      <c r="K22">
        <v>21</v>
      </c>
      <c r="L22">
        <v>231</v>
      </c>
      <c r="M22">
        <v>13</v>
      </c>
      <c r="N22">
        <v>218</v>
      </c>
      <c r="O22">
        <v>0.94372294372294374</v>
      </c>
      <c r="P22">
        <v>11</v>
      </c>
      <c r="Q22" s="16">
        <v>605</v>
      </c>
      <c r="R22" s="16">
        <v>685.66666666666663</v>
      </c>
    </row>
    <row r="23" spans="1:18" x14ac:dyDescent="0.2">
      <c r="A23" s="1">
        <v>76</v>
      </c>
      <c r="B23" s="32">
        <v>44951</v>
      </c>
      <c r="C23" s="8" t="s">
        <v>8</v>
      </c>
      <c r="D23" s="8">
        <v>5</v>
      </c>
      <c r="E23" s="8" t="s">
        <v>9</v>
      </c>
      <c r="F23" s="8" t="s">
        <v>11</v>
      </c>
      <c r="G23" s="8" t="s">
        <v>11</v>
      </c>
      <c r="H23" t="s">
        <v>14</v>
      </c>
      <c r="I23" t="s">
        <v>13</v>
      </c>
      <c r="J23" t="s">
        <v>56</v>
      </c>
      <c r="K23">
        <v>25</v>
      </c>
      <c r="L23">
        <v>275</v>
      </c>
      <c r="M23">
        <v>25</v>
      </c>
      <c r="N23">
        <v>250</v>
      </c>
      <c r="O23">
        <v>0.90909090909090906</v>
      </c>
      <c r="P23">
        <v>11</v>
      </c>
      <c r="Q23" s="16">
        <v>737</v>
      </c>
      <c r="R23" s="16">
        <v>682</v>
      </c>
    </row>
    <row r="24" spans="1:18" x14ac:dyDescent="0.2">
      <c r="A24" s="1">
        <v>80</v>
      </c>
      <c r="B24" s="32">
        <v>44952</v>
      </c>
      <c r="C24" s="8" t="s">
        <v>8</v>
      </c>
      <c r="D24" s="8">
        <v>6</v>
      </c>
      <c r="E24" s="8" t="s">
        <v>9</v>
      </c>
      <c r="F24" s="8" t="s">
        <v>11</v>
      </c>
      <c r="G24" s="8" t="s">
        <v>11</v>
      </c>
      <c r="H24" t="s">
        <v>14</v>
      </c>
      <c r="I24" t="s">
        <v>13</v>
      </c>
      <c r="J24" t="s">
        <v>52</v>
      </c>
      <c r="K24">
        <v>23</v>
      </c>
      <c r="L24">
        <v>253</v>
      </c>
      <c r="M24">
        <v>5</v>
      </c>
      <c r="N24">
        <v>248</v>
      </c>
      <c r="O24">
        <v>0.98023715415019763</v>
      </c>
      <c r="P24">
        <v>11</v>
      </c>
      <c r="Q24" s="16">
        <v>836</v>
      </c>
      <c r="R24" s="16">
        <v>660</v>
      </c>
    </row>
    <row r="25" spans="1:18" x14ac:dyDescent="0.2">
      <c r="A25" s="1">
        <v>84</v>
      </c>
      <c r="B25" s="32">
        <v>44953</v>
      </c>
      <c r="C25" s="8" t="s">
        <v>8</v>
      </c>
      <c r="D25" s="8">
        <v>7</v>
      </c>
      <c r="E25" s="8" t="s">
        <v>9</v>
      </c>
      <c r="F25" s="8" t="s">
        <v>11</v>
      </c>
      <c r="G25" s="8" t="s">
        <v>11</v>
      </c>
      <c r="H25" t="s">
        <v>14</v>
      </c>
      <c r="I25" t="s">
        <v>13</v>
      </c>
      <c r="J25" t="s">
        <v>56</v>
      </c>
      <c r="K25">
        <v>29</v>
      </c>
      <c r="L25">
        <v>319</v>
      </c>
      <c r="M25">
        <v>21</v>
      </c>
      <c r="N25">
        <v>298</v>
      </c>
      <c r="O25">
        <v>0.93416927899686519</v>
      </c>
      <c r="P25">
        <v>11</v>
      </c>
      <c r="Q25" s="16">
        <v>319</v>
      </c>
      <c r="R25" s="16">
        <v>660</v>
      </c>
    </row>
    <row r="26" spans="1:18" x14ac:dyDescent="0.2">
      <c r="A26" s="1">
        <v>85</v>
      </c>
      <c r="B26" s="32">
        <v>44955</v>
      </c>
      <c r="C26" s="8" t="s">
        <v>8</v>
      </c>
      <c r="D26" s="8">
        <v>2</v>
      </c>
      <c r="E26" s="8" t="s">
        <v>9</v>
      </c>
      <c r="F26" s="8" t="s">
        <v>11</v>
      </c>
      <c r="G26" s="8" t="s">
        <v>11</v>
      </c>
      <c r="H26" t="s">
        <v>14</v>
      </c>
      <c r="I26" t="s">
        <v>13</v>
      </c>
      <c r="J26" t="s">
        <v>52</v>
      </c>
      <c r="K26">
        <v>25</v>
      </c>
      <c r="L26">
        <v>275</v>
      </c>
      <c r="M26">
        <v>25</v>
      </c>
      <c r="N26">
        <v>250</v>
      </c>
      <c r="O26">
        <v>0.90909090909090906</v>
      </c>
      <c r="P26">
        <v>11</v>
      </c>
      <c r="Q26" s="16">
        <v>814</v>
      </c>
      <c r="R26" s="16">
        <v>660</v>
      </c>
    </row>
    <row r="27" spans="1:18" x14ac:dyDescent="0.2">
      <c r="A27" s="1">
        <v>89</v>
      </c>
      <c r="B27" s="32">
        <v>44956</v>
      </c>
      <c r="C27" s="8" t="s">
        <v>8</v>
      </c>
      <c r="D27" s="8">
        <v>3</v>
      </c>
      <c r="E27" s="8" t="s">
        <v>9</v>
      </c>
      <c r="F27" s="8" t="s">
        <v>11</v>
      </c>
      <c r="G27" s="8" t="s">
        <v>11</v>
      </c>
      <c r="H27" t="s">
        <v>14</v>
      </c>
      <c r="I27" t="s">
        <v>13</v>
      </c>
      <c r="J27" t="s">
        <v>56</v>
      </c>
      <c r="K27">
        <v>21</v>
      </c>
      <c r="L27">
        <v>231</v>
      </c>
      <c r="M27">
        <v>11</v>
      </c>
      <c r="N27">
        <v>220</v>
      </c>
      <c r="O27">
        <v>0.95238095238095233</v>
      </c>
      <c r="P27">
        <v>11</v>
      </c>
      <c r="Q27" s="16">
        <v>704</v>
      </c>
      <c r="R27" s="16">
        <v>669.16666666666663</v>
      </c>
    </row>
    <row r="28" spans="1:18" x14ac:dyDescent="0.2">
      <c r="A28" s="1">
        <v>93</v>
      </c>
      <c r="B28" s="32">
        <v>44957</v>
      </c>
      <c r="C28" s="8" t="s">
        <v>8</v>
      </c>
      <c r="D28" s="8">
        <v>4</v>
      </c>
      <c r="E28" s="8" t="s">
        <v>9</v>
      </c>
      <c r="F28" s="8" t="s">
        <v>11</v>
      </c>
      <c r="G28" s="8" t="s">
        <v>11</v>
      </c>
      <c r="H28" t="s">
        <v>14</v>
      </c>
      <c r="I28" t="s">
        <v>13</v>
      </c>
      <c r="J28" t="s">
        <v>52</v>
      </c>
      <c r="K28">
        <v>21</v>
      </c>
      <c r="L28">
        <v>231</v>
      </c>
      <c r="M28">
        <v>17</v>
      </c>
      <c r="N28">
        <v>214</v>
      </c>
      <c r="O28">
        <v>0.92640692640692646</v>
      </c>
      <c r="P28">
        <v>11</v>
      </c>
      <c r="Q28" s="16">
        <v>616</v>
      </c>
      <c r="R28" s="16">
        <v>671</v>
      </c>
    </row>
    <row r="29" spans="1:18" x14ac:dyDescent="0.2">
      <c r="A29" s="1">
        <v>97</v>
      </c>
      <c r="B29" s="32">
        <v>44958</v>
      </c>
      <c r="C29" s="8" t="s">
        <v>20</v>
      </c>
      <c r="D29" s="8">
        <v>5</v>
      </c>
      <c r="E29" s="8" t="s">
        <v>9</v>
      </c>
      <c r="F29" s="8" t="s">
        <v>11</v>
      </c>
      <c r="G29" s="8" t="s">
        <v>11</v>
      </c>
      <c r="H29" t="s">
        <v>14</v>
      </c>
      <c r="I29" t="s">
        <v>13</v>
      </c>
      <c r="J29" t="s">
        <v>56</v>
      </c>
      <c r="K29">
        <v>15</v>
      </c>
      <c r="L29">
        <v>165</v>
      </c>
      <c r="M29">
        <v>49</v>
      </c>
      <c r="N29">
        <v>116</v>
      </c>
      <c r="O29">
        <v>0.70303030303030301</v>
      </c>
      <c r="P29">
        <v>11</v>
      </c>
      <c r="Q29" s="16">
        <v>484</v>
      </c>
      <c r="R29" s="16">
        <v>628.83333333333337</v>
      </c>
    </row>
    <row r="30" spans="1:18" x14ac:dyDescent="0.2">
      <c r="A30" s="1">
        <v>101</v>
      </c>
      <c r="B30" s="32">
        <v>44959</v>
      </c>
      <c r="C30" s="8" t="s">
        <v>20</v>
      </c>
      <c r="D30" s="8">
        <v>6</v>
      </c>
      <c r="E30" s="8" t="s">
        <v>9</v>
      </c>
      <c r="F30" s="8" t="s">
        <v>11</v>
      </c>
      <c r="G30" s="8" t="s">
        <v>10</v>
      </c>
      <c r="H30" t="s">
        <v>21</v>
      </c>
      <c r="I30" t="s">
        <v>13</v>
      </c>
      <c r="J30" t="s">
        <v>52</v>
      </c>
      <c r="K30">
        <v>25</v>
      </c>
      <c r="L30">
        <v>235</v>
      </c>
      <c r="M30">
        <v>14</v>
      </c>
      <c r="N30">
        <v>221</v>
      </c>
      <c r="O30">
        <v>0.94042553191489364</v>
      </c>
      <c r="P30">
        <v>9.4</v>
      </c>
      <c r="Q30" s="16">
        <v>696</v>
      </c>
      <c r="R30" s="16">
        <v>605.5</v>
      </c>
    </row>
    <row r="31" spans="1:18" x14ac:dyDescent="0.2">
      <c r="A31" s="1">
        <v>105</v>
      </c>
      <c r="B31" s="32">
        <v>44960</v>
      </c>
      <c r="C31" s="8" t="s">
        <v>20</v>
      </c>
      <c r="D31" s="8">
        <v>7</v>
      </c>
      <c r="E31" s="8" t="s">
        <v>9</v>
      </c>
      <c r="F31" s="8" t="s">
        <v>11</v>
      </c>
      <c r="G31" s="8" t="s">
        <v>11</v>
      </c>
      <c r="H31" t="s">
        <v>14</v>
      </c>
      <c r="I31" t="s">
        <v>13</v>
      </c>
      <c r="J31" t="s">
        <v>56</v>
      </c>
      <c r="K31">
        <v>19</v>
      </c>
      <c r="L31">
        <v>209</v>
      </c>
      <c r="M31">
        <v>35</v>
      </c>
      <c r="N31">
        <v>174</v>
      </c>
      <c r="O31">
        <v>0.83253588516746413</v>
      </c>
      <c r="P31">
        <v>11</v>
      </c>
      <c r="Q31" s="16">
        <v>209</v>
      </c>
      <c r="R31" s="16">
        <v>587.16666666666663</v>
      </c>
    </row>
    <row r="32" spans="1:18" x14ac:dyDescent="0.2">
      <c r="A32" s="1">
        <v>106</v>
      </c>
      <c r="B32" s="32">
        <v>44962</v>
      </c>
      <c r="C32" s="8" t="s">
        <v>20</v>
      </c>
      <c r="D32" s="8">
        <v>2</v>
      </c>
      <c r="E32" s="8" t="s">
        <v>9</v>
      </c>
      <c r="F32" s="8" t="s">
        <v>11</v>
      </c>
      <c r="G32" s="8" t="s">
        <v>11</v>
      </c>
      <c r="H32" t="s">
        <v>14</v>
      </c>
      <c r="I32" t="s">
        <v>13</v>
      </c>
      <c r="J32" t="s">
        <v>52</v>
      </c>
      <c r="K32">
        <v>22</v>
      </c>
      <c r="L32">
        <v>242</v>
      </c>
      <c r="M32">
        <v>22</v>
      </c>
      <c r="N32">
        <v>220</v>
      </c>
      <c r="O32">
        <v>0.90909090909090906</v>
      </c>
      <c r="P32">
        <v>11</v>
      </c>
      <c r="Q32" s="16">
        <v>616</v>
      </c>
      <c r="R32" s="16">
        <v>554.16666666666663</v>
      </c>
    </row>
    <row r="33" spans="1:18" x14ac:dyDescent="0.2">
      <c r="A33" s="1">
        <v>110</v>
      </c>
      <c r="B33" s="32">
        <v>44963</v>
      </c>
      <c r="C33" s="8" t="s">
        <v>20</v>
      </c>
      <c r="D33" s="8">
        <v>3</v>
      </c>
      <c r="E33" s="8" t="s">
        <v>9</v>
      </c>
      <c r="F33" s="8" t="s">
        <v>11</v>
      </c>
      <c r="G33" s="8" t="s">
        <v>11</v>
      </c>
      <c r="H33" t="s">
        <v>14</v>
      </c>
      <c r="I33" t="s">
        <v>13</v>
      </c>
      <c r="J33" t="s">
        <v>56</v>
      </c>
      <c r="K33">
        <v>19</v>
      </c>
      <c r="L33">
        <v>209</v>
      </c>
      <c r="M33">
        <v>44</v>
      </c>
      <c r="N33">
        <v>165</v>
      </c>
      <c r="O33">
        <v>0.78947368421052633</v>
      </c>
      <c r="P33">
        <v>11</v>
      </c>
      <c r="Q33" s="16">
        <v>539</v>
      </c>
      <c r="R33" s="16">
        <v>526.66666666666663</v>
      </c>
    </row>
    <row r="34" spans="1:18" x14ac:dyDescent="0.2">
      <c r="A34" s="1">
        <v>114</v>
      </c>
      <c r="B34" s="32">
        <v>44964</v>
      </c>
      <c r="C34" s="8" t="s">
        <v>20</v>
      </c>
      <c r="D34" s="8">
        <v>4</v>
      </c>
      <c r="E34" s="8" t="s">
        <v>9</v>
      </c>
      <c r="F34" s="8" t="s">
        <v>11</v>
      </c>
      <c r="G34" s="8" t="s">
        <v>11</v>
      </c>
      <c r="H34" t="s">
        <v>14</v>
      </c>
      <c r="I34" t="s">
        <v>13</v>
      </c>
      <c r="J34" t="s">
        <v>52</v>
      </c>
      <c r="K34">
        <v>16</v>
      </c>
      <c r="L34">
        <v>176</v>
      </c>
      <c r="M34">
        <v>43</v>
      </c>
      <c r="N34">
        <v>133</v>
      </c>
      <c r="O34">
        <v>0.75568181818181823</v>
      </c>
      <c r="P34">
        <v>11</v>
      </c>
      <c r="Q34" s="16">
        <v>407</v>
      </c>
      <c r="R34" s="16">
        <v>491.83333333333331</v>
      </c>
    </row>
    <row r="35" spans="1:18" x14ac:dyDescent="0.2">
      <c r="A35" s="1">
        <v>118</v>
      </c>
      <c r="B35" s="32">
        <v>44965</v>
      </c>
      <c r="C35" s="8" t="s">
        <v>20</v>
      </c>
      <c r="D35" s="8">
        <v>5</v>
      </c>
      <c r="E35" s="8" t="s">
        <v>9</v>
      </c>
      <c r="F35" s="8" t="s">
        <v>11</v>
      </c>
      <c r="G35" s="8" t="s">
        <v>11</v>
      </c>
      <c r="H35" t="s">
        <v>14</v>
      </c>
      <c r="I35" t="s">
        <v>13</v>
      </c>
      <c r="J35" t="s">
        <v>56</v>
      </c>
      <c r="K35">
        <v>16</v>
      </c>
      <c r="L35">
        <v>176</v>
      </c>
      <c r="M35">
        <v>31</v>
      </c>
      <c r="N35">
        <v>145</v>
      </c>
      <c r="O35">
        <v>0.82386363636363635</v>
      </c>
      <c r="P35">
        <v>11</v>
      </c>
      <c r="Q35" s="16">
        <v>495</v>
      </c>
      <c r="R35" s="16">
        <v>493.66666666666669</v>
      </c>
    </row>
    <row r="36" spans="1:18" x14ac:dyDescent="0.2">
      <c r="A36" s="1">
        <v>122</v>
      </c>
      <c r="B36" s="32">
        <v>44966</v>
      </c>
      <c r="C36" s="8" t="s">
        <v>20</v>
      </c>
      <c r="D36" s="8">
        <v>6</v>
      </c>
      <c r="E36" s="8" t="s">
        <v>9</v>
      </c>
      <c r="F36" s="8" t="s">
        <v>11</v>
      </c>
      <c r="G36" s="8" t="s">
        <v>11</v>
      </c>
      <c r="H36" t="s">
        <v>14</v>
      </c>
      <c r="I36" t="s">
        <v>13</v>
      </c>
      <c r="J36" t="s">
        <v>52</v>
      </c>
      <c r="K36">
        <v>19</v>
      </c>
      <c r="L36">
        <v>209</v>
      </c>
      <c r="M36">
        <v>1</v>
      </c>
      <c r="N36">
        <v>208</v>
      </c>
      <c r="O36">
        <v>0.99521531100478466</v>
      </c>
      <c r="P36">
        <v>11</v>
      </c>
      <c r="Q36" s="16">
        <v>605</v>
      </c>
      <c r="R36" s="16">
        <v>478.5</v>
      </c>
    </row>
    <row r="37" spans="1:18" x14ac:dyDescent="0.2">
      <c r="A37" s="1">
        <v>126</v>
      </c>
      <c r="B37" s="32">
        <v>44967</v>
      </c>
      <c r="C37" s="8" t="s">
        <v>20</v>
      </c>
      <c r="D37" s="8">
        <v>7</v>
      </c>
      <c r="E37" s="8" t="s">
        <v>9</v>
      </c>
      <c r="F37" s="8" t="s">
        <v>11</v>
      </c>
      <c r="G37" s="8" t="s">
        <v>11</v>
      </c>
      <c r="H37" t="s">
        <v>14</v>
      </c>
      <c r="I37" t="s">
        <v>13</v>
      </c>
      <c r="J37" t="s">
        <v>56</v>
      </c>
      <c r="K37">
        <v>23</v>
      </c>
      <c r="L37">
        <v>253</v>
      </c>
      <c r="M37">
        <v>44</v>
      </c>
      <c r="N37">
        <v>209</v>
      </c>
      <c r="O37">
        <v>0.82608695652173914</v>
      </c>
      <c r="P37">
        <v>11</v>
      </c>
      <c r="Q37" s="16">
        <v>253</v>
      </c>
      <c r="R37" s="16">
        <v>485.83333333333331</v>
      </c>
    </row>
    <row r="38" spans="1:18" x14ac:dyDescent="0.2">
      <c r="A38" s="1">
        <v>127</v>
      </c>
      <c r="B38" s="32">
        <v>44969</v>
      </c>
      <c r="C38" s="8" t="s">
        <v>20</v>
      </c>
      <c r="D38" s="8">
        <v>2</v>
      </c>
      <c r="E38" s="8" t="s">
        <v>9</v>
      </c>
      <c r="F38" s="8" t="s">
        <v>11</v>
      </c>
      <c r="G38" s="8" t="s">
        <v>11</v>
      </c>
      <c r="H38" t="s">
        <v>14</v>
      </c>
      <c r="I38" t="s">
        <v>13</v>
      </c>
      <c r="J38" t="s">
        <v>52</v>
      </c>
      <c r="K38">
        <v>21</v>
      </c>
      <c r="L38">
        <v>231</v>
      </c>
      <c r="M38">
        <v>29</v>
      </c>
      <c r="N38">
        <v>202</v>
      </c>
      <c r="O38">
        <v>0.87445887445887449</v>
      </c>
      <c r="P38">
        <v>11</v>
      </c>
      <c r="Q38" s="16">
        <v>594</v>
      </c>
      <c r="R38" s="16">
        <v>482.16666666666669</v>
      </c>
    </row>
    <row r="39" spans="1:18" x14ac:dyDescent="0.2">
      <c r="A39" s="1">
        <v>131</v>
      </c>
      <c r="B39" s="32">
        <v>44970</v>
      </c>
      <c r="C39" s="8" t="s">
        <v>20</v>
      </c>
      <c r="D39" s="8">
        <v>3</v>
      </c>
      <c r="E39" s="8" t="s">
        <v>9</v>
      </c>
      <c r="F39" s="8" t="s">
        <v>11</v>
      </c>
      <c r="G39" s="8" t="s">
        <v>11</v>
      </c>
      <c r="H39" t="s">
        <v>14</v>
      </c>
      <c r="I39" t="s">
        <v>13</v>
      </c>
      <c r="J39" t="s">
        <v>56</v>
      </c>
      <c r="K39">
        <v>16</v>
      </c>
      <c r="L39">
        <v>176</v>
      </c>
      <c r="M39">
        <v>36</v>
      </c>
      <c r="N39">
        <v>140</v>
      </c>
      <c r="O39">
        <v>0.79545454545454541</v>
      </c>
      <c r="P39">
        <v>11</v>
      </c>
      <c r="Q39" s="16">
        <v>495</v>
      </c>
      <c r="R39" s="16">
        <v>474.83333333333331</v>
      </c>
    </row>
    <row r="40" spans="1:18" x14ac:dyDescent="0.2">
      <c r="A40" s="1">
        <v>135</v>
      </c>
      <c r="B40" s="32">
        <v>44971</v>
      </c>
      <c r="C40" s="8" t="s">
        <v>20</v>
      </c>
      <c r="D40" s="8">
        <v>4</v>
      </c>
      <c r="E40" s="8" t="s">
        <v>9</v>
      </c>
      <c r="F40" s="8" t="s">
        <v>11</v>
      </c>
      <c r="G40" s="8" t="s">
        <v>11</v>
      </c>
      <c r="H40" t="s">
        <v>14</v>
      </c>
      <c r="I40" t="s">
        <v>13</v>
      </c>
      <c r="J40" t="s">
        <v>52</v>
      </c>
      <c r="K40">
        <v>18</v>
      </c>
      <c r="L40">
        <v>198</v>
      </c>
      <c r="M40">
        <v>1</v>
      </c>
      <c r="N40">
        <v>197</v>
      </c>
      <c r="O40">
        <v>0.99494949494949492</v>
      </c>
      <c r="P40">
        <v>11</v>
      </c>
      <c r="Q40" s="16">
        <v>440</v>
      </c>
      <c r="R40" s="16">
        <v>480.33333333333331</v>
      </c>
    </row>
    <row r="41" spans="1:18" x14ac:dyDescent="0.2">
      <c r="A41" s="1">
        <v>139</v>
      </c>
      <c r="B41" s="32">
        <v>44972</v>
      </c>
      <c r="C41" s="8" t="s">
        <v>20</v>
      </c>
      <c r="D41" s="8">
        <v>5</v>
      </c>
      <c r="E41" s="8" t="s">
        <v>9</v>
      </c>
      <c r="F41" s="8" t="s">
        <v>11</v>
      </c>
      <c r="G41" s="8" t="s">
        <v>11</v>
      </c>
      <c r="H41" t="s">
        <v>14</v>
      </c>
      <c r="I41" t="s">
        <v>13</v>
      </c>
      <c r="J41" t="s">
        <v>56</v>
      </c>
      <c r="K41">
        <v>15</v>
      </c>
      <c r="L41">
        <v>165</v>
      </c>
      <c r="M41">
        <v>42</v>
      </c>
      <c r="N41">
        <v>123</v>
      </c>
      <c r="O41">
        <v>0.74545454545454548</v>
      </c>
      <c r="P41">
        <v>11</v>
      </c>
      <c r="Q41" s="16">
        <v>451</v>
      </c>
      <c r="R41" s="16">
        <v>473</v>
      </c>
    </row>
    <row r="42" spans="1:18" x14ac:dyDescent="0.2">
      <c r="A42" s="1">
        <v>143</v>
      </c>
      <c r="B42" s="32">
        <v>44973</v>
      </c>
      <c r="C42" s="8" t="s">
        <v>20</v>
      </c>
      <c r="D42" s="8">
        <v>6</v>
      </c>
      <c r="E42" s="8" t="s">
        <v>9</v>
      </c>
      <c r="F42" s="8" t="s">
        <v>11</v>
      </c>
      <c r="G42" s="8" t="s">
        <v>11</v>
      </c>
      <c r="H42" t="s">
        <v>14</v>
      </c>
      <c r="I42" t="s">
        <v>13</v>
      </c>
      <c r="J42" t="s">
        <v>52</v>
      </c>
      <c r="K42">
        <v>21</v>
      </c>
      <c r="L42">
        <v>231</v>
      </c>
      <c r="M42">
        <v>32</v>
      </c>
      <c r="N42">
        <v>199</v>
      </c>
      <c r="O42">
        <v>0.8614718614718615</v>
      </c>
      <c r="P42">
        <v>11</v>
      </c>
      <c r="Q42" s="16">
        <v>638</v>
      </c>
      <c r="R42" s="16">
        <v>478.5</v>
      </c>
    </row>
    <row r="43" spans="1:18" x14ac:dyDescent="0.2">
      <c r="A43" s="1">
        <v>147</v>
      </c>
      <c r="B43" s="32">
        <v>44974</v>
      </c>
      <c r="C43" s="8" t="s">
        <v>20</v>
      </c>
      <c r="D43" s="8">
        <v>7</v>
      </c>
      <c r="E43" s="8" t="s">
        <v>9</v>
      </c>
      <c r="F43" s="8" t="s">
        <v>11</v>
      </c>
      <c r="G43" s="8" t="s">
        <v>11</v>
      </c>
      <c r="H43" t="s">
        <v>14</v>
      </c>
      <c r="I43" t="s">
        <v>13</v>
      </c>
      <c r="J43" t="s">
        <v>56</v>
      </c>
      <c r="K43">
        <v>21</v>
      </c>
      <c r="L43">
        <v>231</v>
      </c>
      <c r="M43">
        <v>21</v>
      </c>
      <c r="N43">
        <v>210</v>
      </c>
      <c r="O43">
        <v>0.90909090909090906</v>
      </c>
      <c r="P43">
        <v>11</v>
      </c>
      <c r="Q43" s="16">
        <v>231</v>
      </c>
      <c r="R43" s="16">
        <v>474.83333333333331</v>
      </c>
    </row>
    <row r="44" spans="1:18" x14ac:dyDescent="0.2">
      <c r="A44" s="1">
        <v>148</v>
      </c>
      <c r="B44" s="32">
        <v>44976</v>
      </c>
      <c r="C44" s="8" t="s">
        <v>20</v>
      </c>
      <c r="D44" s="8">
        <v>2</v>
      </c>
      <c r="E44" s="8" t="s">
        <v>9</v>
      </c>
      <c r="F44" s="8" t="s">
        <v>10</v>
      </c>
      <c r="G44" s="8" t="s">
        <v>11</v>
      </c>
      <c r="H44" t="s">
        <v>22</v>
      </c>
      <c r="I44" t="s">
        <v>13</v>
      </c>
      <c r="J44" t="s">
        <v>52</v>
      </c>
      <c r="K44">
        <v>21</v>
      </c>
      <c r="L44">
        <v>231</v>
      </c>
      <c r="M44">
        <v>23</v>
      </c>
      <c r="N44">
        <v>208</v>
      </c>
      <c r="O44">
        <v>0.90043290043290047</v>
      </c>
      <c r="P44">
        <v>11</v>
      </c>
      <c r="Q44" s="16">
        <v>605</v>
      </c>
      <c r="R44" s="16">
        <v>476.66666666666669</v>
      </c>
    </row>
    <row r="45" spans="1:18" x14ac:dyDescent="0.2">
      <c r="A45" s="1">
        <v>152</v>
      </c>
      <c r="B45" s="32">
        <v>44977</v>
      </c>
      <c r="C45" s="8" t="s">
        <v>20</v>
      </c>
      <c r="D45" s="8">
        <v>3</v>
      </c>
      <c r="E45" s="8" t="s">
        <v>9</v>
      </c>
      <c r="F45" s="8" t="s">
        <v>11</v>
      </c>
      <c r="G45" s="8" t="s">
        <v>11</v>
      </c>
      <c r="H45" t="s">
        <v>14</v>
      </c>
      <c r="I45" t="s">
        <v>13</v>
      </c>
      <c r="J45" t="s">
        <v>56</v>
      </c>
      <c r="K45">
        <v>18</v>
      </c>
      <c r="L45">
        <v>198</v>
      </c>
      <c r="M45">
        <v>36</v>
      </c>
      <c r="N45">
        <v>162</v>
      </c>
      <c r="O45">
        <v>0.81818181818181823</v>
      </c>
      <c r="P45">
        <v>11</v>
      </c>
      <c r="Q45" s="16">
        <v>495</v>
      </c>
      <c r="R45" s="16">
        <v>476.66666666666669</v>
      </c>
    </row>
    <row r="46" spans="1:18" x14ac:dyDescent="0.2">
      <c r="A46" s="1">
        <v>156</v>
      </c>
      <c r="B46" s="32">
        <v>44978</v>
      </c>
      <c r="C46" s="8" t="s">
        <v>20</v>
      </c>
      <c r="D46" s="8">
        <v>4</v>
      </c>
      <c r="E46" s="8" t="s">
        <v>9</v>
      </c>
      <c r="F46" s="8" t="s">
        <v>11</v>
      </c>
      <c r="G46" s="8" t="s">
        <v>11</v>
      </c>
      <c r="H46" t="s">
        <v>14</v>
      </c>
      <c r="I46" t="s">
        <v>13</v>
      </c>
      <c r="J46" t="s">
        <v>52</v>
      </c>
      <c r="K46">
        <v>16</v>
      </c>
      <c r="L46">
        <v>176</v>
      </c>
      <c r="M46">
        <v>44</v>
      </c>
      <c r="N46">
        <v>132</v>
      </c>
      <c r="O46">
        <v>0.75</v>
      </c>
      <c r="P46">
        <v>11</v>
      </c>
      <c r="Q46" s="16">
        <v>429</v>
      </c>
      <c r="R46" s="16">
        <v>474.83333333333331</v>
      </c>
    </row>
    <row r="47" spans="1:18" x14ac:dyDescent="0.2">
      <c r="A47" s="1">
        <v>160</v>
      </c>
      <c r="B47" s="32">
        <v>44979</v>
      </c>
      <c r="C47" s="8" t="s">
        <v>20</v>
      </c>
      <c r="D47" s="8">
        <v>5</v>
      </c>
      <c r="E47" s="8" t="s">
        <v>9</v>
      </c>
      <c r="F47" s="8" t="s">
        <v>11</v>
      </c>
      <c r="G47" s="8" t="s">
        <v>11</v>
      </c>
      <c r="H47" t="s">
        <v>14</v>
      </c>
      <c r="I47" t="s">
        <v>13</v>
      </c>
      <c r="J47" t="s">
        <v>56</v>
      </c>
      <c r="K47">
        <v>14</v>
      </c>
      <c r="L47">
        <v>154</v>
      </c>
      <c r="M47">
        <v>33</v>
      </c>
      <c r="N47">
        <v>121</v>
      </c>
      <c r="O47">
        <v>0.7857142857142857</v>
      </c>
      <c r="P47">
        <v>11</v>
      </c>
      <c r="Q47" s="16">
        <v>495</v>
      </c>
      <c r="R47" s="16">
        <v>482.16666666666669</v>
      </c>
    </row>
    <row r="48" spans="1:18" x14ac:dyDescent="0.2">
      <c r="A48" s="1">
        <v>164</v>
      </c>
      <c r="B48" s="32">
        <v>44980</v>
      </c>
      <c r="C48" s="8" t="s">
        <v>20</v>
      </c>
      <c r="D48" s="8">
        <v>6</v>
      </c>
      <c r="E48" s="8" t="s">
        <v>9</v>
      </c>
      <c r="F48" s="8" t="s">
        <v>11</v>
      </c>
      <c r="G48" s="8" t="s">
        <v>11</v>
      </c>
      <c r="H48" t="s">
        <v>14</v>
      </c>
      <c r="I48" t="s">
        <v>13</v>
      </c>
      <c r="J48" t="s">
        <v>52</v>
      </c>
      <c r="K48">
        <v>21</v>
      </c>
      <c r="L48">
        <v>231</v>
      </c>
      <c r="M48">
        <v>50</v>
      </c>
      <c r="N48">
        <v>181</v>
      </c>
      <c r="O48">
        <v>0.78354978354978355</v>
      </c>
      <c r="P48">
        <v>11</v>
      </c>
      <c r="Q48" s="16">
        <v>649</v>
      </c>
      <c r="R48" s="16">
        <v>484</v>
      </c>
    </row>
    <row r="49" spans="1:18" x14ac:dyDescent="0.2">
      <c r="A49" s="1">
        <v>168</v>
      </c>
      <c r="B49" s="32">
        <v>44981</v>
      </c>
      <c r="C49" s="8" t="s">
        <v>20</v>
      </c>
      <c r="D49" s="8">
        <v>7</v>
      </c>
      <c r="E49" s="8" t="s">
        <v>9</v>
      </c>
      <c r="F49" s="8" t="s">
        <v>11</v>
      </c>
      <c r="G49" s="8" t="s">
        <v>11</v>
      </c>
      <c r="H49" t="s">
        <v>14</v>
      </c>
      <c r="I49" t="s">
        <v>13</v>
      </c>
      <c r="J49" t="s">
        <v>56</v>
      </c>
      <c r="K49">
        <v>18</v>
      </c>
      <c r="L49">
        <v>198</v>
      </c>
      <c r="M49">
        <v>12</v>
      </c>
      <c r="N49">
        <v>186</v>
      </c>
      <c r="O49">
        <v>0.93939393939393945</v>
      </c>
      <c r="P49">
        <v>11</v>
      </c>
      <c r="Q49" s="16">
        <v>198</v>
      </c>
      <c r="R49" s="16">
        <v>478.5</v>
      </c>
    </row>
    <row r="50" spans="1:18" x14ac:dyDescent="0.2">
      <c r="A50" s="1">
        <v>169</v>
      </c>
      <c r="B50" s="32">
        <v>44983</v>
      </c>
      <c r="C50" s="8" t="s">
        <v>20</v>
      </c>
      <c r="D50" s="8">
        <v>2</v>
      </c>
      <c r="E50" s="8" t="s">
        <v>9</v>
      </c>
      <c r="F50" s="8" t="s">
        <v>11</v>
      </c>
      <c r="G50" s="8" t="s">
        <v>11</v>
      </c>
      <c r="H50" t="s">
        <v>14</v>
      </c>
      <c r="I50" t="s">
        <v>13</v>
      </c>
      <c r="J50" t="s">
        <v>52</v>
      </c>
      <c r="K50">
        <v>20</v>
      </c>
      <c r="L50">
        <v>220</v>
      </c>
      <c r="M50">
        <v>46</v>
      </c>
      <c r="N50">
        <v>174</v>
      </c>
      <c r="O50">
        <v>0.79090909090909089</v>
      </c>
      <c r="P50">
        <v>11</v>
      </c>
      <c r="Q50" s="16">
        <v>594</v>
      </c>
      <c r="R50" s="16">
        <v>476.66666666666669</v>
      </c>
    </row>
    <row r="51" spans="1:18" x14ac:dyDescent="0.2">
      <c r="A51" s="1">
        <v>173</v>
      </c>
      <c r="B51" s="32">
        <v>44984</v>
      </c>
      <c r="C51" s="8" t="s">
        <v>20</v>
      </c>
      <c r="D51" s="8">
        <v>3</v>
      </c>
      <c r="E51" s="8" t="s">
        <v>9</v>
      </c>
      <c r="F51" s="8" t="s">
        <v>11</v>
      </c>
      <c r="G51" s="8" t="s">
        <v>11</v>
      </c>
      <c r="H51" t="s">
        <v>14</v>
      </c>
      <c r="I51" t="s">
        <v>13</v>
      </c>
      <c r="J51" t="s">
        <v>56</v>
      </c>
      <c r="K51">
        <v>16</v>
      </c>
      <c r="L51">
        <v>176</v>
      </c>
      <c r="M51">
        <v>21</v>
      </c>
      <c r="N51">
        <v>155</v>
      </c>
      <c r="O51">
        <v>0.88068181818181823</v>
      </c>
      <c r="P51">
        <v>11</v>
      </c>
      <c r="Q51" s="16">
        <v>484</v>
      </c>
      <c r="R51" s="16">
        <v>474.83333333333331</v>
      </c>
    </row>
    <row r="52" spans="1:18" x14ac:dyDescent="0.2">
      <c r="A52" s="1">
        <v>177</v>
      </c>
      <c r="B52" s="32">
        <v>44985</v>
      </c>
      <c r="C52" s="8" t="s">
        <v>20</v>
      </c>
      <c r="D52" s="8">
        <v>4</v>
      </c>
      <c r="E52" s="8" t="s">
        <v>9</v>
      </c>
      <c r="F52" s="8" t="s">
        <v>11</v>
      </c>
      <c r="G52" s="8" t="s">
        <v>11</v>
      </c>
      <c r="H52" t="s">
        <v>14</v>
      </c>
      <c r="I52" t="s">
        <v>13</v>
      </c>
      <c r="J52" t="s">
        <v>52</v>
      </c>
      <c r="K52">
        <v>18</v>
      </c>
      <c r="L52">
        <v>198</v>
      </c>
      <c r="M52">
        <v>9</v>
      </c>
      <c r="N52">
        <v>189</v>
      </c>
      <c r="O52">
        <v>0.95454545454545459</v>
      </c>
      <c r="P52">
        <v>11</v>
      </c>
      <c r="Q52" s="16">
        <v>429</v>
      </c>
      <c r="R52" s="16">
        <v>474.83333333333331</v>
      </c>
    </row>
    <row r="53" spans="1:18" x14ac:dyDescent="0.2">
      <c r="A53" s="1">
        <v>181</v>
      </c>
      <c r="B53" s="32">
        <v>44986</v>
      </c>
      <c r="C53" s="8" t="s">
        <v>23</v>
      </c>
      <c r="D53" s="8">
        <v>5</v>
      </c>
      <c r="E53" s="8" t="s">
        <v>9</v>
      </c>
      <c r="F53" s="8" t="s">
        <v>11</v>
      </c>
      <c r="G53" s="8" t="s">
        <v>11</v>
      </c>
      <c r="H53" t="s">
        <v>14</v>
      </c>
      <c r="I53" t="s">
        <v>13</v>
      </c>
      <c r="J53" t="s">
        <v>56</v>
      </c>
      <c r="K53">
        <v>16</v>
      </c>
      <c r="L53">
        <v>176</v>
      </c>
      <c r="M53">
        <v>40</v>
      </c>
      <c r="N53">
        <v>136</v>
      </c>
      <c r="O53">
        <v>0.77272727272727271</v>
      </c>
      <c r="P53">
        <v>11</v>
      </c>
      <c r="Q53" s="16">
        <v>462</v>
      </c>
      <c r="R53" s="16">
        <v>469.33333333333331</v>
      </c>
    </row>
    <row r="54" spans="1:18" x14ac:dyDescent="0.2">
      <c r="A54" s="1">
        <v>185</v>
      </c>
      <c r="B54" s="32">
        <v>44987</v>
      </c>
      <c r="C54" s="8" t="s">
        <v>23</v>
      </c>
      <c r="D54" s="8">
        <v>6</v>
      </c>
      <c r="E54" s="8" t="s">
        <v>9</v>
      </c>
      <c r="F54" s="8" t="s">
        <v>11</v>
      </c>
      <c r="G54" s="8" t="s">
        <v>11</v>
      </c>
      <c r="H54" t="s">
        <v>14</v>
      </c>
      <c r="I54" t="s">
        <v>13</v>
      </c>
      <c r="J54" t="s">
        <v>52</v>
      </c>
      <c r="K54">
        <v>24</v>
      </c>
      <c r="L54">
        <v>264</v>
      </c>
      <c r="M54">
        <v>16</v>
      </c>
      <c r="N54">
        <v>248</v>
      </c>
      <c r="O54">
        <v>0.93939393939393945</v>
      </c>
      <c r="P54">
        <v>11</v>
      </c>
      <c r="Q54" s="16">
        <v>682</v>
      </c>
      <c r="R54" s="16">
        <v>474.83333333333331</v>
      </c>
    </row>
    <row r="55" spans="1:18" x14ac:dyDescent="0.2">
      <c r="A55" s="1">
        <v>189</v>
      </c>
      <c r="B55" s="32">
        <v>44988</v>
      </c>
      <c r="C55" s="8" t="s">
        <v>23</v>
      </c>
      <c r="D55" s="8">
        <v>7</v>
      </c>
      <c r="E55" s="8" t="s">
        <v>9</v>
      </c>
      <c r="F55" s="8" t="s">
        <v>11</v>
      </c>
      <c r="G55" s="8" t="s">
        <v>11</v>
      </c>
      <c r="H55" t="s">
        <v>14</v>
      </c>
      <c r="I55" t="s">
        <v>13</v>
      </c>
      <c r="J55" t="s">
        <v>56</v>
      </c>
      <c r="K55">
        <v>18</v>
      </c>
      <c r="L55">
        <v>198</v>
      </c>
      <c r="M55">
        <v>13</v>
      </c>
      <c r="N55">
        <v>185</v>
      </c>
      <c r="O55">
        <v>0.93434343434343436</v>
      </c>
      <c r="P55">
        <v>11</v>
      </c>
      <c r="Q55" s="16">
        <v>198</v>
      </c>
      <c r="R55" s="16">
        <v>474.83333333333331</v>
      </c>
    </row>
    <row r="56" spans="1:18" x14ac:dyDescent="0.2">
      <c r="A56" s="1">
        <v>190</v>
      </c>
      <c r="B56" s="32">
        <v>44990</v>
      </c>
      <c r="C56" s="8" t="s">
        <v>23</v>
      </c>
      <c r="D56" s="8">
        <v>2</v>
      </c>
      <c r="E56" s="8" t="s">
        <v>9</v>
      </c>
      <c r="F56" s="8" t="s">
        <v>11</v>
      </c>
      <c r="G56" s="8" t="s">
        <v>11</v>
      </c>
      <c r="H56" t="s">
        <v>14</v>
      </c>
      <c r="I56" t="s">
        <v>13</v>
      </c>
      <c r="J56" t="s">
        <v>52</v>
      </c>
      <c r="K56">
        <v>22</v>
      </c>
      <c r="L56">
        <v>242</v>
      </c>
      <c r="M56">
        <v>13</v>
      </c>
      <c r="N56">
        <v>229</v>
      </c>
      <c r="O56">
        <v>0.94628099173553715</v>
      </c>
      <c r="P56">
        <v>11</v>
      </c>
      <c r="Q56" s="16">
        <v>649</v>
      </c>
      <c r="R56" s="16">
        <v>484</v>
      </c>
    </row>
    <row r="57" spans="1:18" x14ac:dyDescent="0.2">
      <c r="A57" s="1">
        <v>194</v>
      </c>
      <c r="B57" s="32">
        <v>44991</v>
      </c>
      <c r="C57" s="8" t="s">
        <v>23</v>
      </c>
      <c r="D57" s="8">
        <v>3</v>
      </c>
      <c r="E57" s="8" t="s">
        <v>9</v>
      </c>
      <c r="F57" s="8" t="s">
        <v>11</v>
      </c>
      <c r="G57" s="8" t="s">
        <v>11</v>
      </c>
      <c r="H57" t="s">
        <v>14</v>
      </c>
      <c r="I57" t="s">
        <v>13</v>
      </c>
      <c r="J57" t="s">
        <v>56</v>
      </c>
      <c r="K57">
        <v>17</v>
      </c>
      <c r="L57">
        <v>187</v>
      </c>
      <c r="M57">
        <v>4</v>
      </c>
      <c r="N57">
        <v>183</v>
      </c>
      <c r="O57">
        <v>0.97860962566844922</v>
      </c>
      <c r="P57">
        <v>11</v>
      </c>
      <c r="Q57" s="16">
        <v>506</v>
      </c>
      <c r="R57" s="16">
        <v>487.66666666666669</v>
      </c>
    </row>
    <row r="58" spans="1:18" x14ac:dyDescent="0.2">
      <c r="A58" s="1">
        <v>198</v>
      </c>
      <c r="B58" s="32">
        <v>44992</v>
      </c>
      <c r="C58" s="8" t="s">
        <v>23</v>
      </c>
      <c r="D58" s="8">
        <v>4</v>
      </c>
      <c r="E58" s="8" t="s">
        <v>9</v>
      </c>
      <c r="F58" s="8" t="s">
        <v>11</v>
      </c>
      <c r="G58" s="8" t="s">
        <v>11</v>
      </c>
      <c r="H58" t="s">
        <v>14</v>
      </c>
      <c r="I58" t="s">
        <v>13</v>
      </c>
      <c r="J58" t="s">
        <v>52</v>
      </c>
      <c r="K58">
        <v>16</v>
      </c>
      <c r="L58">
        <v>176</v>
      </c>
      <c r="M58">
        <v>45</v>
      </c>
      <c r="N58">
        <v>131</v>
      </c>
      <c r="O58">
        <v>0.74431818181818177</v>
      </c>
      <c r="P58">
        <v>11</v>
      </c>
      <c r="Q58" s="16">
        <v>407</v>
      </c>
      <c r="R58" s="16">
        <v>484</v>
      </c>
    </row>
    <row r="59" spans="1:18" x14ac:dyDescent="0.2">
      <c r="A59" s="1">
        <v>202</v>
      </c>
      <c r="B59" s="32">
        <v>44993</v>
      </c>
      <c r="C59" s="8" t="s">
        <v>23</v>
      </c>
      <c r="D59" s="8">
        <v>5</v>
      </c>
      <c r="E59" s="8" t="s">
        <v>9</v>
      </c>
      <c r="F59" s="8" t="s">
        <v>11</v>
      </c>
      <c r="G59" s="8" t="s">
        <v>11</v>
      </c>
      <c r="H59" t="s">
        <v>14</v>
      </c>
      <c r="I59" t="s">
        <v>13</v>
      </c>
      <c r="J59" t="s">
        <v>56</v>
      </c>
      <c r="K59">
        <v>15</v>
      </c>
      <c r="L59">
        <v>165</v>
      </c>
      <c r="M59">
        <v>23</v>
      </c>
      <c r="N59">
        <v>142</v>
      </c>
      <c r="O59">
        <v>0.8606060606060606</v>
      </c>
      <c r="P59">
        <v>11</v>
      </c>
      <c r="Q59" s="16">
        <v>473</v>
      </c>
      <c r="R59" s="16">
        <v>485.83333333333331</v>
      </c>
    </row>
    <row r="60" spans="1:18" x14ac:dyDescent="0.2">
      <c r="A60" s="1">
        <v>206</v>
      </c>
      <c r="B60" s="32">
        <v>44994</v>
      </c>
      <c r="C60" s="8" t="s">
        <v>23</v>
      </c>
      <c r="D60" s="8">
        <v>6</v>
      </c>
      <c r="E60" s="8" t="s">
        <v>9</v>
      </c>
      <c r="F60" s="8" t="s">
        <v>11</v>
      </c>
      <c r="G60" s="8" t="s">
        <v>11</v>
      </c>
      <c r="H60" t="s">
        <v>14</v>
      </c>
      <c r="I60" t="s">
        <v>13</v>
      </c>
      <c r="J60" t="s">
        <v>52</v>
      </c>
      <c r="K60">
        <v>20</v>
      </c>
      <c r="L60">
        <v>220</v>
      </c>
      <c r="M60">
        <v>16</v>
      </c>
      <c r="N60">
        <v>204</v>
      </c>
      <c r="O60">
        <v>0.92727272727272725</v>
      </c>
      <c r="P60">
        <v>11</v>
      </c>
      <c r="Q60" s="16">
        <v>627</v>
      </c>
      <c r="R60" s="16">
        <v>476.66666666666669</v>
      </c>
    </row>
    <row r="61" spans="1:18" x14ac:dyDescent="0.2">
      <c r="A61" s="1">
        <v>210</v>
      </c>
      <c r="B61" s="32">
        <v>44995</v>
      </c>
      <c r="C61" s="8" t="s">
        <v>23</v>
      </c>
      <c r="D61" s="8">
        <v>7</v>
      </c>
      <c r="E61" s="8" t="s">
        <v>9</v>
      </c>
      <c r="F61" s="8" t="s">
        <v>11</v>
      </c>
      <c r="G61" s="8" t="s">
        <v>11</v>
      </c>
      <c r="H61" t="s">
        <v>14</v>
      </c>
      <c r="I61" t="s">
        <v>13</v>
      </c>
      <c r="J61" t="s">
        <v>56</v>
      </c>
      <c r="K61">
        <v>24</v>
      </c>
      <c r="L61">
        <v>264</v>
      </c>
      <c r="M61">
        <v>41</v>
      </c>
      <c r="N61">
        <v>223</v>
      </c>
      <c r="O61">
        <v>0.84469696969696972</v>
      </c>
      <c r="P61">
        <v>11</v>
      </c>
      <c r="Q61" s="16">
        <v>264</v>
      </c>
      <c r="R61" s="16">
        <v>487.66666666666669</v>
      </c>
    </row>
    <row r="62" spans="1:18" x14ac:dyDescent="0.2">
      <c r="A62" s="1">
        <v>211</v>
      </c>
      <c r="B62" s="32">
        <v>44997</v>
      </c>
      <c r="C62" s="8" t="s">
        <v>23</v>
      </c>
      <c r="D62" s="8">
        <v>2</v>
      </c>
      <c r="E62" s="8" t="s">
        <v>9</v>
      </c>
      <c r="F62" s="8" t="s">
        <v>11</v>
      </c>
      <c r="G62" s="8" t="s">
        <v>11</v>
      </c>
      <c r="H62" t="s">
        <v>14</v>
      </c>
      <c r="I62" t="s">
        <v>13</v>
      </c>
      <c r="J62" t="s">
        <v>52</v>
      </c>
      <c r="K62">
        <v>19</v>
      </c>
      <c r="L62">
        <v>209</v>
      </c>
      <c r="M62">
        <v>12</v>
      </c>
      <c r="N62">
        <v>197</v>
      </c>
      <c r="O62">
        <v>0.9425837320574163</v>
      </c>
      <c r="P62">
        <v>11</v>
      </c>
      <c r="Q62" s="16">
        <v>616</v>
      </c>
      <c r="R62" s="16">
        <v>482.16666666666669</v>
      </c>
    </row>
    <row r="63" spans="1:18" x14ac:dyDescent="0.2">
      <c r="A63" s="1">
        <v>215</v>
      </c>
      <c r="B63" s="32">
        <v>44998</v>
      </c>
      <c r="C63" s="8" t="s">
        <v>23</v>
      </c>
      <c r="D63" s="8">
        <v>3</v>
      </c>
      <c r="E63" s="8" t="s">
        <v>9</v>
      </c>
      <c r="F63" s="8" t="s">
        <v>11</v>
      </c>
      <c r="G63" s="8" t="s">
        <v>11</v>
      </c>
      <c r="H63" t="s">
        <v>14</v>
      </c>
      <c r="I63" t="s">
        <v>13</v>
      </c>
      <c r="J63" t="s">
        <v>56</v>
      </c>
      <c r="K63">
        <v>15</v>
      </c>
      <c r="L63">
        <v>165</v>
      </c>
      <c r="M63">
        <v>18</v>
      </c>
      <c r="N63">
        <v>147</v>
      </c>
      <c r="O63">
        <v>0.89090909090909087</v>
      </c>
      <c r="P63">
        <v>11</v>
      </c>
      <c r="Q63" s="16">
        <v>484</v>
      </c>
      <c r="R63" s="16">
        <v>478.5</v>
      </c>
    </row>
    <row r="64" spans="1:18" x14ac:dyDescent="0.2">
      <c r="A64" s="1">
        <v>219</v>
      </c>
      <c r="B64" s="32">
        <v>44999</v>
      </c>
      <c r="C64" s="8" t="s">
        <v>23</v>
      </c>
      <c r="D64" s="8">
        <v>4</v>
      </c>
      <c r="E64" s="8" t="s">
        <v>9</v>
      </c>
      <c r="F64" s="8" t="s">
        <v>11</v>
      </c>
      <c r="G64" s="8" t="s">
        <v>11</v>
      </c>
      <c r="H64" t="s">
        <v>14</v>
      </c>
      <c r="I64" t="s">
        <v>13</v>
      </c>
      <c r="J64" t="s">
        <v>52</v>
      </c>
      <c r="K64">
        <v>14</v>
      </c>
      <c r="L64">
        <v>154</v>
      </c>
      <c r="M64">
        <v>7</v>
      </c>
      <c r="N64">
        <v>147</v>
      </c>
      <c r="O64">
        <v>0.95454545454545459</v>
      </c>
      <c r="P64">
        <v>11</v>
      </c>
      <c r="Q64" s="16">
        <v>374</v>
      </c>
      <c r="R64" s="16">
        <v>473</v>
      </c>
    </row>
    <row r="65" spans="1:18" x14ac:dyDescent="0.2">
      <c r="A65" s="1">
        <v>223</v>
      </c>
      <c r="B65" s="32">
        <v>45000</v>
      </c>
      <c r="C65" s="8" t="s">
        <v>23</v>
      </c>
      <c r="D65" s="8">
        <v>5</v>
      </c>
      <c r="E65" s="8" t="s">
        <v>9</v>
      </c>
      <c r="F65" s="8" t="s">
        <v>11</v>
      </c>
      <c r="G65" s="8" t="s">
        <v>11</v>
      </c>
      <c r="H65" t="s">
        <v>14</v>
      </c>
      <c r="I65" t="s">
        <v>13</v>
      </c>
      <c r="J65" t="s">
        <v>56</v>
      </c>
      <c r="K65">
        <v>14</v>
      </c>
      <c r="L65">
        <v>154</v>
      </c>
      <c r="M65">
        <v>36</v>
      </c>
      <c r="N65">
        <v>118</v>
      </c>
      <c r="O65">
        <v>0.76623376623376627</v>
      </c>
      <c r="P65">
        <v>11</v>
      </c>
      <c r="Q65" s="16">
        <v>440</v>
      </c>
      <c r="R65" s="16">
        <v>467.5</v>
      </c>
    </row>
    <row r="66" spans="1:18" x14ac:dyDescent="0.2">
      <c r="A66" s="1">
        <v>227</v>
      </c>
      <c r="B66" s="32">
        <v>45001</v>
      </c>
      <c r="C66" s="8" t="s">
        <v>23</v>
      </c>
      <c r="D66" s="8">
        <v>6</v>
      </c>
      <c r="E66" s="8" t="s">
        <v>9</v>
      </c>
      <c r="F66" s="8" t="s">
        <v>11</v>
      </c>
      <c r="G66" s="8" t="s">
        <v>11</v>
      </c>
      <c r="H66" t="s">
        <v>14</v>
      </c>
      <c r="I66" t="s">
        <v>13</v>
      </c>
      <c r="J66" t="s">
        <v>52</v>
      </c>
      <c r="K66">
        <v>19</v>
      </c>
      <c r="L66">
        <v>209</v>
      </c>
      <c r="M66">
        <v>16</v>
      </c>
      <c r="N66">
        <v>193</v>
      </c>
      <c r="O66">
        <v>0.92344497607655507</v>
      </c>
      <c r="P66">
        <v>11</v>
      </c>
      <c r="Q66" s="16">
        <v>627</v>
      </c>
      <c r="R66" s="16">
        <v>467.5</v>
      </c>
    </row>
    <row r="67" spans="1:18" x14ac:dyDescent="0.2">
      <c r="A67" s="1">
        <v>231</v>
      </c>
      <c r="B67" s="32">
        <v>45002</v>
      </c>
      <c r="C67" s="8" t="s">
        <v>23</v>
      </c>
      <c r="D67" s="8">
        <v>7</v>
      </c>
      <c r="E67" s="8" t="s">
        <v>9</v>
      </c>
      <c r="F67" s="8" t="s">
        <v>11</v>
      </c>
      <c r="G67" s="8" t="s">
        <v>11</v>
      </c>
      <c r="H67" t="s">
        <v>14</v>
      </c>
      <c r="I67" t="s">
        <v>13</v>
      </c>
      <c r="J67" t="s">
        <v>56</v>
      </c>
      <c r="K67">
        <v>21</v>
      </c>
      <c r="L67">
        <v>231</v>
      </c>
      <c r="M67">
        <v>34</v>
      </c>
      <c r="N67">
        <v>197</v>
      </c>
      <c r="O67">
        <v>0.8528138528138528</v>
      </c>
      <c r="P67">
        <v>11</v>
      </c>
      <c r="Q67" s="16">
        <v>231</v>
      </c>
      <c r="R67" s="16">
        <v>462</v>
      </c>
    </row>
    <row r="68" spans="1:18" x14ac:dyDescent="0.2">
      <c r="A68" s="1">
        <v>232</v>
      </c>
      <c r="B68" s="32">
        <v>45004</v>
      </c>
      <c r="C68" s="8" t="s">
        <v>23</v>
      </c>
      <c r="D68" s="8">
        <v>2</v>
      </c>
      <c r="E68" s="8" t="s">
        <v>9</v>
      </c>
      <c r="F68" s="8" t="s">
        <v>11</v>
      </c>
      <c r="G68" s="8" t="s">
        <v>11</v>
      </c>
      <c r="H68" t="s">
        <v>14</v>
      </c>
      <c r="I68" t="s">
        <v>13</v>
      </c>
      <c r="J68" t="s">
        <v>52</v>
      </c>
      <c r="K68">
        <v>21</v>
      </c>
      <c r="L68">
        <v>231</v>
      </c>
      <c r="M68">
        <v>14</v>
      </c>
      <c r="N68">
        <v>217</v>
      </c>
      <c r="O68">
        <v>0.93939393939393945</v>
      </c>
      <c r="P68">
        <v>11</v>
      </c>
      <c r="Q68" s="16">
        <v>572</v>
      </c>
      <c r="R68" s="16">
        <v>454.66666666666669</v>
      </c>
    </row>
    <row r="69" spans="1:18" x14ac:dyDescent="0.2">
      <c r="A69" s="1">
        <v>236</v>
      </c>
      <c r="B69" s="32">
        <v>45005</v>
      </c>
      <c r="C69" s="8" t="s">
        <v>23</v>
      </c>
      <c r="D69" s="8">
        <v>3</v>
      </c>
      <c r="E69" s="8" t="s">
        <v>9</v>
      </c>
      <c r="F69" s="8" t="s">
        <v>11</v>
      </c>
      <c r="G69" s="8" t="s">
        <v>10</v>
      </c>
      <c r="H69" t="s">
        <v>24</v>
      </c>
      <c r="I69" t="s">
        <v>13</v>
      </c>
      <c r="J69" t="s">
        <v>56</v>
      </c>
      <c r="K69">
        <v>26</v>
      </c>
      <c r="L69">
        <v>230</v>
      </c>
      <c r="M69">
        <v>37</v>
      </c>
      <c r="N69">
        <v>193</v>
      </c>
      <c r="O69">
        <v>0.83913043478260874</v>
      </c>
      <c r="P69">
        <v>8.8461538461538467</v>
      </c>
      <c r="Q69" s="16">
        <v>592</v>
      </c>
      <c r="R69" s="16">
        <v>472.66666666666669</v>
      </c>
    </row>
    <row r="70" spans="1:18" x14ac:dyDescent="0.2">
      <c r="A70" s="1">
        <v>240</v>
      </c>
      <c r="B70" s="32">
        <v>45006</v>
      </c>
      <c r="C70" s="8" t="s">
        <v>23</v>
      </c>
      <c r="D70" s="8">
        <v>4</v>
      </c>
      <c r="E70" s="8" t="s">
        <v>9</v>
      </c>
      <c r="F70" s="8" t="s">
        <v>11</v>
      </c>
      <c r="G70" s="8" t="s">
        <v>10</v>
      </c>
      <c r="H70" t="s">
        <v>25</v>
      </c>
      <c r="I70" t="s">
        <v>13</v>
      </c>
      <c r="J70" t="s">
        <v>52</v>
      </c>
      <c r="K70">
        <v>20</v>
      </c>
      <c r="L70">
        <v>172</v>
      </c>
      <c r="M70">
        <v>33</v>
      </c>
      <c r="N70">
        <v>139</v>
      </c>
      <c r="O70">
        <v>0.80813953488372092</v>
      </c>
      <c r="P70">
        <v>8.6</v>
      </c>
      <c r="Q70" s="16">
        <v>776</v>
      </c>
      <c r="R70" s="16">
        <v>539.66666666666663</v>
      </c>
    </row>
    <row r="71" spans="1:18" x14ac:dyDescent="0.2">
      <c r="A71" s="1">
        <v>244</v>
      </c>
      <c r="B71" s="32">
        <v>45007</v>
      </c>
      <c r="C71" s="8" t="s">
        <v>23</v>
      </c>
      <c r="D71" s="8">
        <v>5</v>
      </c>
      <c r="E71" s="8" t="s">
        <v>9</v>
      </c>
      <c r="F71" s="8" t="s">
        <v>11</v>
      </c>
      <c r="G71" s="8" t="s">
        <v>10</v>
      </c>
      <c r="H71" t="s">
        <v>25</v>
      </c>
      <c r="I71" t="s">
        <v>13</v>
      </c>
      <c r="J71" t="s">
        <v>56</v>
      </c>
      <c r="K71">
        <v>26</v>
      </c>
      <c r="L71">
        <v>222</v>
      </c>
      <c r="M71">
        <v>28</v>
      </c>
      <c r="N71">
        <v>194</v>
      </c>
      <c r="O71">
        <v>0.87387387387387383</v>
      </c>
      <c r="P71">
        <v>8.5384615384615383</v>
      </c>
      <c r="Q71" s="16">
        <v>789</v>
      </c>
      <c r="R71" s="16">
        <v>597.83333333333337</v>
      </c>
    </row>
    <row r="72" spans="1:18" x14ac:dyDescent="0.2">
      <c r="A72" s="1">
        <v>248</v>
      </c>
      <c r="B72" s="32">
        <v>45008</v>
      </c>
      <c r="C72" s="8" t="s">
        <v>23</v>
      </c>
      <c r="D72" s="8">
        <v>6</v>
      </c>
      <c r="E72" s="8" t="s">
        <v>9</v>
      </c>
      <c r="F72" s="8" t="s">
        <v>11</v>
      </c>
      <c r="G72" s="8" t="s">
        <v>10</v>
      </c>
      <c r="H72" t="s">
        <v>25</v>
      </c>
      <c r="I72" t="s">
        <v>13</v>
      </c>
      <c r="J72" t="s">
        <v>52</v>
      </c>
      <c r="K72">
        <v>29</v>
      </c>
      <c r="L72">
        <v>263</v>
      </c>
      <c r="M72">
        <v>34</v>
      </c>
      <c r="N72">
        <v>229</v>
      </c>
      <c r="O72">
        <v>0.87072243346007605</v>
      </c>
      <c r="P72">
        <v>9.068965517241379</v>
      </c>
      <c r="Q72" s="16">
        <v>1007</v>
      </c>
      <c r="R72" s="16">
        <v>661.16666666666663</v>
      </c>
    </row>
    <row r="73" spans="1:18" x14ac:dyDescent="0.2">
      <c r="A73" s="1">
        <v>252</v>
      </c>
      <c r="B73" s="32">
        <v>45009</v>
      </c>
      <c r="C73" s="8" t="s">
        <v>23</v>
      </c>
      <c r="D73" s="8">
        <v>7</v>
      </c>
      <c r="E73" s="8" t="s">
        <v>9</v>
      </c>
      <c r="F73" s="8" t="s">
        <v>11</v>
      </c>
      <c r="G73" s="8" t="s">
        <v>10</v>
      </c>
      <c r="H73" t="s">
        <v>25</v>
      </c>
      <c r="I73" t="s">
        <v>13</v>
      </c>
      <c r="J73" t="s">
        <v>56</v>
      </c>
      <c r="K73">
        <v>30</v>
      </c>
      <c r="L73">
        <v>274</v>
      </c>
      <c r="M73">
        <v>48</v>
      </c>
      <c r="N73">
        <v>226</v>
      </c>
      <c r="O73">
        <v>0.82481751824817517</v>
      </c>
      <c r="P73">
        <v>9.1333333333333329</v>
      </c>
      <c r="Q73" s="16">
        <v>274</v>
      </c>
      <c r="R73" s="16">
        <v>668.33333333333337</v>
      </c>
    </row>
    <row r="74" spans="1:18" x14ac:dyDescent="0.2">
      <c r="A74" s="1">
        <v>253</v>
      </c>
      <c r="B74" s="32">
        <v>45011</v>
      </c>
      <c r="C74" s="8" t="s">
        <v>23</v>
      </c>
      <c r="D74" s="8">
        <v>2</v>
      </c>
      <c r="E74" s="8" t="s">
        <v>9</v>
      </c>
      <c r="F74" s="8" t="s">
        <v>11</v>
      </c>
      <c r="G74" s="8" t="s">
        <v>11</v>
      </c>
      <c r="H74" t="s">
        <v>14</v>
      </c>
      <c r="I74" t="s">
        <v>13</v>
      </c>
      <c r="J74" t="s">
        <v>52</v>
      </c>
      <c r="K74">
        <v>24</v>
      </c>
      <c r="L74">
        <v>264</v>
      </c>
      <c r="M74">
        <v>41</v>
      </c>
      <c r="N74">
        <v>223</v>
      </c>
      <c r="O74">
        <v>0.84469696969696972</v>
      </c>
      <c r="P74">
        <v>11</v>
      </c>
      <c r="Q74" s="16">
        <v>616</v>
      </c>
      <c r="R74" s="16">
        <v>675.66666666666663</v>
      </c>
    </row>
    <row r="75" spans="1:18" x14ac:dyDescent="0.2">
      <c r="A75" s="1">
        <v>257</v>
      </c>
      <c r="B75" s="32">
        <v>45012</v>
      </c>
      <c r="C75" s="8" t="s">
        <v>23</v>
      </c>
      <c r="D75" s="8">
        <v>3</v>
      </c>
      <c r="E75" s="8" t="s">
        <v>9</v>
      </c>
      <c r="F75" s="8" t="s">
        <v>11</v>
      </c>
      <c r="G75" s="8" t="s">
        <v>11</v>
      </c>
      <c r="H75" t="s">
        <v>14</v>
      </c>
      <c r="I75" t="s">
        <v>13</v>
      </c>
      <c r="J75" t="s">
        <v>56</v>
      </c>
      <c r="K75">
        <v>18</v>
      </c>
      <c r="L75">
        <v>198</v>
      </c>
      <c r="M75">
        <v>49</v>
      </c>
      <c r="N75">
        <v>149</v>
      </c>
      <c r="O75">
        <v>0.75252525252525249</v>
      </c>
      <c r="P75">
        <v>11</v>
      </c>
      <c r="Q75" s="16">
        <v>517</v>
      </c>
      <c r="R75" s="16">
        <v>663.16666666666663</v>
      </c>
    </row>
    <row r="76" spans="1:18" x14ac:dyDescent="0.2">
      <c r="A76" s="1">
        <v>261</v>
      </c>
      <c r="B76" s="32">
        <v>45013</v>
      </c>
      <c r="C76" s="8" t="s">
        <v>23</v>
      </c>
      <c r="D76" s="8">
        <v>4</v>
      </c>
      <c r="E76" s="8" t="s">
        <v>9</v>
      </c>
      <c r="F76" s="8" t="s">
        <v>11</v>
      </c>
      <c r="G76" s="8" t="s">
        <v>11</v>
      </c>
      <c r="H76" t="s">
        <v>14</v>
      </c>
      <c r="I76" t="s">
        <v>13</v>
      </c>
      <c r="J76" t="s">
        <v>52</v>
      </c>
      <c r="K76">
        <v>16</v>
      </c>
      <c r="L76">
        <v>176</v>
      </c>
      <c r="M76">
        <v>1</v>
      </c>
      <c r="N76">
        <v>175</v>
      </c>
      <c r="O76">
        <v>0.99431818181818177</v>
      </c>
      <c r="P76">
        <v>11</v>
      </c>
      <c r="Q76" s="16">
        <v>396</v>
      </c>
      <c r="R76" s="16">
        <v>599.83333333333337</v>
      </c>
    </row>
    <row r="77" spans="1:18" x14ac:dyDescent="0.2">
      <c r="A77" s="1">
        <v>265</v>
      </c>
      <c r="B77" s="32">
        <v>45014</v>
      </c>
      <c r="C77" s="8" t="s">
        <v>23</v>
      </c>
      <c r="D77" s="8">
        <v>5</v>
      </c>
      <c r="E77" s="8" t="s">
        <v>9</v>
      </c>
      <c r="F77" s="8" t="s">
        <v>11</v>
      </c>
      <c r="G77" s="8" t="s">
        <v>11</v>
      </c>
      <c r="H77" t="s">
        <v>14</v>
      </c>
      <c r="I77" t="s">
        <v>13</v>
      </c>
      <c r="J77" t="s">
        <v>56</v>
      </c>
      <c r="K77">
        <v>16</v>
      </c>
      <c r="L77">
        <v>176</v>
      </c>
      <c r="M77">
        <v>43</v>
      </c>
      <c r="N77">
        <v>133</v>
      </c>
      <c r="O77">
        <v>0.75568181818181823</v>
      </c>
      <c r="P77">
        <v>11</v>
      </c>
      <c r="Q77" s="16">
        <v>473</v>
      </c>
      <c r="R77" s="16">
        <v>547.16666666666663</v>
      </c>
    </row>
    <row r="78" spans="1:18" x14ac:dyDescent="0.2">
      <c r="A78" s="1">
        <v>269</v>
      </c>
      <c r="B78" s="32">
        <v>45015</v>
      </c>
      <c r="C78" s="8" t="s">
        <v>23</v>
      </c>
      <c r="D78" s="8">
        <v>6</v>
      </c>
      <c r="E78" s="8" t="s">
        <v>9</v>
      </c>
      <c r="F78" s="8" t="s">
        <v>11</v>
      </c>
      <c r="G78" s="8" t="s">
        <v>11</v>
      </c>
      <c r="H78" t="s">
        <v>14</v>
      </c>
      <c r="I78" t="s">
        <v>13</v>
      </c>
      <c r="J78" t="s">
        <v>52</v>
      </c>
      <c r="K78">
        <v>21</v>
      </c>
      <c r="L78">
        <v>231</v>
      </c>
      <c r="M78">
        <v>22</v>
      </c>
      <c r="N78">
        <v>209</v>
      </c>
      <c r="O78">
        <v>0.90476190476190477</v>
      </c>
      <c r="P78">
        <v>11</v>
      </c>
      <c r="Q78" s="16">
        <v>638</v>
      </c>
      <c r="R78" s="16">
        <v>485.66666666666669</v>
      </c>
    </row>
    <row r="79" spans="1:18" x14ac:dyDescent="0.2">
      <c r="A79" s="1">
        <v>273</v>
      </c>
      <c r="B79" s="32">
        <v>45016</v>
      </c>
      <c r="C79" s="8" t="s">
        <v>23</v>
      </c>
      <c r="D79" s="8">
        <v>7</v>
      </c>
      <c r="E79" s="8" t="s">
        <v>9</v>
      </c>
      <c r="F79" s="8" t="s">
        <v>11</v>
      </c>
      <c r="G79" s="8" t="s">
        <v>11</v>
      </c>
      <c r="H79" t="s">
        <v>14</v>
      </c>
      <c r="I79" t="s">
        <v>13</v>
      </c>
      <c r="J79" t="s">
        <v>56</v>
      </c>
      <c r="K79">
        <v>24</v>
      </c>
      <c r="L79">
        <v>264</v>
      </c>
      <c r="M79">
        <v>34</v>
      </c>
      <c r="N79">
        <v>230</v>
      </c>
      <c r="O79">
        <v>0.87121212121212122</v>
      </c>
      <c r="P79">
        <v>11</v>
      </c>
      <c r="Q79" s="16">
        <v>264</v>
      </c>
      <c r="R79" s="16">
        <v>484</v>
      </c>
    </row>
    <row r="80" spans="1:18" x14ac:dyDescent="0.2">
      <c r="A80" s="1">
        <v>274</v>
      </c>
      <c r="B80" s="32">
        <v>45018</v>
      </c>
      <c r="C80" s="8" t="s">
        <v>26</v>
      </c>
      <c r="D80" s="8">
        <v>2</v>
      </c>
      <c r="E80" s="8" t="s">
        <v>27</v>
      </c>
      <c r="F80" s="8" t="s">
        <v>11</v>
      </c>
      <c r="G80" s="8" t="s">
        <v>11</v>
      </c>
      <c r="H80" t="s">
        <v>14</v>
      </c>
      <c r="I80" t="s">
        <v>13</v>
      </c>
      <c r="J80" t="s">
        <v>52</v>
      </c>
      <c r="K80">
        <v>19</v>
      </c>
      <c r="L80">
        <v>209</v>
      </c>
      <c r="M80">
        <v>26</v>
      </c>
      <c r="N80">
        <v>183</v>
      </c>
      <c r="O80">
        <v>0.87559808612440193</v>
      </c>
      <c r="P80">
        <v>11</v>
      </c>
      <c r="Q80" s="16">
        <v>594</v>
      </c>
      <c r="R80" s="16">
        <v>480.33333333333331</v>
      </c>
    </row>
    <row r="81" spans="1:18" x14ac:dyDescent="0.2">
      <c r="A81" s="1">
        <v>278</v>
      </c>
      <c r="B81" s="32">
        <v>45019</v>
      </c>
      <c r="C81" s="8" t="s">
        <v>26</v>
      </c>
      <c r="D81" s="8">
        <v>3</v>
      </c>
      <c r="E81" s="8" t="s">
        <v>27</v>
      </c>
      <c r="F81" s="8" t="s">
        <v>11</v>
      </c>
      <c r="G81" s="8" t="s">
        <v>11</v>
      </c>
      <c r="H81" t="s">
        <v>14</v>
      </c>
      <c r="I81" t="s">
        <v>13</v>
      </c>
      <c r="J81" t="s">
        <v>56</v>
      </c>
      <c r="K81">
        <v>17</v>
      </c>
      <c r="L81">
        <v>187</v>
      </c>
      <c r="M81">
        <v>31</v>
      </c>
      <c r="N81">
        <v>156</v>
      </c>
      <c r="O81">
        <v>0.83422459893048129</v>
      </c>
      <c r="P81">
        <v>11</v>
      </c>
      <c r="Q81" s="16">
        <v>517</v>
      </c>
      <c r="R81" s="16">
        <v>480.33333333333331</v>
      </c>
    </row>
    <row r="82" spans="1:18" x14ac:dyDescent="0.2">
      <c r="A82" s="1">
        <v>282</v>
      </c>
      <c r="B82" s="32">
        <v>45020</v>
      </c>
      <c r="C82" s="8" t="s">
        <v>26</v>
      </c>
      <c r="D82" s="8">
        <v>4</v>
      </c>
      <c r="E82" s="8" t="s">
        <v>27</v>
      </c>
      <c r="F82" s="8" t="s">
        <v>11</v>
      </c>
      <c r="G82" s="8" t="s">
        <v>11</v>
      </c>
      <c r="H82" t="s">
        <v>14</v>
      </c>
      <c r="I82" t="s">
        <v>13</v>
      </c>
      <c r="J82" t="s">
        <v>52</v>
      </c>
      <c r="K82">
        <v>15</v>
      </c>
      <c r="L82">
        <v>165</v>
      </c>
      <c r="M82">
        <v>34</v>
      </c>
      <c r="N82">
        <v>131</v>
      </c>
      <c r="O82">
        <v>0.79393939393939394</v>
      </c>
      <c r="P82">
        <v>11</v>
      </c>
      <c r="Q82" s="16">
        <v>385</v>
      </c>
      <c r="R82" s="16">
        <v>478.5</v>
      </c>
    </row>
    <row r="83" spans="1:18" x14ac:dyDescent="0.2">
      <c r="A83" s="1">
        <v>286</v>
      </c>
      <c r="B83" s="32">
        <v>45021</v>
      </c>
      <c r="C83" s="8" t="s">
        <v>26</v>
      </c>
      <c r="D83" s="8">
        <v>5</v>
      </c>
      <c r="E83" s="8" t="s">
        <v>27</v>
      </c>
      <c r="F83" s="8" t="s">
        <v>11</v>
      </c>
      <c r="G83" s="8" t="s">
        <v>11</v>
      </c>
      <c r="H83" t="s">
        <v>14</v>
      </c>
      <c r="I83" t="s">
        <v>13</v>
      </c>
      <c r="J83" t="s">
        <v>56</v>
      </c>
      <c r="K83">
        <v>16</v>
      </c>
      <c r="L83">
        <v>176</v>
      </c>
      <c r="M83">
        <v>30</v>
      </c>
      <c r="N83">
        <v>146</v>
      </c>
      <c r="O83">
        <v>0.82954545454545459</v>
      </c>
      <c r="P83">
        <v>11</v>
      </c>
      <c r="Q83" s="16">
        <v>484</v>
      </c>
      <c r="R83" s="16">
        <v>480.33333333333331</v>
      </c>
    </row>
    <row r="84" spans="1:18" x14ac:dyDescent="0.2">
      <c r="A84" s="1">
        <v>290</v>
      </c>
      <c r="B84" s="32">
        <v>45022</v>
      </c>
      <c r="C84" s="8" t="s">
        <v>26</v>
      </c>
      <c r="D84" s="8">
        <v>6</v>
      </c>
      <c r="E84" s="8" t="s">
        <v>27</v>
      </c>
      <c r="F84" s="8" t="s">
        <v>11</v>
      </c>
      <c r="G84" s="8" t="s">
        <v>11</v>
      </c>
      <c r="H84" t="s">
        <v>14</v>
      </c>
      <c r="I84" t="s">
        <v>13</v>
      </c>
      <c r="J84" t="s">
        <v>52</v>
      </c>
      <c r="K84">
        <v>18</v>
      </c>
      <c r="L84">
        <v>198</v>
      </c>
      <c r="M84">
        <v>46</v>
      </c>
      <c r="N84">
        <v>152</v>
      </c>
      <c r="O84">
        <v>0.76767676767676762</v>
      </c>
      <c r="P84">
        <v>11</v>
      </c>
      <c r="Q84" s="16">
        <v>605</v>
      </c>
      <c r="R84" s="16">
        <v>474.83333333333331</v>
      </c>
    </row>
    <row r="85" spans="1:18" x14ac:dyDescent="0.2">
      <c r="A85" s="1">
        <v>294</v>
      </c>
      <c r="B85" s="32">
        <v>45023</v>
      </c>
      <c r="C85" s="8" t="s">
        <v>26</v>
      </c>
      <c r="D85" s="8">
        <v>7</v>
      </c>
      <c r="E85" s="8" t="s">
        <v>27</v>
      </c>
      <c r="F85" s="8" t="s">
        <v>11</v>
      </c>
      <c r="G85" s="8" t="s">
        <v>11</v>
      </c>
      <c r="H85" t="s">
        <v>14</v>
      </c>
      <c r="I85" t="s">
        <v>13</v>
      </c>
      <c r="J85" t="s">
        <v>56</v>
      </c>
      <c r="K85">
        <v>21</v>
      </c>
      <c r="L85">
        <v>231</v>
      </c>
      <c r="M85">
        <v>43</v>
      </c>
      <c r="N85">
        <v>188</v>
      </c>
      <c r="O85">
        <v>0.81385281385281383</v>
      </c>
      <c r="P85">
        <v>11</v>
      </c>
      <c r="Q85" s="16">
        <v>231</v>
      </c>
      <c r="R85" s="16">
        <v>469.33333333333331</v>
      </c>
    </row>
    <row r="86" spans="1:18" x14ac:dyDescent="0.2">
      <c r="A86" s="1">
        <v>295</v>
      </c>
      <c r="B86" s="32">
        <v>45025</v>
      </c>
      <c r="C86" s="8" t="s">
        <v>26</v>
      </c>
      <c r="D86" s="8">
        <v>2</v>
      </c>
      <c r="E86" s="8" t="s">
        <v>27</v>
      </c>
      <c r="F86" s="8" t="s">
        <v>11</v>
      </c>
      <c r="G86" s="8" t="s">
        <v>11</v>
      </c>
      <c r="H86" t="s">
        <v>14</v>
      </c>
      <c r="I86" t="s">
        <v>13</v>
      </c>
      <c r="J86" t="s">
        <v>52</v>
      </c>
      <c r="K86">
        <v>24</v>
      </c>
      <c r="L86">
        <v>264</v>
      </c>
      <c r="M86">
        <v>34</v>
      </c>
      <c r="N86">
        <v>230</v>
      </c>
      <c r="O86">
        <v>0.87121212121212122</v>
      </c>
      <c r="P86">
        <v>11</v>
      </c>
      <c r="Q86" s="16">
        <v>616</v>
      </c>
      <c r="R86" s="16">
        <v>473</v>
      </c>
    </row>
    <row r="87" spans="1:18" x14ac:dyDescent="0.2">
      <c r="A87" s="1">
        <v>299</v>
      </c>
      <c r="B87" s="32">
        <v>45026</v>
      </c>
      <c r="C87" s="8" t="s">
        <v>26</v>
      </c>
      <c r="D87" s="8">
        <v>3</v>
      </c>
      <c r="E87" s="8" t="s">
        <v>27</v>
      </c>
      <c r="F87" s="8" t="s">
        <v>11</v>
      </c>
      <c r="G87" s="8" t="s">
        <v>11</v>
      </c>
      <c r="H87" t="s">
        <v>14</v>
      </c>
      <c r="I87" t="s">
        <v>13</v>
      </c>
      <c r="J87" t="s">
        <v>56</v>
      </c>
      <c r="K87">
        <v>18</v>
      </c>
      <c r="L87">
        <v>198</v>
      </c>
      <c r="M87">
        <v>27</v>
      </c>
      <c r="N87">
        <v>171</v>
      </c>
      <c r="O87">
        <v>0.86363636363636365</v>
      </c>
      <c r="P87">
        <v>11</v>
      </c>
      <c r="Q87" s="16">
        <v>506</v>
      </c>
      <c r="R87" s="16">
        <v>471.16666666666669</v>
      </c>
    </row>
    <row r="88" spans="1:18" x14ac:dyDescent="0.2">
      <c r="A88" s="1">
        <v>303</v>
      </c>
      <c r="B88" s="32">
        <v>45027</v>
      </c>
      <c r="C88" s="8" t="s">
        <v>26</v>
      </c>
      <c r="D88" s="8">
        <v>4</v>
      </c>
      <c r="E88" s="8" t="s">
        <v>27</v>
      </c>
      <c r="F88" s="8" t="s">
        <v>11</v>
      </c>
      <c r="G88" s="8" t="s">
        <v>11</v>
      </c>
      <c r="H88" t="s">
        <v>14</v>
      </c>
      <c r="I88" t="s">
        <v>13</v>
      </c>
      <c r="J88" t="s">
        <v>52</v>
      </c>
      <c r="K88">
        <v>16</v>
      </c>
      <c r="L88">
        <v>176</v>
      </c>
      <c r="M88">
        <v>42</v>
      </c>
      <c r="N88">
        <v>134</v>
      </c>
      <c r="O88">
        <v>0.76136363636363635</v>
      </c>
      <c r="P88">
        <v>11</v>
      </c>
      <c r="Q88" s="16">
        <v>429</v>
      </c>
      <c r="R88" s="16">
        <v>478.5</v>
      </c>
    </row>
    <row r="89" spans="1:18" x14ac:dyDescent="0.2">
      <c r="A89" s="1">
        <v>307</v>
      </c>
      <c r="B89" s="32">
        <v>45028</v>
      </c>
      <c r="C89" s="8" t="s">
        <v>26</v>
      </c>
      <c r="D89" s="8">
        <v>5</v>
      </c>
      <c r="E89" s="8" t="s">
        <v>27</v>
      </c>
      <c r="F89" s="8" t="s">
        <v>11</v>
      </c>
      <c r="G89" s="8" t="s">
        <v>11</v>
      </c>
      <c r="H89" t="s">
        <v>14</v>
      </c>
      <c r="I89" t="s">
        <v>13</v>
      </c>
      <c r="J89" t="s">
        <v>56</v>
      </c>
      <c r="K89">
        <v>19</v>
      </c>
      <c r="L89">
        <v>209</v>
      </c>
      <c r="M89">
        <v>31</v>
      </c>
      <c r="N89">
        <v>178</v>
      </c>
      <c r="O89">
        <v>0.85167464114832536</v>
      </c>
      <c r="P89">
        <v>11</v>
      </c>
      <c r="Q89" s="16">
        <v>484</v>
      </c>
      <c r="R89" s="16">
        <v>478.5</v>
      </c>
    </row>
    <row r="90" spans="1:18" x14ac:dyDescent="0.2">
      <c r="A90" s="1">
        <v>311</v>
      </c>
      <c r="B90" s="32">
        <v>45029</v>
      </c>
      <c r="C90" s="8" t="s">
        <v>26</v>
      </c>
      <c r="D90" s="8">
        <v>6</v>
      </c>
      <c r="E90" s="8" t="s">
        <v>27</v>
      </c>
      <c r="F90" s="8" t="s">
        <v>11</v>
      </c>
      <c r="G90" s="8" t="s">
        <v>11</v>
      </c>
      <c r="H90" t="s">
        <v>14</v>
      </c>
      <c r="I90" t="s">
        <v>13</v>
      </c>
      <c r="J90" t="s">
        <v>52</v>
      </c>
      <c r="K90">
        <v>18</v>
      </c>
      <c r="L90">
        <v>198</v>
      </c>
      <c r="M90">
        <v>46</v>
      </c>
      <c r="N90">
        <v>152</v>
      </c>
      <c r="O90">
        <v>0.76767676767676762</v>
      </c>
      <c r="P90">
        <v>11</v>
      </c>
      <c r="Q90" s="16">
        <v>594</v>
      </c>
      <c r="R90" s="16">
        <v>476.66666666666669</v>
      </c>
    </row>
    <row r="91" spans="1:18" x14ac:dyDescent="0.2">
      <c r="A91" s="1">
        <v>315</v>
      </c>
      <c r="B91" s="32">
        <v>45030</v>
      </c>
      <c r="C91" s="8" t="s">
        <v>26</v>
      </c>
      <c r="D91" s="8">
        <v>7</v>
      </c>
      <c r="E91" s="8" t="s">
        <v>27</v>
      </c>
      <c r="F91" s="8" t="s">
        <v>11</v>
      </c>
      <c r="G91" s="8" t="s">
        <v>11</v>
      </c>
      <c r="H91" t="s">
        <v>14</v>
      </c>
      <c r="I91" t="s">
        <v>13</v>
      </c>
      <c r="J91" t="s">
        <v>56</v>
      </c>
      <c r="K91">
        <v>23</v>
      </c>
      <c r="L91">
        <v>253</v>
      </c>
      <c r="M91">
        <v>14</v>
      </c>
      <c r="N91">
        <v>239</v>
      </c>
      <c r="O91">
        <v>0.94466403162055335</v>
      </c>
      <c r="P91">
        <v>11</v>
      </c>
      <c r="Q91" s="16">
        <v>253</v>
      </c>
      <c r="R91" s="16">
        <v>480.33333333333331</v>
      </c>
    </row>
    <row r="92" spans="1:18" x14ac:dyDescent="0.2">
      <c r="A92" s="1">
        <v>316</v>
      </c>
      <c r="B92" s="32">
        <v>45032</v>
      </c>
      <c r="C92" s="8" t="s">
        <v>26</v>
      </c>
      <c r="D92" s="8">
        <v>2</v>
      </c>
      <c r="E92" s="8" t="s">
        <v>27</v>
      </c>
      <c r="F92" s="8" t="s">
        <v>11</v>
      </c>
      <c r="G92" s="8" t="s">
        <v>11</v>
      </c>
      <c r="H92" t="s">
        <v>14</v>
      </c>
      <c r="I92" t="s">
        <v>13</v>
      </c>
      <c r="J92" t="s">
        <v>52</v>
      </c>
      <c r="K92">
        <v>18</v>
      </c>
      <c r="L92">
        <v>198</v>
      </c>
      <c r="M92">
        <v>33</v>
      </c>
      <c r="N92">
        <v>165</v>
      </c>
      <c r="O92">
        <v>0.83333333333333337</v>
      </c>
      <c r="P92">
        <v>11</v>
      </c>
      <c r="Q92" s="16">
        <v>550</v>
      </c>
      <c r="R92" s="16">
        <v>469.33333333333331</v>
      </c>
    </row>
    <row r="93" spans="1:18" x14ac:dyDescent="0.2">
      <c r="A93" s="1">
        <v>320</v>
      </c>
      <c r="B93" s="32">
        <v>45033</v>
      </c>
      <c r="C93" s="8" t="s">
        <v>26</v>
      </c>
      <c r="D93" s="8">
        <v>3</v>
      </c>
      <c r="E93" s="8" t="s">
        <v>27</v>
      </c>
      <c r="F93" s="8" t="s">
        <v>11</v>
      </c>
      <c r="G93" s="8" t="s">
        <v>11</v>
      </c>
      <c r="H93" t="s">
        <v>14</v>
      </c>
      <c r="I93" t="s">
        <v>13</v>
      </c>
      <c r="J93" t="s">
        <v>56</v>
      </c>
      <c r="K93">
        <v>16</v>
      </c>
      <c r="L93">
        <v>176</v>
      </c>
      <c r="M93">
        <v>46</v>
      </c>
      <c r="N93">
        <v>130</v>
      </c>
      <c r="O93">
        <v>0.73863636363636365</v>
      </c>
      <c r="P93">
        <v>11</v>
      </c>
      <c r="Q93" s="16">
        <v>484</v>
      </c>
      <c r="R93" s="16">
        <v>465.66666666666669</v>
      </c>
    </row>
    <row r="94" spans="1:18" x14ac:dyDescent="0.2">
      <c r="A94" s="1">
        <v>324</v>
      </c>
      <c r="B94" s="32">
        <v>45034</v>
      </c>
      <c r="C94" s="8" t="s">
        <v>26</v>
      </c>
      <c r="D94" s="8">
        <v>4</v>
      </c>
      <c r="E94" s="8" t="s">
        <v>27</v>
      </c>
      <c r="F94" s="8" t="s">
        <v>11</v>
      </c>
      <c r="G94" s="8" t="s">
        <v>11</v>
      </c>
      <c r="H94" t="s">
        <v>14</v>
      </c>
      <c r="I94" t="s">
        <v>13</v>
      </c>
      <c r="J94" t="s">
        <v>52</v>
      </c>
      <c r="K94">
        <v>15</v>
      </c>
      <c r="L94">
        <v>165</v>
      </c>
      <c r="M94">
        <v>32</v>
      </c>
      <c r="N94">
        <v>133</v>
      </c>
      <c r="O94">
        <v>0.80606060606060603</v>
      </c>
      <c r="P94">
        <v>11</v>
      </c>
      <c r="Q94" s="16">
        <v>396</v>
      </c>
      <c r="R94" s="16">
        <v>460.16666666666669</v>
      </c>
    </row>
    <row r="95" spans="1:18" x14ac:dyDescent="0.2">
      <c r="A95" s="1">
        <v>328</v>
      </c>
      <c r="B95" s="32">
        <v>45035</v>
      </c>
      <c r="C95" s="8" t="s">
        <v>26</v>
      </c>
      <c r="D95" s="8">
        <v>5</v>
      </c>
      <c r="E95" s="8" t="s">
        <v>27</v>
      </c>
      <c r="F95" s="8" t="s">
        <v>11</v>
      </c>
      <c r="G95" s="8" t="s">
        <v>11</v>
      </c>
      <c r="H95" t="s">
        <v>14</v>
      </c>
      <c r="I95" t="s">
        <v>13</v>
      </c>
      <c r="J95" t="s">
        <v>56</v>
      </c>
      <c r="K95">
        <v>16</v>
      </c>
      <c r="L95">
        <v>176</v>
      </c>
      <c r="M95">
        <v>3</v>
      </c>
      <c r="N95">
        <v>173</v>
      </c>
      <c r="O95">
        <v>0.98295454545454541</v>
      </c>
      <c r="P95">
        <v>11</v>
      </c>
      <c r="Q95" s="16">
        <v>473</v>
      </c>
      <c r="R95" s="16">
        <v>458.33333333333331</v>
      </c>
    </row>
    <row r="96" spans="1:18" x14ac:dyDescent="0.2">
      <c r="A96" s="1">
        <v>332</v>
      </c>
      <c r="B96" s="32">
        <v>45036</v>
      </c>
      <c r="C96" s="8" t="s">
        <v>26</v>
      </c>
      <c r="D96" s="8">
        <v>6</v>
      </c>
      <c r="E96" s="8" t="s">
        <v>27</v>
      </c>
      <c r="F96" s="8" t="s">
        <v>11</v>
      </c>
      <c r="G96" s="8" t="s">
        <v>11</v>
      </c>
      <c r="H96" t="s">
        <v>14</v>
      </c>
      <c r="I96" t="s">
        <v>13</v>
      </c>
      <c r="J96" t="s">
        <v>52</v>
      </c>
      <c r="K96">
        <v>19</v>
      </c>
      <c r="L96">
        <v>209</v>
      </c>
      <c r="M96">
        <v>41</v>
      </c>
      <c r="N96">
        <v>168</v>
      </c>
      <c r="O96">
        <v>0.80382775119617222</v>
      </c>
      <c r="P96">
        <v>11</v>
      </c>
      <c r="Q96" s="16">
        <v>605</v>
      </c>
      <c r="R96" s="16">
        <v>460.16666666666669</v>
      </c>
    </row>
    <row r="97" spans="1:18" x14ac:dyDescent="0.2">
      <c r="A97" s="1">
        <v>336</v>
      </c>
      <c r="B97" s="32">
        <v>45037</v>
      </c>
      <c r="C97" s="8" t="s">
        <v>26</v>
      </c>
      <c r="D97" s="8">
        <v>7</v>
      </c>
      <c r="E97" s="8" t="s">
        <v>27</v>
      </c>
      <c r="F97" s="8" t="s">
        <v>11</v>
      </c>
      <c r="G97" s="8" t="s">
        <v>11</v>
      </c>
      <c r="H97" t="s">
        <v>14</v>
      </c>
      <c r="I97" t="s">
        <v>13</v>
      </c>
      <c r="J97" t="s">
        <v>56</v>
      </c>
      <c r="K97">
        <v>21</v>
      </c>
      <c r="L97">
        <v>231</v>
      </c>
      <c r="M97">
        <v>44</v>
      </c>
      <c r="N97">
        <v>187</v>
      </c>
      <c r="O97">
        <v>0.80952380952380953</v>
      </c>
      <c r="P97">
        <v>11</v>
      </c>
      <c r="Q97" s="16">
        <v>231</v>
      </c>
      <c r="R97" s="16">
        <v>456.5</v>
      </c>
    </row>
    <row r="98" spans="1:18" x14ac:dyDescent="0.2">
      <c r="A98" s="1">
        <v>337</v>
      </c>
      <c r="B98" s="32">
        <v>45039</v>
      </c>
      <c r="C98" s="8" t="s">
        <v>26</v>
      </c>
      <c r="D98" s="8">
        <v>2</v>
      </c>
      <c r="E98" s="8" t="s">
        <v>27</v>
      </c>
      <c r="F98" s="8" t="s">
        <v>11</v>
      </c>
      <c r="G98" s="8" t="s">
        <v>11</v>
      </c>
      <c r="H98" t="s">
        <v>14</v>
      </c>
      <c r="I98" t="s">
        <v>13</v>
      </c>
      <c r="J98" t="s">
        <v>52</v>
      </c>
      <c r="K98">
        <v>20</v>
      </c>
      <c r="L98">
        <v>220</v>
      </c>
      <c r="M98">
        <v>4</v>
      </c>
      <c r="N98">
        <v>216</v>
      </c>
      <c r="O98">
        <v>0.98181818181818181</v>
      </c>
      <c r="P98">
        <v>11</v>
      </c>
      <c r="Q98" s="16">
        <v>638</v>
      </c>
      <c r="R98" s="16">
        <v>471.16666666666669</v>
      </c>
    </row>
    <row r="99" spans="1:18" x14ac:dyDescent="0.2">
      <c r="A99" s="1">
        <v>341</v>
      </c>
      <c r="B99" s="32">
        <v>45040</v>
      </c>
      <c r="C99" s="8" t="s">
        <v>26</v>
      </c>
      <c r="D99" s="8">
        <v>3</v>
      </c>
      <c r="E99" s="8" t="s">
        <v>27</v>
      </c>
      <c r="F99" s="8" t="s">
        <v>11</v>
      </c>
      <c r="G99" s="8" t="s">
        <v>11</v>
      </c>
      <c r="H99" t="s">
        <v>14</v>
      </c>
      <c r="I99" t="s">
        <v>13</v>
      </c>
      <c r="J99" t="s">
        <v>56</v>
      </c>
      <c r="K99">
        <v>19</v>
      </c>
      <c r="L99">
        <v>209</v>
      </c>
      <c r="M99">
        <v>49</v>
      </c>
      <c r="N99">
        <v>160</v>
      </c>
      <c r="O99">
        <v>0.76555023923444976</v>
      </c>
      <c r="P99">
        <v>11</v>
      </c>
      <c r="Q99" s="16">
        <v>539</v>
      </c>
      <c r="R99" s="16">
        <v>480.33333333333331</v>
      </c>
    </row>
    <row r="100" spans="1:18" x14ac:dyDescent="0.2">
      <c r="A100" s="1">
        <v>345</v>
      </c>
      <c r="B100" s="32">
        <v>45041</v>
      </c>
      <c r="C100" s="8" t="s">
        <v>26</v>
      </c>
      <c r="D100" s="8">
        <v>4</v>
      </c>
      <c r="E100" s="8" t="s">
        <v>27</v>
      </c>
      <c r="F100" s="8" t="s">
        <v>11</v>
      </c>
      <c r="G100" s="8" t="s">
        <v>11</v>
      </c>
      <c r="H100" t="s">
        <v>14</v>
      </c>
      <c r="I100" t="s">
        <v>13</v>
      </c>
      <c r="J100" t="s">
        <v>52</v>
      </c>
      <c r="K100">
        <v>17</v>
      </c>
      <c r="L100">
        <v>187</v>
      </c>
      <c r="M100">
        <v>21</v>
      </c>
      <c r="N100">
        <v>166</v>
      </c>
      <c r="O100">
        <v>0.88770053475935828</v>
      </c>
      <c r="P100">
        <v>11</v>
      </c>
      <c r="Q100" s="16">
        <v>418</v>
      </c>
      <c r="R100" s="16">
        <v>484</v>
      </c>
    </row>
    <row r="101" spans="1:18" x14ac:dyDescent="0.2">
      <c r="A101" s="1">
        <v>349</v>
      </c>
      <c r="B101" s="32">
        <v>45042</v>
      </c>
      <c r="C101" s="8" t="s">
        <v>26</v>
      </c>
      <c r="D101" s="8">
        <v>5</v>
      </c>
      <c r="E101" s="8" t="s">
        <v>27</v>
      </c>
      <c r="F101" s="8" t="s">
        <v>11</v>
      </c>
      <c r="G101" s="8" t="s">
        <v>11</v>
      </c>
      <c r="H101" t="s">
        <v>14</v>
      </c>
      <c r="I101" t="s">
        <v>13</v>
      </c>
      <c r="J101" t="s">
        <v>56</v>
      </c>
      <c r="K101">
        <v>17</v>
      </c>
      <c r="L101">
        <v>187</v>
      </c>
      <c r="M101">
        <v>44</v>
      </c>
      <c r="N101">
        <v>143</v>
      </c>
      <c r="O101">
        <v>0.76470588235294112</v>
      </c>
      <c r="P101">
        <v>11</v>
      </c>
      <c r="Q101" s="16">
        <v>506</v>
      </c>
      <c r="R101" s="16">
        <v>489.5</v>
      </c>
    </row>
    <row r="102" spans="1:18" x14ac:dyDescent="0.2">
      <c r="A102" s="1">
        <v>353</v>
      </c>
      <c r="B102" s="32">
        <v>45043</v>
      </c>
      <c r="C102" s="8" t="s">
        <v>26</v>
      </c>
      <c r="D102" s="8">
        <v>6</v>
      </c>
      <c r="E102" s="8" t="s">
        <v>27</v>
      </c>
      <c r="F102" s="8" t="s">
        <v>11</v>
      </c>
      <c r="G102" s="8" t="s">
        <v>11</v>
      </c>
      <c r="H102" t="s">
        <v>14</v>
      </c>
      <c r="I102" t="s">
        <v>13</v>
      </c>
      <c r="J102" t="s">
        <v>52</v>
      </c>
      <c r="K102">
        <v>20</v>
      </c>
      <c r="L102">
        <v>220</v>
      </c>
      <c r="M102">
        <v>33</v>
      </c>
      <c r="N102">
        <v>187</v>
      </c>
      <c r="O102">
        <v>0.85</v>
      </c>
      <c r="P102">
        <v>11</v>
      </c>
      <c r="Q102" s="16">
        <v>627</v>
      </c>
      <c r="R102" s="16">
        <v>493.16666666666669</v>
      </c>
    </row>
    <row r="103" spans="1:18" x14ac:dyDescent="0.2">
      <c r="A103" s="1">
        <v>357</v>
      </c>
      <c r="B103" s="32">
        <v>45044</v>
      </c>
      <c r="C103" s="8" t="s">
        <v>26</v>
      </c>
      <c r="D103" s="8">
        <v>7</v>
      </c>
      <c r="E103" s="8" t="s">
        <v>27</v>
      </c>
      <c r="F103" s="8" t="s">
        <v>11</v>
      </c>
      <c r="G103" s="8" t="s">
        <v>11</v>
      </c>
      <c r="H103" t="s">
        <v>14</v>
      </c>
      <c r="I103" t="s">
        <v>13</v>
      </c>
      <c r="J103" t="s">
        <v>56</v>
      </c>
      <c r="K103">
        <v>22</v>
      </c>
      <c r="L103">
        <v>242</v>
      </c>
      <c r="M103">
        <v>14</v>
      </c>
      <c r="N103">
        <v>228</v>
      </c>
      <c r="O103">
        <v>0.94214876033057848</v>
      </c>
      <c r="P103">
        <v>11</v>
      </c>
      <c r="Q103" s="16">
        <v>242</v>
      </c>
      <c r="R103" s="16">
        <v>495</v>
      </c>
    </row>
    <row r="104" spans="1:18" x14ac:dyDescent="0.2">
      <c r="A104" s="1">
        <v>358</v>
      </c>
      <c r="B104" s="32">
        <v>45046</v>
      </c>
      <c r="C104" s="8" t="s">
        <v>26</v>
      </c>
      <c r="D104" s="8">
        <v>2</v>
      </c>
      <c r="E104" s="8" t="s">
        <v>27</v>
      </c>
      <c r="F104" s="8" t="s">
        <v>11</v>
      </c>
      <c r="G104" s="8" t="s">
        <v>11</v>
      </c>
      <c r="H104" t="s">
        <v>14</v>
      </c>
      <c r="I104" t="s">
        <v>13</v>
      </c>
      <c r="J104" t="s">
        <v>52</v>
      </c>
      <c r="K104">
        <v>19</v>
      </c>
      <c r="L104">
        <v>209</v>
      </c>
      <c r="M104">
        <v>46</v>
      </c>
      <c r="N104">
        <v>163</v>
      </c>
      <c r="O104">
        <v>0.77990430622009566</v>
      </c>
      <c r="P104">
        <v>11</v>
      </c>
      <c r="Q104" s="16">
        <v>583</v>
      </c>
      <c r="R104" s="16">
        <v>485.83333333333331</v>
      </c>
    </row>
    <row r="105" spans="1:18" x14ac:dyDescent="0.2">
      <c r="A105" s="1">
        <v>362</v>
      </c>
      <c r="B105" s="32">
        <v>45047</v>
      </c>
      <c r="C105" s="8" t="s">
        <v>28</v>
      </c>
      <c r="D105" s="8">
        <v>3</v>
      </c>
      <c r="E105" s="8" t="s">
        <v>27</v>
      </c>
      <c r="F105" s="8" t="s">
        <v>11</v>
      </c>
      <c r="G105" s="8" t="s">
        <v>11</v>
      </c>
      <c r="H105" t="s">
        <v>14</v>
      </c>
      <c r="I105" t="s">
        <v>13</v>
      </c>
      <c r="J105" t="s">
        <v>56</v>
      </c>
      <c r="K105">
        <v>18</v>
      </c>
      <c r="L105">
        <v>198</v>
      </c>
      <c r="M105">
        <v>21</v>
      </c>
      <c r="N105">
        <v>177</v>
      </c>
      <c r="O105">
        <v>0.89393939393939392</v>
      </c>
      <c r="P105">
        <v>11</v>
      </c>
      <c r="Q105" s="16">
        <v>506</v>
      </c>
      <c r="R105" s="16">
        <v>480.33333333333331</v>
      </c>
    </row>
    <row r="106" spans="1:18" x14ac:dyDescent="0.2">
      <c r="A106" s="1">
        <v>366</v>
      </c>
      <c r="B106" s="32">
        <v>45048</v>
      </c>
      <c r="C106" s="8" t="s">
        <v>28</v>
      </c>
      <c r="D106" s="8">
        <v>4</v>
      </c>
      <c r="E106" s="8" t="s">
        <v>27</v>
      </c>
      <c r="F106" s="8" t="s">
        <v>11</v>
      </c>
      <c r="G106" s="8" t="s">
        <v>11</v>
      </c>
      <c r="H106" t="s">
        <v>14</v>
      </c>
      <c r="I106" t="s">
        <v>13</v>
      </c>
      <c r="J106" t="s">
        <v>52</v>
      </c>
      <c r="K106">
        <v>18</v>
      </c>
      <c r="L106">
        <v>198</v>
      </c>
      <c r="M106">
        <v>24</v>
      </c>
      <c r="N106">
        <v>174</v>
      </c>
      <c r="O106">
        <v>0.87878787878787878</v>
      </c>
      <c r="P106">
        <v>11</v>
      </c>
      <c r="Q106" s="16">
        <v>473</v>
      </c>
      <c r="R106" s="16">
        <v>489.5</v>
      </c>
    </row>
    <row r="107" spans="1:18" x14ac:dyDescent="0.2">
      <c r="A107" s="1">
        <v>370</v>
      </c>
      <c r="B107" s="32">
        <v>45049</v>
      </c>
      <c r="C107" s="8" t="s">
        <v>28</v>
      </c>
      <c r="D107" s="8">
        <v>5</v>
      </c>
      <c r="E107" s="8" t="s">
        <v>27</v>
      </c>
      <c r="F107" s="8" t="s">
        <v>11</v>
      </c>
      <c r="G107" s="8" t="s">
        <v>11</v>
      </c>
      <c r="H107" t="s">
        <v>14</v>
      </c>
      <c r="I107" t="s">
        <v>13</v>
      </c>
      <c r="J107" t="s">
        <v>56</v>
      </c>
      <c r="K107">
        <v>16</v>
      </c>
      <c r="L107">
        <v>176</v>
      </c>
      <c r="M107">
        <v>36</v>
      </c>
      <c r="N107">
        <v>140</v>
      </c>
      <c r="O107">
        <v>0.79545454545454541</v>
      </c>
      <c r="P107">
        <v>11</v>
      </c>
      <c r="Q107" s="16">
        <v>462</v>
      </c>
      <c r="R107" s="16">
        <v>482.16666666666669</v>
      </c>
    </row>
    <row r="108" spans="1:18" x14ac:dyDescent="0.2">
      <c r="A108" s="1">
        <v>374</v>
      </c>
      <c r="B108" s="32">
        <v>45050</v>
      </c>
      <c r="C108" s="8" t="s">
        <v>28</v>
      </c>
      <c r="D108" s="8">
        <v>6</v>
      </c>
      <c r="E108" s="8" t="s">
        <v>27</v>
      </c>
      <c r="F108" s="8" t="s">
        <v>11</v>
      </c>
      <c r="G108" s="8" t="s">
        <v>11</v>
      </c>
      <c r="H108" t="s">
        <v>14</v>
      </c>
      <c r="I108" t="s">
        <v>13</v>
      </c>
      <c r="J108" t="s">
        <v>52</v>
      </c>
      <c r="K108">
        <v>18</v>
      </c>
      <c r="L108">
        <v>198</v>
      </c>
      <c r="M108">
        <v>16</v>
      </c>
      <c r="N108">
        <v>182</v>
      </c>
      <c r="O108">
        <v>0.91919191919191923</v>
      </c>
      <c r="P108">
        <v>11</v>
      </c>
      <c r="Q108" s="16">
        <v>605</v>
      </c>
      <c r="R108" s="16">
        <v>478.5</v>
      </c>
    </row>
    <row r="109" spans="1:18" x14ac:dyDescent="0.2">
      <c r="A109" s="1">
        <v>378</v>
      </c>
      <c r="B109" s="32">
        <v>45051</v>
      </c>
      <c r="C109" s="8" t="s">
        <v>28</v>
      </c>
      <c r="D109" s="8">
        <v>7</v>
      </c>
      <c r="E109" s="8" t="s">
        <v>27</v>
      </c>
      <c r="F109" s="8" t="s">
        <v>11</v>
      </c>
      <c r="G109" s="8" t="s">
        <v>11</v>
      </c>
      <c r="H109" t="s">
        <v>14</v>
      </c>
      <c r="I109" t="s">
        <v>13</v>
      </c>
      <c r="J109" t="s">
        <v>56</v>
      </c>
      <c r="K109">
        <v>22</v>
      </c>
      <c r="L109">
        <v>242</v>
      </c>
      <c r="M109">
        <v>22</v>
      </c>
      <c r="N109">
        <v>220</v>
      </c>
      <c r="O109">
        <v>0.90909090909090906</v>
      </c>
      <c r="P109">
        <v>11</v>
      </c>
      <c r="Q109" s="16">
        <v>242</v>
      </c>
      <c r="R109" s="16">
        <v>478.5</v>
      </c>
    </row>
    <row r="110" spans="1:18" x14ac:dyDescent="0.2">
      <c r="A110" s="1">
        <v>379</v>
      </c>
      <c r="B110" s="32">
        <v>45053</v>
      </c>
      <c r="C110" s="8" t="s">
        <v>28</v>
      </c>
      <c r="D110" s="8">
        <v>2</v>
      </c>
      <c r="E110" s="8" t="s">
        <v>27</v>
      </c>
      <c r="F110" s="8" t="s">
        <v>11</v>
      </c>
      <c r="G110" s="8" t="s">
        <v>11</v>
      </c>
      <c r="H110" t="s">
        <v>14</v>
      </c>
      <c r="I110" t="s">
        <v>13</v>
      </c>
      <c r="J110" t="s">
        <v>52</v>
      </c>
      <c r="K110">
        <v>21</v>
      </c>
      <c r="L110">
        <v>231</v>
      </c>
      <c r="M110">
        <v>31</v>
      </c>
      <c r="N110">
        <v>200</v>
      </c>
      <c r="O110">
        <v>0.86580086580086579</v>
      </c>
      <c r="P110">
        <v>11</v>
      </c>
      <c r="Q110" s="16">
        <v>550</v>
      </c>
      <c r="R110" s="16">
        <v>473</v>
      </c>
    </row>
    <row r="111" spans="1:18" x14ac:dyDescent="0.2">
      <c r="A111" s="1">
        <v>383</v>
      </c>
      <c r="B111" s="32">
        <v>45054</v>
      </c>
      <c r="C111" s="8" t="s">
        <v>28</v>
      </c>
      <c r="D111" s="8">
        <v>3</v>
      </c>
      <c r="E111" s="8" t="s">
        <v>27</v>
      </c>
      <c r="F111" s="8" t="s">
        <v>11</v>
      </c>
      <c r="G111" s="8" t="s">
        <v>11</v>
      </c>
      <c r="H111" t="s">
        <v>14</v>
      </c>
      <c r="I111" t="s">
        <v>13</v>
      </c>
      <c r="J111" t="s">
        <v>56</v>
      </c>
      <c r="K111">
        <v>14</v>
      </c>
      <c r="L111">
        <v>154</v>
      </c>
      <c r="M111">
        <v>48</v>
      </c>
      <c r="N111">
        <v>106</v>
      </c>
      <c r="O111">
        <v>0.68831168831168832</v>
      </c>
      <c r="P111">
        <v>11</v>
      </c>
      <c r="Q111" s="16">
        <v>462</v>
      </c>
      <c r="R111" s="16">
        <v>465.66666666666669</v>
      </c>
    </row>
    <row r="112" spans="1:18" x14ac:dyDescent="0.2">
      <c r="A112" s="1">
        <v>387</v>
      </c>
      <c r="B112" s="32">
        <v>45055</v>
      </c>
      <c r="C112" s="8" t="s">
        <v>28</v>
      </c>
      <c r="D112" s="8">
        <v>4</v>
      </c>
      <c r="E112" s="8" t="s">
        <v>27</v>
      </c>
      <c r="F112" s="8" t="s">
        <v>11</v>
      </c>
      <c r="G112" s="8" t="s">
        <v>11</v>
      </c>
      <c r="H112" t="s">
        <v>14</v>
      </c>
      <c r="I112" t="s">
        <v>13</v>
      </c>
      <c r="J112" t="s">
        <v>52</v>
      </c>
      <c r="K112">
        <v>15</v>
      </c>
      <c r="L112">
        <v>165</v>
      </c>
      <c r="M112">
        <v>29</v>
      </c>
      <c r="N112">
        <v>136</v>
      </c>
      <c r="O112">
        <v>0.82424242424242422</v>
      </c>
      <c r="P112">
        <v>11</v>
      </c>
      <c r="Q112" s="16">
        <v>396</v>
      </c>
      <c r="R112" s="16">
        <v>452.83333333333331</v>
      </c>
    </row>
    <row r="113" spans="1:18" x14ac:dyDescent="0.2">
      <c r="A113" s="1">
        <v>391</v>
      </c>
      <c r="B113" s="32">
        <v>45056</v>
      </c>
      <c r="C113" s="8" t="s">
        <v>28</v>
      </c>
      <c r="D113" s="8">
        <v>5</v>
      </c>
      <c r="E113" s="8" t="s">
        <v>27</v>
      </c>
      <c r="F113" s="8" t="s">
        <v>11</v>
      </c>
      <c r="G113" s="8" t="s">
        <v>11</v>
      </c>
      <c r="H113" t="s">
        <v>14</v>
      </c>
      <c r="I113" t="s">
        <v>13</v>
      </c>
      <c r="J113" t="s">
        <v>56</v>
      </c>
      <c r="K113">
        <v>15</v>
      </c>
      <c r="L113">
        <v>165</v>
      </c>
      <c r="M113">
        <v>27</v>
      </c>
      <c r="N113">
        <v>138</v>
      </c>
      <c r="O113">
        <v>0.83636363636363631</v>
      </c>
      <c r="P113">
        <v>11</v>
      </c>
      <c r="Q113" s="16">
        <v>495</v>
      </c>
      <c r="R113" s="16">
        <v>458.33333333333331</v>
      </c>
    </row>
    <row r="114" spans="1:18" x14ac:dyDescent="0.2">
      <c r="A114" s="1">
        <v>395</v>
      </c>
      <c r="B114" s="32">
        <v>45057</v>
      </c>
      <c r="C114" s="8" t="s">
        <v>28</v>
      </c>
      <c r="D114" s="8">
        <v>6</v>
      </c>
      <c r="E114" s="8" t="s">
        <v>27</v>
      </c>
      <c r="F114" s="8" t="s">
        <v>11</v>
      </c>
      <c r="G114" s="8" t="s">
        <v>11</v>
      </c>
      <c r="H114" t="s">
        <v>14</v>
      </c>
      <c r="I114" t="s">
        <v>13</v>
      </c>
      <c r="J114" t="s">
        <v>52</v>
      </c>
      <c r="K114">
        <v>21</v>
      </c>
      <c r="L114">
        <v>231</v>
      </c>
      <c r="M114">
        <v>25</v>
      </c>
      <c r="N114">
        <v>206</v>
      </c>
      <c r="O114">
        <v>0.89177489177489178</v>
      </c>
      <c r="P114">
        <v>11</v>
      </c>
      <c r="Q114" s="16">
        <v>627</v>
      </c>
      <c r="R114" s="16">
        <v>462</v>
      </c>
    </row>
    <row r="115" spans="1:18" x14ac:dyDescent="0.2">
      <c r="A115" s="1">
        <v>399</v>
      </c>
      <c r="B115" s="32">
        <v>45058</v>
      </c>
      <c r="C115" s="8" t="s">
        <v>28</v>
      </c>
      <c r="D115" s="8">
        <v>7</v>
      </c>
      <c r="E115" s="8" t="s">
        <v>27</v>
      </c>
      <c r="F115" s="8" t="s">
        <v>11</v>
      </c>
      <c r="G115" s="8" t="s">
        <v>11</v>
      </c>
      <c r="H115" t="s">
        <v>14</v>
      </c>
      <c r="I115" t="s">
        <v>13</v>
      </c>
      <c r="J115" t="s">
        <v>56</v>
      </c>
      <c r="K115">
        <v>23</v>
      </c>
      <c r="L115">
        <v>253</v>
      </c>
      <c r="M115">
        <v>2</v>
      </c>
      <c r="N115">
        <v>251</v>
      </c>
      <c r="O115">
        <v>0.9920948616600791</v>
      </c>
      <c r="P115">
        <v>11</v>
      </c>
      <c r="Q115" s="16">
        <v>253</v>
      </c>
      <c r="R115" s="16">
        <v>463.83333333333331</v>
      </c>
    </row>
    <row r="116" spans="1:18" x14ac:dyDescent="0.2">
      <c r="A116" s="1">
        <v>400</v>
      </c>
      <c r="B116" s="32">
        <v>45060</v>
      </c>
      <c r="C116" s="8" t="s">
        <v>28</v>
      </c>
      <c r="D116" s="8">
        <v>2</v>
      </c>
      <c r="E116" s="8" t="s">
        <v>27</v>
      </c>
      <c r="F116" s="8" t="s">
        <v>11</v>
      </c>
      <c r="G116" s="8" t="s">
        <v>11</v>
      </c>
      <c r="H116" t="s">
        <v>14</v>
      </c>
      <c r="I116" t="s">
        <v>13</v>
      </c>
      <c r="J116" t="s">
        <v>52</v>
      </c>
      <c r="K116">
        <v>19</v>
      </c>
      <c r="L116">
        <v>209</v>
      </c>
      <c r="M116">
        <v>10</v>
      </c>
      <c r="N116">
        <v>199</v>
      </c>
      <c r="O116">
        <v>0.95215311004784686</v>
      </c>
      <c r="P116">
        <v>11</v>
      </c>
      <c r="Q116" s="16">
        <v>561</v>
      </c>
      <c r="R116" s="16">
        <v>465.66666666666669</v>
      </c>
    </row>
    <row r="117" spans="1:18" x14ac:dyDescent="0.2">
      <c r="A117" s="1">
        <v>404</v>
      </c>
      <c r="B117" s="32">
        <v>45061</v>
      </c>
      <c r="C117" s="8" t="s">
        <v>28</v>
      </c>
      <c r="D117" s="8">
        <v>3</v>
      </c>
      <c r="E117" s="8" t="s">
        <v>27</v>
      </c>
      <c r="F117" s="8" t="s">
        <v>11</v>
      </c>
      <c r="G117" s="8" t="s">
        <v>11</v>
      </c>
      <c r="H117" t="s">
        <v>14</v>
      </c>
      <c r="I117" t="s">
        <v>13</v>
      </c>
      <c r="J117" t="s">
        <v>56</v>
      </c>
      <c r="K117">
        <v>18</v>
      </c>
      <c r="L117">
        <v>198</v>
      </c>
      <c r="M117">
        <v>45</v>
      </c>
      <c r="N117">
        <v>153</v>
      </c>
      <c r="O117">
        <v>0.77272727272727271</v>
      </c>
      <c r="P117">
        <v>11</v>
      </c>
      <c r="Q117" s="16">
        <v>495</v>
      </c>
      <c r="R117" s="16">
        <v>471.16666666666669</v>
      </c>
    </row>
    <row r="118" spans="1:18" x14ac:dyDescent="0.2">
      <c r="A118" s="1">
        <v>408</v>
      </c>
      <c r="B118" s="32">
        <v>45062</v>
      </c>
      <c r="C118" s="8" t="s">
        <v>28</v>
      </c>
      <c r="D118" s="8">
        <v>4</v>
      </c>
      <c r="E118" s="8" t="s">
        <v>27</v>
      </c>
      <c r="F118" s="8" t="s">
        <v>11</v>
      </c>
      <c r="G118" s="8" t="s">
        <v>11</v>
      </c>
      <c r="H118" t="s">
        <v>14</v>
      </c>
      <c r="I118" t="s">
        <v>13</v>
      </c>
      <c r="J118" t="s">
        <v>52</v>
      </c>
      <c r="K118">
        <v>15</v>
      </c>
      <c r="L118">
        <v>165</v>
      </c>
      <c r="M118">
        <v>48</v>
      </c>
      <c r="N118">
        <v>117</v>
      </c>
      <c r="O118">
        <v>0.70909090909090911</v>
      </c>
      <c r="P118">
        <v>11</v>
      </c>
      <c r="Q118" s="16">
        <v>407</v>
      </c>
      <c r="R118" s="16">
        <v>473</v>
      </c>
    </row>
    <row r="119" spans="1:18" x14ac:dyDescent="0.2">
      <c r="A119" s="1">
        <v>412</v>
      </c>
      <c r="B119" s="32">
        <v>45063</v>
      </c>
      <c r="C119" s="8" t="s">
        <v>28</v>
      </c>
      <c r="D119" s="8">
        <v>5</v>
      </c>
      <c r="E119" s="8" t="s">
        <v>27</v>
      </c>
      <c r="F119" s="8" t="s">
        <v>11</v>
      </c>
      <c r="G119" s="8" t="s">
        <v>11</v>
      </c>
      <c r="H119" t="s">
        <v>14</v>
      </c>
      <c r="I119" t="s">
        <v>13</v>
      </c>
      <c r="J119" t="s">
        <v>56</v>
      </c>
      <c r="K119">
        <v>17</v>
      </c>
      <c r="L119">
        <v>187</v>
      </c>
      <c r="M119">
        <v>18</v>
      </c>
      <c r="N119">
        <v>169</v>
      </c>
      <c r="O119">
        <v>0.90374331550802134</v>
      </c>
      <c r="P119">
        <v>11</v>
      </c>
      <c r="Q119" s="16">
        <v>495</v>
      </c>
      <c r="R119" s="16">
        <v>473</v>
      </c>
    </row>
    <row r="120" spans="1:18" x14ac:dyDescent="0.2">
      <c r="A120" s="1">
        <v>416</v>
      </c>
      <c r="B120" s="32">
        <v>45064</v>
      </c>
      <c r="C120" s="8" t="s">
        <v>28</v>
      </c>
      <c r="D120" s="8">
        <v>6</v>
      </c>
      <c r="E120" s="8" t="s">
        <v>27</v>
      </c>
      <c r="F120" s="8" t="s">
        <v>11</v>
      </c>
      <c r="G120" s="8" t="s">
        <v>11</v>
      </c>
      <c r="H120" t="s">
        <v>14</v>
      </c>
      <c r="I120" t="s">
        <v>13</v>
      </c>
      <c r="J120" t="s">
        <v>52</v>
      </c>
      <c r="K120">
        <v>20</v>
      </c>
      <c r="L120">
        <v>220</v>
      </c>
      <c r="M120">
        <v>22</v>
      </c>
      <c r="N120">
        <v>198</v>
      </c>
      <c r="O120">
        <v>0.9</v>
      </c>
      <c r="P120">
        <v>11</v>
      </c>
      <c r="Q120" s="16">
        <v>649</v>
      </c>
      <c r="R120" s="16">
        <v>476.66666666666669</v>
      </c>
    </row>
    <row r="121" spans="1:18" x14ac:dyDescent="0.2">
      <c r="A121" s="1">
        <v>420</v>
      </c>
      <c r="B121" s="32">
        <v>45065</v>
      </c>
      <c r="C121" s="8" t="s">
        <v>28</v>
      </c>
      <c r="D121" s="8">
        <v>7</v>
      </c>
      <c r="E121" s="8" t="s">
        <v>27</v>
      </c>
      <c r="F121" s="8" t="s">
        <v>11</v>
      </c>
      <c r="G121" s="8" t="s">
        <v>11</v>
      </c>
      <c r="H121" t="s">
        <v>14</v>
      </c>
      <c r="I121" t="s">
        <v>13</v>
      </c>
      <c r="J121" t="s">
        <v>56</v>
      </c>
      <c r="K121">
        <v>19</v>
      </c>
      <c r="L121">
        <v>209</v>
      </c>
      <c r="M121">
        <v>16</v>
      </c>
      <c r="N121">
        <v>193</v>
      </c>
      <c r="O121">
        <v>0.92344497607655507</v>
      </c>
      <c r="P121">
        <v>11</v>
      </c>
      <c r="Q121" s="16">
        <v>209</v>
      </c>
      <c r="R121" s="16">
        <v>469.33333333333331</v>
      </c>
    </row>
    <row r="122" spans="1:18" x14ac:dyDescent="0.2">
      <c r="A122" s="1">
        <v>421</v>
      </c>
      <c r="B122" s="32">
        <v>45067</v>
      </c>
      <c r="C122" s="8" t="s">
        <v>28</v>
      </c>
      <c r="D122" s="8">
        <v>2</v>
      </c>
      <c r="E122" s="8" t="s">
        <v>27</v>
      </c>
      <c r="F122" s="8" t="s">
        <v>11</v>
      </c>
      <c r="G122" s="8" t="s">
        <v>11</v>
      </c>
      <c r="H122" t="s">
        <v>14</v>
      </c>
      <c r="I122" t="s">
        <v>13</v>
      </c>
      <c r="J122" t="s">
        <v>52</v>
      </c>
      <c r="K122">
        <v>20</v>
      </c>
      <c r="L122">
        <v>220</v>
      </c>
      <c r="M122">
        <v>10</v>
      </c>
      <c r="N122">
        <v>210</v>
      </c>
      <c r="O122">
        <v>0.95454545454545459</v>
      </c>
      <c r="P122">
        <v>11</v>
      </c>
      <c r="Q122" s="16">
        <v>572</v>
      </c>
      <c r="R122" s="16">
        <v>471.16666666666669</v>
      </c>
    </row>
    <row r="123" spans="1:18" x14ac:dyDescent="0.2">
      <c r="A123" s="1">
        <v>425</v>
      </c>
      <c r="B123" s="32">
        <v>45068</v>
      </c>
      <c r="C123" s="8" t="s">
        <v>28</v>
      </c>
      <c r="D123" s="8">
        <v>3</v>
      </c>
      <c r="E123" s="8" t="s">
        <v>27</v>
      </c>
      <c r="F123" s="8" t="s">
        <v>11</v>
      </c>
      <c r="G123" s="8" t="s">
        <v>11</v>
      </c>
      <c r="H123" t="s">
        <v>14</v>
      </c>
      <c r="I123" t="s">
        <v>13</v>
      </c>
      <c r="J123" t="s">
        <v>56</v>
      </c>
      <c r="K123">
        <v>19</v>
      </c>
      <c r="L123">
        <v>209</v>
      </c>
      <c r="M123">
        <v>25</v>
      </c>
      <c r="N123">
        <v>184</v>
      </c>
      <c r="O123">
        <v>0.88038277511961727</v>
      </c>
      <c r="P123">
        <v>11</v>
      </c>
      <c r="Q123" s="16">
        <v>528</v>
      </c>
      <c r="R123" s="16">
        <v>476.66666666666669</v>
      </c>
    </row>
    <row r="124" spans="1:18" x14ac:dyDescent="0.2">
      <c r="A124" s="1">
        <v>429</v>
      </c>
      <c r="B124" s="32">
        <v>45069</v>
      </c>
      <c r="C124" s="8" t="s">
        <v>28</v>
      </c>
      <c r="D124" s="8">
        <v>4</v>
      </c>
      <c r="E124" s="8" t="s">
        <v>27</v>
      </c>
      <c r="F124" s="8" t="s">
        <v>11</v>
      </c>
      <c r="G124" s="8" t="s">
        <v>11</v>
      </c>
      <c r="H124" t="s">
        <v>14</v>
      </c>
      <c r="I124" t="s">
        <v>13</v>
      </c>
      <c r="J124" t="s">
        <v>52</v>
      </c>
      <c r="K124">
        <v>17</v>
      </c>
      <c r="L124">
        <v>187</v>
      </c>
      <c r="M124">
        <v>35</v>
      </c>
      <c r="N124">
        <v>152</v>
      </c>
      <c r="O124">
        <v>0.81283422459893051</v>
      </c>
      <c r="P124">
        <v>11</v>
      </c>
      <c r="Q124" s="16">
        <v>440</v>
      </c>
      <c r="R124" s="16">
        <v>482.16666666666669</v>
      </c>
    </row>
    <row r="125" spans="1:18" x14ac:dyDescent="0.2">
      <c r="A125" s="1">
        <v>433</v>
      </c>
      <c r="B125" s="32">
        <v>45070</v>
      </c>
      <c r="C125" s="8" t="s">
        <v>28</v>
      </c>
      <c r="D125" s="8">
        <v>5</v>
      </c>
      <c r="E125" s="8" t="s">
        <v>27</v>
      </c>
      <c r="F125" s="8" t="s">
        <v>11</v>
      </c>
      <c r="G125" s="8" t="s">
        <v>11</v>
      </c>
      <c r="H125" t="s">
        <v>14</v>
      </c>
      <c r="I125" t="s">
        <v>13</v>
      </c>
      <c r="J125" t="s">
        <v>56</v>
      </c>
      <c r="K125">
        <v>16</v>
      </c>
      <c r="L125">
        <v>176</v>
      </c>
      <c r="M125">
        <v>46</v>
      </c>
      <c r="N125">
        <v>130</v>
      </c>
      <c r="O125">
        <v>0.73863636363636365</v>
      </c>
      <c r="P125">
        <v>11</v>
      </c>
      <c r="Q125" s="16">
        <v>451</v>
      </c>
      <c r="R125" s="16">
        <v>474.83333333333331</v>
      </c>
    </row>
    <row r="126" spans="1:18" x14ac:dyDescent="0.2">
      <c r="A126" s="1">
        <v>437</v>
      </c>
      <c r="B126" s="32">
        <v>45071</v>
      </c>
      <c r="C126" s="8" t="s">
        <v>28</v>
      </c>
      <c r="D126" s="8">
        <v>6</v>
      </c>
      <c r="E126" s="8" t="s">
        <v>27</v>
      </c>
      <c r="F126" s="8" t="s">
        <v>11</v>
      </c>
      <c r="G126" s="8" t="s">
        <v>11</v>
      </c>
      <c r="H126" t="s">
        <v>14</v>
      </c>
      <c r="I126" t="s">
        <v>13</v>
      </c>
      <c r="J126" t="s">
        <v>52</v>
      </c>
      <c r="K126">
        <v>21</v>
      </c>
      <c r="L126">
        <v>231</v>
      </c>
      <c r="M126">
        <v>2</v>
      </c>
      <c r="N126">
        <v>229</v>
      </c>
      <c r="O126">
        <v>0.9913419913419913</v>
      </c>
      <c r="P126">
        <v>11</v>
      </c>
      <c r="Q126" s="16">
        <v>605</v>
      </c>
      <c r="R126" s="16">
        <v>467.5</v>
      </c>
    </row>
    <row r="127" spans="1:18" x14ac:dyDescent="0.2">
      <c r="A127" s="1">
        <v>441</v>
      </c>
      <c r="B127" s="32">
        <v>45072</v>
      </c>
      <c r="C127" s="8" t="s">
        <v>28</v>
      </c>
      <c r="D127" s="8">
        <v>7</v>
      </c>
      <c r="E127" s="8" t="s">
        <v>27</v>
      </c>
      <c r="F127" s="8" t="s">
        <v>11</v>
      </c>
      <c r="G127" s="8" t="s">
        <v>11</v>
      </c>
      <c r="H127" t="s">
        <v>14</v>
      </c>
      <c r="I127" t="s">
        <v>13</v>
      </c>
      <c r="J127" t="s">
        <v>56</v>
      </c>
      <c r="K127">
        <v>23</v>
      </c>
      <c r="L127">
        <v>253</v>
      </c>
      <c r="M127">
        <v>40</v>
      </c>
      <c r="N127">
        <v>213</v>
      </c>
      <c r="O127">
        <v>0.84189723320158105</v>
      </c>
      <c r="P127">
        <v>11</v>
      </c>
      <c r="Q127" s="16">
        <v>253</v>
      </c>
      <c r="R127" s="16">
        <v>474.83333333333331</v>
      </c>
    </row>
    <row r="128" spans="1:18" x14ac:dyDescent="0.2">
      <c r="A128" s="1">
        <v>442</v>
      </c>
      <c r="B128" s="32">
        <v>45074</v>
      </c>
      <c r="C128" s="8" t="s">
        <v>28</v>
      </c>
      <c r="D128" s="8">
        <v>2</v>
      </c>
      <c r="E128" s="8" t="s">
        <v>27</v>
      </c>
      <c r="F128" s="8" t="s">
        <v>10</v>
      </c>
      <c r="G128" s="8" t="s">
        <v>11</v>
      </c>
      <c r="H128" t="s">
        <v>29</v>
      </c>
      <c r="I128" t="s">
        <v>13</v>
      </c>
      <c r="J128" t="s">
        <v>52</v>
      </c>
      <c r="K128">
        <v>19</v>
      </c>
      <c r="L128">
        <v>209</v>
      </c>
      <c r="M128">
        <v>21</v>
      </c>
      <c r="N128">
        <v>188</v>
      </c>
      <c r="O128">
        <v>0.8995215311004785</v>
      </c>
      <c r="P128">
        <v>11</v>
      </c>
      <c r="Q128" s="16">
        <v>605</v>
      </c>
      <c r="R128" s="16">
        <v>480.33333333333331</v>
      </c>
    </row>
    <row r="129" spans="1:18" x14ac:dyDescent="0.2">
      <c r="A129" s="1">
        <v>446</v>
      </c>
      <c r="B129" s="32">
        <v>45075</v>
      </c>
      <c r="C129" s="8" t="s">
        <v>28</v>
      </c>
      <c r="D129" s="8">
        <v>3</v>
      </c>
      <c r="E129" s="8" t="s">
        <v>27</v>
      </c>
      <c r="F129" s="8" t="s">
        <v>11</v>
      </c>
      <c r="G129" s="8" t="s">
        <v>11</v>
      </c>
      <c r="H129" t="s">
        <v>14</v>
      </c>
      <c r="I129" t="s">
        <v>13</v>
      </c>
      <c r="J129" t="s">
        <v>56</v>
      </c>
      <c r="K129">
        <v>18</v>
      </c>
      <c r="L129">
        <v>198</v>
      </c>
      <c r="M129">
        <v>11</v>
      </c>
      <c r="N129">
        <v>187</v>
      </c>
      <c r="O129">
        <v>0.94444444444444442</v>
      </c>
      <c r="P129">
        <v>11</v>
      </c>
      <c r="Q129" s="16">
        <v>528</v>
      </c>
      <c r="R129" s="16">
        <v>480.33333333333331</v>
      </c>
    </row>
    <row r="130" spans="1:18" x14ac:dyDescent="0.2">
      <c r="A130" s="1">
        <v>450</v>
      </c>
      <c r="B130" s="32">
        <v>45076</v>
      </c>
      <c r="C130" s="8" t="s">
        <v>28</v>
      </c>
      <c r="D130" s="8">
        <v>4</v>
      </c>
      <c r="E130" s="8" t="s">
        <v>27</v>
      </c>
      <c r="F130" s="8" t="s">
        <v>11</v>
      </c>
      <c r="G130" s="8" t="s">
        <v>11</v>
      </c>
      <c r="H130" t="s">
        <v>14</v>
      </c>
      <c r="I130" t="s">
        <v>13</v>
      </c>
      <c r="J130" t="s">
        <v>52</v>
      </c>
      <c r="K130">
        <v>14</v>
      </c>
      <c r="L130">
        <v>154</v>
      </c>
      <c r="M130">
        <v>23</v>
      </c>
      <c r="N130">
        <v>131</v>
      </c>
      <c r="O130">
        <v>0.85064935064935066</v>
      </c>
      <c r="P130">
        <v>11</v>
      </c>
      <c r="Q130" s="16">
        <v>385</v>
      </c>
      <c r="R130" s="16">
        <v>471.16666666666669</v>
      </c>
    </row>
    <row r="131" spans="1:18" x14ac:dyDescent="0.2">
      <c r="A131" s="1">
        <v>454</v>
      </c>
      <c r="B131" s="32">
        <v>45077</v>
      </c>
      <c r="C131" s="8" t="s">
        <v>28</v>
      </c>
      <c r="D131" s="8">
        <v>5</v>
      </c>
      <c r="E131" s="8" t="s">
        <v>27</v>
      </c>
      <c r="F131" s="8" t="s">
        <v>11</v>
      </c>
      <c r="G131" s="8" t="s">
        <v>11</v>
      </c>
      <c r="H131" t="s">
        <v>14</v>
      </c>
      <c r="I131" t="s">
        <v>13</v>
      </c>
      <c r="J131" t="s">
        <v>56</v>
      </c>
      <c r="K131">
        <v>17</v>
      </c>
      <c r="L131">
        <v>187</v>
      </c>
      <c r="M131">
        <v>4</v>
      </c>
      <c r="N131">
        <v>183</v>
      </c>
      <c r="O131">
        <v>0.97860962566844922</v>
      </c>
      <c r="P131">
        <v>11</v>
      </c>
      <c r="Q131" s="16">
        <v>473</v>
      </c>
      <c r="R131" s="16">
        <v>474.83333333333331</v>
      </c>
    </row>
    <row r="132" spans="1:18" x14ac:dyDescent="0.2">
      <c r="A132" s="1">
        <v>458</v>
      </c>
      <c r="B132" s="32">
        <v>45078</v>
      </c>
      <c r="C132" s="8" t="s">
        <v>30</v>
      </c>
      <c r="D132" s="8">
        <v>6</v>
      </c>
      <c r="E132" s="8" t="s">
        <v>27</v>
      </c>
      <c r="F132" s="8" t="s">
        <v>11</v>
      </c>
      <c r="G132" s="8" t="s">
        <v>11</v>
      </c>
      <c r="H132" t="s">
        <v>14</v>
      </c>
      <c r="I132" t="s">
        <v>13</v>
      </c>
      <c r="J132" t="s">
        <v>52</v>
      </c>
      <c r="K132">
        <v>21</v>
      </c>
      <c r="L132">
        <v>231</v>
      </c>
      <c r="M132">
        <v>40</v>
      </c>
      <c r="N132">
        <v>191</v>
      </c>
      <c r="O132">
        <v>0.82683982683982682</v>
      </c>
      <c r="P132">
        <v>11</v>
      </c>
      <c r="Q132" s="16">
        <v>627</v>
      </c>
      <c r="R132" s="16">
        <v>478.5</v>
      </c>
    </row>
    <row r="133" spans="1:18" x14ac:dyDescent="0.2">
      <c r="A133" s="1">
        <v>462</v>
      </c>
      <c r="B133" s="32">
        <v>45079</v>
      </c>
      <c r="C133" s="8" t="s">
        <v>30</v>
      </c>
      <c r="D133" s="8">
        <v>7</v>
      </c>
      <c r="E133" s="8" t="s">
        <v>27</v>
      </c>
      <c r="F133" s="8" t="s">
        <v>11</v>
      </c>
      <c r="G133" s="8" t="s">
        <v>11</v>
      </c>
      <c r="H133" t="s">
        <v>14</v>
      </c>
      <c r="I133" t="s">
        <v>13</v>
      </c>
      <c r="J133" t="s">
        <v>56</v>
      </c>
      <c r="K133">
        <v>17</v>
      </c>
      <c r="L133">
        <v>187</v>
      </c>
      <c r="M133">
        <v>9</v>
      </c>
      <c r="N133">
        <v>178</v>
      </c>
      <c r="O133">
        <v>0.95187165775401072</v>
      </c>
      <c r="P133">
        <v>11</v>
      </c>
      <c r="Q133" s="16">
        <v>187</v>
      </c>
      <c r="R133" s="16">
        <v>467.5</v>
      </c>
    </row>
    <row r="134" spans="1:18" x14ac:dyDescent="0.2">
      <c r="A134" s="1">
        <v>463</v>
      </c>
      <c r="B134" s="32">
        <v>45081</v>
      </c>
      <c r="C134" s="8" t="s">
        <v>30</v>
      </c>
      <c r="D134" s="8">
        <v>2</v>
      </c>
      <c r="E134" s="8" t="s">
        <v>27</v>
      </c>
      <c r="F134" s="8" t="s">
        <v>11</v>
      </c>
      <c r="G134" s="8" t="s">
        <v>11</v>
      </c>
      <c r="H134" t="s">
        <v>14</v>
      </c>
      <c r="I134" t="s">
        <v>13</v>
      </c>
      <c r="J134" t="s">
        <v>52</v>
      </c>
      <c r="K134">
        <v>18</v>
      </c>
      <c r="L134">
        <v>198</v>
      </c>
      <c r="M134">
        <v>16</v>
      </c>
      <c r="N134">
        <v>182</v>
      </c>
      <c r="O134">
        <v>0.91919191919191923</v>
      </c>
      <c r="P134">
        <v>11</v>
      </c>
      <c r="Q134" s="16">
        <v>561</v>
      </c>
      <c r="R134" s="16">
        <v>460.16666666666669</v>
      </c>
    </row>
    <row r="135" spans="1:18" x14ac:dyDescent="0.2">
      <c r="A135" s="1">
        <v>467</v>
      </c>
      <c r="B135" s="32">
        <v>45082</v>
      </c>
      <c r="C135" s="8" t="s">
        <v>30</v>
      </c>
      <c r="D135" s="8">
        <v>3</v>
      </c>
      <c r="E135" s="8" t="s">
        <v>27</v>
      </c>
      <c r="F135" s="8" t="s">
        <v>11</v>
      </c>
      <c r="G135" s="8" t="s">
        <v>11</v>
      </c>
      <c r="H135" t="s">
        <v>14</v>
      </c>
      <c r="I135" t="s">
        <v>13</v>
      </c>
      <c r="J135" t="s">
        <v>56</v>
      </c>
      <c r="K135">
        <v>16</v>
      </c>
      <c r="L135">
        <v>176</v>
      </c>
      <c r="M135">
        <v>40</v>
      </c>
      <c r="N135">
        <v>136</v>
      </c>
      <c r="O135">
        <v>0.77272727272727271</v>
      </c>
      <c r="P135">
        <v>11</v>
      </c>
      <c r="Q135" s="16">
        <v>495</v>
      </c>
      <c r="R135" s="16">
        <v>454.66666666666669</v>
      </c>
    </row>
    <row r="136" spans="1:18" x14ac:dyDescent="0.2">
      <c r="A136" s="1">
        <v>471</v>
      </c>
      <c r="B136" s="32">
        <v>45083</v>
      </c>
      <c r="C136" s="8" t="s">
        <v>30</v>
      </c>
      <c r="D136" s="8">
        <v>4</v>
      </c>
      <c r="E136" s="8" t="s">
        <v>27</v>
      </c>
      <c r="F136" s="8" t="s">
        <v>11</v>
      </c>
      <c r="G136" s="8" t="s">
        <v>11</v>
      </c>
      <c r="H136" t="s">
        <v>14</v>
      </c>
      <c r="I136" t="s">
        <v>13</v>
      </c>
      <c r="J136" t="s">
        <v>52</v>
      </c>
      <c r="K136">
        <v>17</v>
      </c>
      <c r="L136">
        <v>187</v>
      </c>
      <c r="M136">
        <v>42</v>
      </c>
      <c r="N136">
        <v>145</v>
      </c>
      <c r="O136">
        <v>0.77540106951871657</v>
      </c>
      <c r="P136">
        <v>11</v>
      </c>
      <c r="Q136" s="16">
        <v>396</v>
      </c>
      <c r="R136" s="16">
        <v>456.5</v>
      </c>
    </row>
    <row r="137" spans="1:18" x14ac:dyDescent="0.2">
      <c r="A137" s="1">
        <v>475</v>
      </c>
      <c r="B137" s="32">
        <v>45084</v>
      </c>
      <c r="C137" s="8" t="s">
        <v>30</v>
      </c>
      <c r="D137" s="8">
        <v>5</v>
      </c>
      <c r="E137" s="8" t="s">
        <v>27</v>
      </c>
      <c r="F137" s="8" t="s">
        <v>11</v>
      </c>
      <c r="G137" s="8" t="s">
        <v>11</v>
      </c>
      <c r="H137" t="s">
        <v>14</v>
      </c>
      <c r="I137" t="s">
        <v>13</v>
      </c>
      <c r="J137" t="s">
        <v>56</v>
      </c>
      <c r="K137">
        <v>15</v>
      </c>
      <c r="L137">
        <v>165</v>
      </c>
      <c r="M137">
        <v>20</v>
      </c>
      <c r="N137">
        <v>145</v>
      </c>
      <c r="O137">
        <v>0.87878787878787878</v>
      </c>
      <c r="P137">
        <v>11</v>
      </c>
      <c r="Q137" s="16">
        <v>506</v>
      </c>
      <c r="R137" s="16">
        <v>462</v>
      </c>
    </row>
    <row r="138" spans="1:18" x14ac:dyDescent="0.2">
      <c r="A138" s="1">
        <v>479</v>
      </c>
      <c r="B138" s="32">
        <v>45085</v>
      </c>
      <c r="C138" s="8" t="s">
        <v>30</v>
      </c>
      <c r="D138" s="8">
        <v>6</v>
      </c>
      <c r="E138" s="8" t="s">
        <v>27</v>
      </c>
      <c r="F138" s="8" t="s">
        <v>11</v>
      </c>
      <c r="G138" s="8" t="s">
        <v>11</v>
      </c>
      <c r="H138" t="s">
        <v>14</v>
      </c>
      <c r="I138" t="s">
        <v>13</v>
      </c>
      <c r="J138" t="s">
        <v>52</v>
      </c>
      <c r="K138">
        <v>20</v>
      </c>
      <c r="L138">
        <v>220</v>
      </c>
      <c r="M138">
        <v>4</v>
      </c>
      <c r="N138">
        <v>216</v>
      </c>
      <c r="O138">
        <v>0.98181818181818181</v>
      </c>
      <c r="P138">
        <v>11</v>
      </c>
      <c r="Q138" s="16">
        <v>616</v>
      </c>
      <c r="R138" s="16">
        <v>460.16666666666669</v>
      </c>
    </row>
    <row r="139" spans="1:18" x14ac:dyDescent="0.2">
      <c r="A139" s="1">
        <v>483</v>
      </c>
      <c r="B139" s="32">
        <v>45086</v>
      </c>
      <c r="C139" s="8" t="s">
        <v>30</v>
      </c>
      <c r="D139" s="8">
        <v>7</v>
      </c>
      <c r="E139" s="8" t="s">
        <v>27</v>
      </c>
      <c r="F139" s="8" t="s">
        <v>11</v>
      </c>
      <c r="G139" s="8" t="s">
        <v>11</v>
      </c>
      <c r="H139" t="s">
        <v>14</v>
      </c>
      <c r="I139" t="s">
        <v>13</v>
      </c>
      <c r="J139" t="s">
        <v>56</v>
      </c>
      <c r="K139">
        <v>22</v>
      </c>
      <c r="L139">
        <v>242</v>
      </c>
      <c r="M139">
        <v>16</v>
      </c>
      <c r="N139">
        <v>226</v>
      </c>
      <c r="O139">
        <v>0.93388429752066116</v>
      </c>
      <c r="P139">
        <v>11</v>
      </c>
      <c r="Q139" s="16">
        <v>242</v>
      </c>
      <c r="R139" s="16">
        <v>469.33333333333331</v>
      </c>
    </row>
    <row r="140" spans="1:18" x14ac:dyDescent="0.2">
      <c r="A140" s="1">
        <v>484</v>
      </c>
      <c r="B140" s="32">
        <v>45088</v>
      </c>
      <c r="C140" s="8" t="s">
        <v>30</v>
      </c>
      <c r="D140" s="8">
        <v>2</v>
      </c>
      <c r="E140" s="8" t="s">
        <v>27</v>
      </c>
      <c r="F140" s="8" t="s">
        <v>11</v>
      </c>
      <c r="G140" s="8" t="s">
        <v>11</v>
      </c>
      <c r="H140" t="s">
        <v>14</v>
      </c>
      <c r="I140" t="s">
        <v>13</v>
      </c>
      <c r="J140" t="s">
        <v>52</v>
      </c>
      <c r="K140">
        <v>21</v>
      </c>
      <c r="L140">
        <v>231</v>
      </c>
      <c r="M140">
        <v>6</v>
      </c>
      <c r="N140">
        <v>225</v>
      </c>
      <c r="O140">
        <v>0.97402597402597402</v>
      </c>
      <c r="P140">
        <v>11</v>
      </c>
      <c r="Q140" s="16">
        <v>627</v>
      </c>
      <c r="R140" s="16">
        <v>480.33333333333331</v>
      </c>
    </row>
    <row r="141" spans="1:18" x14ac:dyDescent="0.2">
      <c r="A141" s="1">
        <v>488</v>
      </c>
      <c r="B141" s="32">
        <v>45089</v>
      </c>
      <c r="C141" s="8" t="s">
        <v>30</v>
      </c>
      <c r="D141" s="8">
        <v>3</v>
      </c>
      <c r="E141" s="8" t="s">
        <v>27</v>
      </c>
      <c r="F141" s="8" t="s">
        <v>11</v>
      </c>
      <c r="G141" s="8" t="s">
        <v>11</v>
      </c>
      <c r="H141" t="s">
        <v>14</v>
      </c>
      <c r="I141" t="s">
        <v>13</v>
      </c>
      <c r="J141" t="s">
        <v>56</v>
      </c>
      <c r="K141">
        <v>17</v>
      </c>
      <c r="L141">
        <v>187</v>
      </c>
      <c r="M141">
        <v>50</v>
      </c>
      <c r="N141">
        <v>137</v>
      </c>
      <c r="O141">
        <v>0.73262032085561501</v>
      </c>
      <c r="P141">
        <v>11</v>
      </c>
      <c r="Q141" s="16">
        <v>462</v>
      </c>
      <c r="R141" s="16">
        <v>474.83333333333331</v>
      </c>
    </row>
    <row r="142" spans="1:18" x14ac:dyDescent="0.2">
      <c r="A142" s="1">
        <v>492</v>
      </c>
      <c r="B142" s="32">
        <v>45090</v>
      </c>
      <c r="C142" s="8" t="s">
        <v>30</v>
      </c>
      <c r="D142" s="8">
        <v>4</v>
      </c>
      <c r="E142" s="8" t="s">
        <v>27</v>
      </c>
      <c r="F142" s="8" t="s">
        <v>11</v>
      </c>
      <c r="G142" s="8" t="s">
        <v>11</v>
      </c>
      <c r="H142" t="s">
        <v>14</v>
      </c>
      <c r="I142" t="s">
        <v>13</v>
      </c>
      <c r="J142" t="s">
        <v>52</v>
      </c>
      <c r="K142">
        <v>16</v>
      </c>
      <c r="L142">
        <v>176</v>
      </c>
      <c r="M142">
        <v>48</v>
      </c>
      <c r="N142">
        <v>128</v>
      </c>
      <c r="O142">
        <v>0.72727272727272729</v>
      </c>
      <c r="P142">
        <v>11</v>
      </c>
      <c r="Q142" s="16">
        <v>429</v>
      </c>
      <c r="R142" s="16">
        <v>480.33333333333331</v>
      </c>
    </row>
    <row r="143" spans="1:18" x14ac:dyDescent="0.2">
      <c r="A143" s="1">
        <v>496</v>
      </c>
      <c r="B143" s="32">
        <v>45091</v>
      </c>
      <c r="C143" s="8" t="s">
        <v>30</v>
      </c>
      <c r="D143" s="8">
        <v>5</v>
      </c>
      <c r="E143" s="8" t="s">
        <v>27</v>
      </c>
      <c r="F143" s="8" t="s">
        <v>11</v>
      </c>
      <c r="G143" s="8" t="s">
        <v>11</v>
      </c>
      <c r="H143" t="s">
        <v>14</v>
      </c>
      <c r="I143" t="s">
        <v>13</v>
      </c>
      <c r="J143" t="s">
        <v>56</v>
      </c>
      <c r="K143">
        <v>14</v>
      </c>
      <c r="L143">
        <v>154</v>
      </c>
      <c r="M143">
        <v>49</v>
      </c>
      <c r="N143">
        <v>105</v>
      </c>
      <c r="O143">
        <v>0.68181818181818177</v>
      </c>
      <c r="P143">
        <v>11</v>
      </c>
      <c r="Q143" s="16">
        <v>473</v>
      </c>
      <c r="R143" s="16">
        <v>474.83333333333331</v>
      </c>
    </row>
    <row r="144" spans="1:18" x14ac:dyDescent="0.2">
      <c r="A144" s="1">
        <v>500</v>
      </c>
      <c r="B144" s="32">
        <v>45092</v>
      </c>
      <c r="C144" s="8" t="s">
        <v>30</v>
      </c>
      <c r="D144" s="8">
        <v>6</v>
      </c>
      <c r="E144" s="8" t="s">
        <v>27</v>
      </c>
      <c r="F144" s="8" t="s">
        <v>11</v>
      </c>
      <c r="G144" s="8" t="s">
        <v>11</v>
      </c>
      <c r="H144" t="s">
        <v>14</v>
      </c>
      <c r="I144" t="s">
        <v>13</v>
      </c>
      <c r="J144" t="s">
        <v>52</v>
      </c>
      <c r="K144">
        <v>22</v>
      </c>
      <c r="L144">
        <v>242</v>
      </c>
      <c r="M144">
        <v>8</v>
      </c>
      <c r="N144">
        <v>234</v>
      </c>
      <c r="O144">
        <v>0.96694214876033058</v>
      </c>
      <c r="P144">
        <v>11</v>
      </c>
      <c r="Q144" s="16">
        <v>605</v>
      </c>
      <c r="R144" s="16">
        <v>473</v>
      </c>
    </row>
    <row r="145" spans="1:18" x14ac:dyDescent="0.2">
      <c r="A145" s="1">
        <v>504</v>
      </c>
      <c r="B145" s="32">
        <v>45093</v>
      </c>
      <c r="C145" s="8" t="s">
        <v>30</v>
      </c>
      <c r="D145" s="8">
        <v>7</v>
      </c>
      <c r="E145" s="8" t="s">
        <v>27</v>
      </c>
      <c r="F145" s="8" t="s">
        <v>11</v>
      </c>
      <c r="G145" s="8" t="s">
        <v>11</v>
      </c>
      <c r="H145" t="s">
        <v>14</v>
      </c>
      <c r="I145" t="s">
        <v>13</v>
      </c>
      <c r="J145" t="s">
        <v>56</v>
      </c>
      <c r="K145">
        <v>19</v>
      </c>
      <c r="L145">
        <v>209</v>
      </c>
      <c r="M145">
        <v>24</v>
      </c>
      <c r="N145">
        <v>185</v>
      </c>
      <c r="O145">
        <v>0.88516746411483249</v>
      </c>
      <c r="P145">
        <v>11</v>
      </c>
      <c r="Q145" s="16">
        <v>209</v>
      </c>
      <c r="R145" s="16">
        <v>467.5</v>
      </c>
    </row>
    <row r="146" spans="1:18" x14ac:dyDescent="0.2">
      <c r="A146" s="1">
        <v>505</v>
      </c>
      <c r="B146" s="32">
        <v>45095</v>
      </c>
      <c r="C146" s="8" t="s">
        <v>30</v>
      </c>
      <c r="D146" s="8">
        <v>2</v>
      </c>
      <c r="E146" s="8" t="s">
        <v>27</v>
      </c>
      <c r="F146" s="8" t="s">
        <v>11</v>
      </c>
      <c r="G146" s="8" t="s">
        <v>11</v>
      </c>
      <c r="H146" t="s">
        <v>14</v>
      </c>
      <c r="I146" t="s">
        <v>13</v>
      </c>
      <c r="J146" t="s">
        <v>52</v>
      </c>
      <c r="K146">
        <v>22</v>
      </c>
      <c r="L146">
        <v>242</v>
      </c>
      <c r="M146">
        <v>1</v>
      </c>
      <c r="N146">
        <v>241</v>
      </c>
      <c r="O146">
        <v>0.99586776859504134</v>
      </c>
      <c r="P146">
        <v>11</v>
      </c>
      <c r="Q146" s="16">
        <v>605</v>
      </c>
      <c r="R146" s="16">
        <v>463.83333333333331</v>
      </c>
    </row>
    <row r="147" spans="1:18" x14ac:dyDescent="0.2">
      <c r="A147" s="1">
        <v>509</v>
      </c>
      <c r="B147" s="32">
        <v>45096</v>
      </c>
      <c r="C147" s="8" t="s">
        <v>30</v>
      </c>
      <c r="D147" s="8">
        <v>3</v>
      </c>
      <c r="E147" s="8" t="s">
        <v>27</v>
      </c>
      <c r="F147" s="8" t="s">
        <v>11</v>
      </c>
      <c r="G147" s="8" t="s">
        <v>11</v>
      </c>
      <c r="H147" t="s">
        <v>14</v>
      </c>
      <c r="I147" t="s">
        <v>13</v>
      </c>
      <c r="J147" t="s">
        <v>56</v>
      </c>
      <c r="K147">
        <v>18</v>
      </c>
      <c r="L147">
        <v>198</v>
      </c>
      <c r="M147">
        <v>24</v>
      </c>
      <c r="N147">
        <v>174</v>
      </c>
      <c r="O147">
        <v>0.87878787878787878</v>
      </c>
      <c r="P147">
        <v>11</v>
      </c>
      <c r="Q147" s="16">
        <v>451</v>
      </c>
      <c r="R147" s="16">
        <v>462</v>
      </c>
    </row>
    <row r="148" spans="1:18" x14ac:dyDescent="0.2">
      <c r="A148" s="1">
        <v>513</v>
      </c>
      <c r="B148" s="32">
        <v>45097</v>
      </c>
      <c r="C148" s="8" t="s">
        <v>30</v>
      </c>
      <c r="D148" s="8">
        <v>4</v>
      </c>
      <c r="E148" s="8" t="s">
        <v>27</v>
      </c>
      <c r="F148" s="8" t="s">
        <v>11</v>
      </c>
      <c r="G148" s="8" t="s">
        <v>11</v>
      </c>
      <c r="H148" t="s">
        <v>14</v>
      </c>
      <c r="I148" t="s">
        <v>13</v>
      </c>
      <c r="J148" t="s">
        <v>52</v>
      </c>
      <c r="K148">
        <v>15</v>
      </c>
      <c r="L148">
        <v>165</v>
      </c>
      <c r="M148">
        <v>30</v>
      </c>
      <c r="N148">
        <v>135</v>
      </c>
      <c r="O148">
        <v>0.81818181818181823</v>
      </c>
      <c r="P148">
        <v>11</v>
      </c>
      <c r="Q148" s="16">
        <v>429</v>
      </c>
      <c r="R148" s="16">
        <v>462</v>
      </c>
    </row>
    <row r="149" spans="1:18" x14ac:dyDescent="0.2">
      <c r="A149" s="1">
        <v>517</v>
      </c>
      <c r="B149" s="32">
        <v>45098</v>
      </c>
      <c r="C149" s="8" t="s">
        <v>30</v>
      </c>
      <c r="D149" s="8">
        <v>5</v>
      </c>
      <c r="E149" s="8" t="s">
        <v>27</v>
      </c>
      <c r="F149" s="8" t="s">
        <v>11</v>
      </c>
      <c r="G149" s="8" t="s">
        <v>10</v>
      </c>
      <c r="H149" t="s">
        <v>31</v>
      </c>
      <c r="I149" t="s">
        <v>13</v>
      </c>
      <c r="J149" t="s">
        <v>56</v>
      </c>
      <c r="K149">
        <v>20</v>
      </c>
      <c r="L149">
        <v>172</v>
      </c>
      <c r="M149">
        <v>13</v>
      </c>
      <c r="N149">
        <v>159</v>
      </c>
      <c r="O149">
        <v>0.92441860465116277</v>
      </c>
      <c r="P149">
        <v>8.6</v>
      </c>
      <c r="Q149" s="16">
        <v>536</v>
      </c>
      <c r="R149" s="16">
        <v>472.5</v>
      </c>
    </row>
    <row r="150" spans="1:18" x14ac:dyDescent="0.2">
      <c r="A150" s="1">
        <v>521</v>
      </c>
      <c r="B150" s="32">
        <v>45099</v>
      </c>
      <c r="C150" s="8" t="s">
        <v>30</v>
      </c>
      <c r="D150" s="8">
        <v>6</v>
      </c>
      <c r="E150" s="8" t="s">
        <v>27</v>
      </c>
      <c r="F150" s="8" t="s">
        <v>11</v>
      </c>
      <c r="G150" s="8" t="s">
        <v>10</v>
      </c>
      <c r="H150" t="s">
        <v>31</v>
      </c>
      <c r="I150" t="s">
        <v>13</v>
      </c>
      <c r="J150" t="s">
        <v>52</v>
      </c>
      <c r="K150">
        <v>26</v>
      </c>
      <c r="L150">
        <v>230</v>
      </c>
      <c r="M150">
        <v>4</v>
      </c>
      <c r="N150">
        <v>226</v>
      </c>
      <c r="O150">
        <v>0.9826086956521739</v>
      </c>
      <c r="P150">
        <v>8.8461538461538467</v>
      </c>
      <c r="Q150" s="16">
        <v>870</v>
      </c>
      <c r="R150" s="16">
        <v>516.66666666666663</v>
      </c>
    </row>
    <row r="151" spans="1:18" x14ac:dyDescent="0.2">
      <c r="A151" s="1">
        <v>525</v>
      </c>
      <c r="B151" s="32">
        <v>45100</v>
      </c>
      <c r="C151" s="8" t="s">
        <v>30</v>
      </c>
      <c r="D151" s="8">
        <v>7</v>
      </c>
      <c r="E151" s="8" t="s">
        <v>27</v>
      </c>
      <c r="F151" s="8" t="s">
        <v>11</v>
      </c>
      <c r="G151" s="8" t="s">
        <v>10</v>
      </c>
      <c r="H151" t="s">
        <v>31</v>
      </c>
      <c r="I151" t="s">
        <v>13</v>
      </c>
      <c r="J151" t="s">
        <v>56</v>
      </c>
      <c r="K151">
        <v>23</v>
      </c>
      <c r="L151">
        <v>237</v>
      </c>
      <c r="M151">
        <v>27</v>
      </c>
      <c r="N151">
        <v>210</v>
      </c>
      <c r="O151">
        <v>0.88607594936708856</v>
      </c>
      <c r="P151">
        <v>10.304347826086957</v>
      </c>
      <c r="Q151" s="16">
        <v>237</v>
      </c>
      <c r="R151" s="16">
        <v>521.33333333333337</v>
      </c>
    </row>
    <row r="152" spans="1:18" x14ac:dyDescent="0.2">
      <c r="A152" s="1">
        <v>526</v>
      </c>
      <c r="B152" s="32">
        <v>45102</v>
      </c>
      <c r="C152" s="8" t="s">
        <v>30</v>
      </c>
      <c r="D152" s="8">
        <v>2</v>
      </c>
      <c r="E152" s="8" t="s">
        <v>27</v>
      </c>
      <c r="F152" s="8" t="s">
        <v>11</v>
      </c>
      <c r="G152" s="8" t="s">
        <v>11</v>
      </c>
      <c r="H152" t="s">
        <v>14</v>
      </c>
      <c r="I152" t="s">
        <v>13</v>
      </c>
      <c r="J152" t="s">
        <v>52</v>
      </c>
      <c r="K152">
        <v>21</v>
      </c>
      <c r="L152">
        <v>231</v>
      </c>
      <c r="M152">
        <v>24</v>
      </c>
      <c r="N152">
        <v>207</v>
      </c>
      <c r="O152">
        <v>0.89610389610389607</v>
      </c>
      <c r="P152">
        <v>11</v>
      </c>
      <c r="Q152" s="16">
        <v>605</v>
      </c>
      <c r="R152" s="16">
        <v>521.33333333333337</v>
      </c>
    </row>
    <row r="153" spans="1:18" x14ac:dyDescent="0.2">
      <c r="A153" s="1">
        <v>530</v>
      </c>
      <c r="B153" s="32">
        <v>45103</v>
      </c>
      <c r="C153" s="8" t="s">
        <v>30</v>
      </c>
      <c r="D153" s="8">
        <v>3</v>
      </c>
      <c r="E153" s="8" t="s">
        <v>27</v>
      </c>
      <c r="F153" s="8" t="s">
        <v>11</v>
      </c>
      <c r="G153" s="8" t="s">
        <v>11</v>
      </c>
      <c r="H153" t="s">
        <v>14</v>
      </c>
      <c r="I153" t="s">
        <v>13</v>
      </c>
      <c r="J153" t="s">
        <v>56</v>
      </c>
      <c r="K153">
        <v>15</v>
      </c>
      <c r="L153">
        <v>165</v>
      </c>
      <c r="M153">
        <v>44</v>
      </c>
      <c r="N153">
        <v>121</v>
      </c>
      <c r="O153">
        <v>0.73333333333333328</v>
      </c>
      <c r="P153">
        <v>11</v>
      </c>
      <c r="Q153" s="16">
        <v>462</v>
      </c>
      <c r="R153" s="16">
        <v>523.16666666666663</v>
      </c>
    </row>
    <row r="154" spans="1:18" x14ac:dyDescent="0.2">
      <c r="A154" s="1">
        <v>534</v>
      </c>
      <c r="B154" s="32">
        <v>45104</v>
      </c>
      <c r="C154" s="8" t="s">
        <v>30</v>
      </c>
      <c r="D154" s="8">
        <v>4</v>
      </c>
      <c r="E154" s="8" t="s">
        <v>27</v>
      </c>
      <c r="F154" s="8" t="s">
        <v>11</v>
      </c>
      <c r="G154" s="8" t="s">
        <v>11</v>
      </c>
      <c r="H154" t="s">
        <v>14</v>
      </c>
      <c r="I154" t="s">
        <v>13</v>
      </c>
      <c r="J154" t="s">
        <v>52</v>
      </c>
      <c r="K154">
        <v>16</v>
      </c>
      <c r="L154">
        <v>176</v>
      </c>
      <c r="M154">
        <v>5</v>
      </c>
      <c r="N154">
        <v>171</v>
      </c>
      <c r="O154">
        <v>0.97159090909090906</v>
      </c>
      <c r="P154">
        <v>11</v>
      </c>
      <c r="Q154" s="16">
        <v>440</v>
      </c>
      <c r="R154" s="16">
        <v>525</v>
      </c>
    </row>
    <row r="155" spans="1:18" x14ac:dyDescent="0.2">
      <c r="A155" s="1">
        <v>538</v>
      </c>
      <c r="B155" s="32">
        <v>45105</v>
      </c>
      <c r="C155" s="8" t="s">
        <v>30</v>
      </c>
      <c r="D155" s="8">
        <v>5</v>
      </c>
      <c r="E155" s="8" t="s">
        <v>27</v>
      </c>
      <c r="F155" s="8" t="s">
        <v>11</v>
      </c>
      <c r="G155" s="8" t="s">
        <v>11</v>
      </c>
      <c r="H155" t="s">
        <v>14</v>
      </c>
      <c r="I155" t="s">
        <v>13</v>
      </c>
      <c r="J155" t="s">
        <v>56</v>
      </c>
      <c r="K155">
        <v>19</v>
      </c>
      <c r="L155">
        <v>209</v>
      </c>
      <c r="M155">
        <v>20</v>
      </c>
      <c r="N155">
        <v>189</v>
      </c>
      <c r="O155">
        <v>0.90430622009569372</v>
      </c>
      <c r="P155">
        <v>11</v>
      </c>
      <c r="Q155" s="16">
        <v>506</v>
      </c>
      <c r="R155" s="16">
        <v>520</v>
      </c>
    </row>
    <row r="156" spans="1:18" x14ac:dyDescent="0.2">
      <c r="A156" s="1">
        <v>542</v>
      </c>
      <c r="B156" s="32">
        <v>45106</v>
      </c>
      <c r="C156" s="8" t="s">
        <v>30</v>
      </c>
      <c r="D156" s="8">
        <v>6</v>
      </c>
      <c r="E156" s="8" t="s">
        <v>27</v>
      </c>
      <c r="F156" s="8" t="s">
        <v>11</v>
      </c>
      <c r="G156" s="8" t="s">
        <v>11</v>
      </c>
      <c r="H156" t="s">
        <v>14</v>
      </c>
      <c r="I156" t="s">
        <v>13</v>
      </c>
      <c r="J156" t="s">
        <v>52</v>
      </c>
      <c r="K156">
        <v>23</v>
      </c>
      <c r="L156">
        <v>253</v>
      </c>
      <c r="M156">
        <v>45</v>
      </c>
      <c r="N156">
        <v>208</v>
      </c>
      <c r="O156">
        <v>0.82213438735177868</v>
      </c>
      <c r="P156">
        <v>11</v>
      </c>
      <c r="Q156" s="16">
        <v>583</v>
      </c>
      <c r="R156" s="16">
        <v>472.16666666666669</v>
      </c>
    </row>
    <row r="157" spans="1:18" x14ac:dyDescent="0.2">
      <c r="A157" s="1">
        <v>546</v>
      </c>
      <c r="B157" s="32">
        <v>45107</v>
      </c>
      <c r="C157" s="8" t="s">
        <v>30</v>
      </c>
      <c r="D157" s="8">
        <v>7</v>
      </c>
      <c r="E157" s="8" t="s">
        <v>27</v>
      </c>
      <c r="F157" s="8" t="s">
        <v>11</v>
      </c>
      <c r="G157" s="8" t="s">
        <v>11</v>
      </c>
      <c r="H157" t="s">
        <v>14</v>
      </c>
      <c r="I157" t="s">
        <v>13</v>
      </c>
      <c r="J157" t="s">
        <v>56</v>
      </c>
      <c r="K157">
        <v>21</v>
      </c>
      <c r="L157">
        <v>231</v>
      </c>
      <c r="M157">
        <v>49</v>
      </c>
      <c r="N157">
        <v>182</v>
      </c>
      <c r="O157">
        <v>0.78787878787878785</v>
      </c>
      <c r="P157">
        <v>11</v>
      </c>
      <c r="Q157" s="16">
        <v>231</v>
      </c>
      <c r="R157" s="16">
        <v>471.16666666666669</v>
      </c>
    </row>
    <row r="158" spans="1:18" x14ac:dyDescent="0.2">
      <c r="A158" s="1">
        <v>547</v>
      </c>
      <c r="B158" s="32">
        <v>45109</v>
      </c>
      <c r="C158" s="8" t="s">
        <v>32</v>
      </c>
      <c r="D158" s="8">
        <v>2</v>
      </c>
      <c r="E158" s="8" t="s">
        <v>33</v>
      </c>
      <c r="F158" s="8" t="s">
        <v>11</v>
      </c>
      <c r="G158" s="8" t="s">
        <v>11</v>
      </c>
      <c r="H158" t="s">
        <v>14</v>
      </c>
      <c r="I158" t="s">
        <v>13</v>
      </c>
      <c r="J158" t="s">
        <v>52</v>
      </c>
      <c r="K158">
        <v>19</v>
      </c>
      <c r="L158">
        <v>209</v>
      </c>
      <c r="M158">
        <v>26</v>
      </c>
      <c r="N158">
        <v>183</v>
      </c>
      <c r="O158">
        <v>0.87559808612440193</v>
      </c>
      <c r="P158">
        <v>11</v>
      </c>
      <c r="Q158" s="16">
        <v>583</v>
      </c>
      <c r="R158" s="16">
        <v>467.5</v>
      </c>
    </row>
    <row r="159" spans="1:18" x14ac:dyDescent="0.2">
      <c r="A159" s="1">
        <v>551</v>
      </c>
      <c r="B159" s="32">
        <v>45110</v>
      </c>
      <c r="C159" s="8" t="s">
        <v>32</v>
      </c>
      <c r="D159" s="8">
        <v>3</v>
      </c>
      <c r="E159" s="8" t="s">
        <v>33</v>
      </c>
      <c r="F159" s="8" t="s">
        <v>11</v>
      </c>
      <c r="G159" s="8" t="s">
        <v>11</v>
      </c>
      <c r="H159" t="s">
        <v>14</v>
      </c>
      <c r="I159" t="s">
        <v>13</v>
      </c>
      <c r="J159" t="s">
        <v>56</v>
      </c>
      <c r="K159">
        <v>17</v>
      </c>
      <c r="L159">
        <v>187</v>
      </c>
      <c r="M159">
        <v>27</v>
      </c>
      <c r="N159">
        <v>160</v>
      </c>
      <c r="O159">
        <v>0.85561497326203206</v>
      </c>
      <c r="P159">
        <v>11</v>
      </c>
      <c r="Q159" s="16">
        <v>473</v>
      </c>
      <c r="R159" s="16">
        <v>469.33333333333331</v>
      </c>
    </row>
    <row r="160" spans="1:18" x14ac:dyDescent="0.2">
      <c r="A160" s="1">
        <v>555</v>
      </c>
      <c r="B160" s="32">
        <v>45111</v>
      </c>
      <c r="C160" s="8" t="s">
        <v>32</v>
      </c>
      <c r="D160" s="8">
        <v>4</v>
      </c>
      <c r="E160" s="8" t="s">
        <v>33</v>
      </c>
      <c r="F160" s="8" t="s">
        <v>10</v>
      </c>
      <c r="G160" s="8" t="s">
        <v>11</v>
      </c>
      <c r="H160" t="s">
        <v>34</v>
      </c>
      <c r="I160" t="s">
        <v>13</v>
      </c>
      <c r="J160" t="s">
        <v>14</v>
      </c>
      <c r="K160">
        <v>0</v>
      </c>
      <c r="L160">
        <v>0</v>
      </c>
      <c r="M160">
        <v>10</v>
      </c>
      <c r="N160">
        <v>-10</v>
      </c>
      <c r="O160">
        <v>0</v>
      </c>
      <c r="P160">
        <v>0</v>
      </c>
      <c r="Q160" s="16">
        <v>0</v>
      </c>
      <c r="R160" s="16">
        <v>396</v>
      </c>
    </row>
    <row r="161" spans="1:18" x14ac:dyDescent="0.2">
      <c r="A161" s="1">
        <v>559</v>
      </c>
      <c r="B161" s="32">
        <v>45112</v>
      </c>
      <c r="C161" s="8" t="s">
        <v>32</v>
      </c>
      <c r="D161" s="8">
        <v>5</v>
      </c>
      <c r="E161" s="8" t="s">
        <v>33</v>
      </c>
      <c r="F161" s="8" t="s">
        <v>11</v>
      </c>
      <c r="G161" s="8" t="s">
        <v>11</v>
      </c>
      <c r="H161" t="s">
        <v>14</v>
      </c>
      <c r="I161" t="s">
        <v>13</v>
      </c>
      <c r="J161" t="s">
        <v>56</v>
      </c>
      <c r="K161">
        <v>18</v>
      </c>
      <c r="L161">
        <v>198</v>
      </c>
      <c r="M161">
        <v>27</v>
      </c>
      <c r="N161">
        <v>171</v>
      </c>
      <c r="O161">
        <v>0.86363636363636365</v>
      </c>
      <c r="P161">
        <v>11</v>
      </c>
      <c r="Q161" s="16">
        <v>495</v>
      </c>
      <c r="R161" s="16">
        <v>394.16666666666669</v>
      </c>
    </row>
    <row r="162" spans="1:18" x14ac:dyDescent="0.2">
      <c r="A162" s="1">
        <v>563</v>
      </c>
      <c r="B162" s="32">
        <v>45113</v>
      </c>
      <c r="C162" s="8" t="s">
        <v>32</v>
      </c>
      <c r="D162" s="8">
        <v>6</v>
      </c>
      <c r="E162" s="8" t="s">
        <v>33</v>
      </c>
      <c r="F162" s="8" t="s">
        <v>11</v>
      </c>
      <c r="G162" s="8" t="s">
        <v>11</v>
      </c>
      <c r="H162" t="s">
        <v>14</v>
      </c>
      <c r="I162" t="s">
        <v>13</v>
      </c>
      <c r="J162" t="s">
        <v>52</v>
      </c>
      <c r="K162">
        <v>19</v>
      </c>
      <c r="L162">
        <v>209</v>
      </c>
      <c r="M162">
        <v>32</v>
      </c>
      <c r="N162">
        <v>177</v>
      </c>
      <c r="O162">
        <v>0.84688995215311003</v>
      </c>
      <c r="P162">
        <v>11</v>
      </c>
      <c r="Q162" s="16">
        <v>605</v>
      </c>
      <c r="R162" s="16">
        <v>397.83333333333331</v>
      </c>
    </row>
    <row r="163" spans="1:18" x14ac:dyDescent="0.2">
      <c r="A163" s="1">
        <v>567</v>
      </c>
      <c r="B163" s="32">
        <v>45114</v>
      </c>
      <c r="C163" s="8" t="s">
        <v>32</v>
      </c>
      <c r="D163" s="8">
        <v>7</v>
      </c>
      <c r="E163" s="8" t="s">
        <v>33</v>
      </c>
      <c r="F163" s="8" t="s">
        <v>11</v>
      </c>
      <c r="G163" s="8" t="s">
        <v>11</v>
      </c>
      <c r="H163" t="s">
        <v>14</v>
      </c>
      <c r="I163" t="s">
        <v>13</v>
      </c>
      <c r="J163" t="s">
        <v>56</v>
      </c>
      <c r="K163">
        <v>23</v>
      </c>
      <c r="L163">
        <v>253</v>
      </c>
      <c r="M163">
        <v>13</v>
      </c>
      <c r="N163">
        <v>240</v>
      </c>
      <c r="O163">
        <v>0.9486166007905138</v>
      </c>
      <c r="P163">
        <v>11</v>
      </c>
      <c r="Q163" s="16">
        <v>253</v>
      </c>
      <c r="R163" s="16">
        <v>401.5</v>
      </c>
    </row>
    <row r="164" spans="1:18" x14ac:dyDescent="0.2">
      <c r="A164" s="1">
        <v>568</v>
      </c>
      <c r="B164" s="32">
        <v>45116</v>
      </c>
      <c r="C164" s="8" t="s">
        <v>32</v>
      </c>
      <c r="D164" s="8">
        <v>2</v>
      </c>
      <c r="E164" s="8" t="s">
        <v>33</v>
      </c>
      <c r="F164" s="8" t="s">
        <v>11</v>
      </c>
      <c r="G164" s="8" t="s">
        <v>11</v>
      </c>
      <c r="H164" t="s">
        <v>14</v>
      </c>
      <c r="I164" t="s">
        <v>13</v>
      </c>
      <c r="J164" t="s">
        <v>52</v>
      </c>
      <c r="K164">
        <v>20</v>
      </c>
      <c r="L164">
        <v>220</v>
      </c>
      <c r="M164">
        <v>7</v>
      </c>
      <c r="N164">
        <v>213</v>
      </c>
      <c r="O164">
        <v>0.96818181818181814</v>
      </c>
      <c r="P164">
        <v>11</v>
      </c>
      <c r="Q164" s="16">
        <v>627</v>
      </c>
      <c r="R164" s="16">
        <v>408.83333333333331</v>
      </c>
    </row>
    <row r="165" spans="1:18" x14ac:dyDescent="0.2">
      <c r="A165" s="1">
        <v>572</v>
      </c>
      <c r="B165" s="32">
        <v>45117</v>
      </c>
      <c r="C165" s="8" t="s">
        <v>32</v>
      </c>
      <c r="D165" s="8">
        <v>3</v>
      </c>
      <c r="E165" s="8" t="s">
        <v>33</v>
      </c>
      <c r="F165" s="8" t="s">
        <v>11</v>
      </c>
      <c r="G165" s="8" t="s">
        <v>11</v>
      </c>
      <c r="H165" t="s">
        <v>14</v>
      </c>
      <c r="I165" t="s">
        <v>13</v>
      </c>
      <c r="J165" t="s">
        <v>56</v>
      </c>
      <c r="K165">
        <v>15</v>
      </c>
      <c r="L165">
        <v>165</v>
      </c>
      <c r="M165">
        <v>45</v>
      </c>
      <c r="N165">
        <v>120</v>
      </c>
      <c r="O165">
        <v>0.72727272727272729</v>
      </c>
      <c r="P165">
        <v>11</v>
      </c>
      <c r="Q165" s="16">
        <v>462</v>
      </c>
      <c r="R165" s="16">
        <v>407</v>
      </c>
    </row>
    <row r="166" spans="1:18" x14ac:dyDescent="0.2">
      <c r="A166" s="1">
        <v>576</v>
      </c>
      <c r="B166" s="32">
        <v>45118</v>
      </c>
      <c r="C166" s="8" t="s">
        <v>32</v>
      </c>
      <c r="D166" s="8">
        <v>4</v>
      </c>
      <c r="E166" s="8" t="s">
        <v>33</v>
      </c>
      <c r="F166" s="8" t="s">
        <v>11</v>
      </c>
      <c r="G166" s="8" t="s">
        <v>11</v>
      </c>
      <c r="H166" t="s">
        <v>14</v>
      </c>
      <c r="I166" t="s">
        <v>13</v>
      </c>
      <c r="J166" t="s">
        <v>52</v>
      </c>
      <c r="K166">
        <v>16</v>
      </c>
      <c r="L166">
        <v>176</v>
      </c>
      <c r="M166">
        <v>40</v>
      </c>
      <c r="N166">
        <v>136</v>
      </c>
      <c r="O166">
        <v>0.77272727272727271</v>
      </c>
      <c r="P166">
        <v>11</v>
      </c>
      <c r="Q166" s="16">
        <v>396</v>
      </c>
      <c r="R166" s="16">
        <v>473</v>
      </c>
    </row>
    <row r="167" spans="1:18" x14ac:dyDescent="0.2">
      <c r="A167" s="1">
        <v>580</v>
      </c>
      <c r="B167" s="32">
        <v>45119</v>
      </c>
      <c r="C167" s="8" t="s">
        <v>32</v>
      </c>
      <c r="D167" s="8">
        <v>5</v>
      </c>
      <c r="E167" s="8" t="s">
        <v>33</v>
      </c>
      <c r="F167" s="8" t="s">
        <v>11</v>
      </c>
      <c r="G167" s="8" t="s">
        <v>11</v>
      </c>
      <c r="H167" t="s">
        <v>14</v>
      </c>
      <c r="I167" t="s">
        <v>13</v>
      </c>
      <c r="J167" t="s">
        <v>56</v>
      </c>
      <c r="K167">
        <v>16</v>
      </c>
      <c r="L167">
        <v>176</v>
      </c>
      <c r="M167">
        <v>39</v>
      </c>
      <c r="N167">
        <v>137</v>
      </c>
      <c r="O167">
        <v>0.77840909090909094</v>
      </c>
      <c r="P167">
        <v>11</v>
      </c>
      <c r="Q167" s="16">
        <v>506</v>
      </c>
      <c r="R167" s="16">
        <v>474.83333333333331</v>
      </c>
    </row>
    <row r="168" spans="1:18" x14ac:dyDescent="0.2">
      <c r="A168" s="1">
        <v>584</v>
      </c>
      <c r="B168" s="32">
        <v>45120</v>
      </c>
      <c r="C168" s="8" t="s">
        <v>32</v>
      </c>
      <c r="D168" s="8">
        <v>6</v>
      </c>
      <c r="E168" s="8" t="s">
        <v>33</v>
      </c>
      <c r="F168" s="8" t="s">
        <v>11</v>
      </c>
      <c r="G168" s="8" t="s">
        <v>11</v>
      </c>
      <c r="H168" t="s">
        <v>14</v>
      </c>
      <c r="I168" t="s">
        <v>13</v>
      </c>
      <c r="J168" t="s">
        <v>52</v>
      </c>
      <c r="K168">
        <v>20</v>
      </c>
      <c r="L168">
        <v>220</v>
      </c>
      <c r="M168">
        <v>39</v>
      </c>
      <c r="N168">
        <v>181</v>
      </c>
      <c r="O168">
        <v>0.82272727272727275</v>
      </c>
      <c r="P168">
        <v>11</v>
      </c>
      <c r="Q168" s="16">
        <v>594</v>
      </c>
      <c r="R168" s="16">
        <v>473</v>
      </c>
    </row>
    <row r="169" spans="1:18" x14ac:dyDescent="0.2">
      <c r="A169" s="1">
        <v>588</v>
      </c>
      <c r="B169" s="32">
        <v>45121</v>
      </c>
      <c r="C169" s="8" t="s">
        <v>32</v>
      </c>
      <c r="D169" s="8">
        <v>7</v>
      </c>
      <c r="E169" s="8" t="s">
        <v>33</v>
      </c>
      <c r="F169" s="8" t="s">
        <v>11</v>
      </c>
      <c r="G169" s="8" t="s">
        <v>11</v>
      </c>
      <c r="H169" t="s">
        <v>14</v>
      </c>
      <c r="I169" t="s">
        <v>13</v>
      </c>
      <c r="J169" t="s">
        <v>56</v>
      </c>
      <c r="K169">
        <v>21</v>
      </c>
      <c r="L169">
        <v>231</v>
      </c>
      <c r="M169">
        <v>1</v>
      </c>
      <c r="N169">
        <v>230</v>
      </c>
      <c r="O169">
        <v>0.99567099567099571</v>
      </c>
      <c r="P169">
        <v>11</v>
      </c>
      <c r="Q169" s="16">
        <v>231</v>
      </c>
      <c r="R169" s="16">
        <v>469.33333333333331</v>
      </c>
    </row>
    <row r="170" spans="1:18" x14ac:dyDescent="0.2">
      <c r="A170" s="1">
        <v>589</v>
      </c>
      <c r="B170" s="32">
        <v>45123</v>
      </c>
      <c r="C170" s="8" t="s">
        <v>32</v>
      </c>
      <c r="D170" s="8">
        <v>2</v>
      </c>
      <c r="E170" s="8" t="s">
        <v>33</v>
      </c>
      <c r="F170" s="8" t="s">
        <v>11</v>
      </c>
      <c r="G170" s="8" t="s">
        <v>11</v>
      </c>
      <c r="H170" t="s">
        <v>14</v>
      </c>
      <c r="I170" t="s">
        <v>13</v>
      </c>
      <c r="J170" t="s">
        <v>52</v>
      </c>
      <c r="K170">
        <v>17</v>
      </c>
      <c r="L170">
        <v>187</v>
      </c>
      <c r="M170">
        <v>49</v>
      </c>
      <c r="N170">
        <v>138</v>
      </c>
      <c r="O170">
        <v>0.73796791443850263</v>
      </c>
      <c r="P170">
        <v>11</v>
      </c>
      <c r="Q170" s="16">
        <v>572</v>
      </c>
      <c r="R170" s="16">
        <v>460.16666666666669</v>
      </c>
    </row>
    <row r="171" spans="1:18" x14ac:dyDescent="0.2">
      <c r="A171" s="1">
        <v>593</v>
      </c>
      <c r="B171" s="32">
        <v>45124</v>
      </c>
      <c r="C171" s="8" t="s">
        <v>32</v>
      </c>
      <c r="D171" s="8">
        <v>3</v>
      </c>
      <c r="E171" s="8" t="s">
        <v>33</v>
      </c>
      <c r="F171" s="8" t="s">
        <v>11</v>
      </c>
      <c r="G171" s="8" t="s">
        <v>11</v>
      </c>
      <c r="H171" t="s">
        <v>14</v>
      </c>
      <c r="I171" t="s">
        <v>13</v>
      </c>
      <c r="J171" t="s">
        <v>56</v>
      </c>
      <c r="K171">
        <v>16</v>
      </c>
      <c r="L171">
        <v>176</v>
      </c>
      <c r="M171">
        <v>25</v>
      </c>
      <c r="N171">
        <v>151</v>
      </c>
      <c r="O171">
        <v>0.85795454545454541</v>
      </c>
      <c r="P171">
        <v>11</v>
      </c>
      <c r="Q171" s="16">
        <v>495</v>
      </c>
      <c r="R171" s="16">
        <v>465.66666666666669</v>
      </c>
    </row>
    <row r="172" spans="1:18" x14ac:dyDescent="0.2">
      <c r="A172" s="1">
        <v>597</v>
      </c>
      <c r="B172" s="32">
        <v>45125</v>
      </c>
      <c r="C172" s="8" t="s">
        <v>32</v>
      </c>
      <c r="D172" s="8">
        <v>4</v>
      </c>
      <c r="E172" s="8" t="s">
        <v>33</v>
      </c>
      <c r="F172" s="8" t="s">
        <v>11</v>
      </c>
      <c r="G172" s="8" t="s">
        <v>11</v>
      </c>
      <c r="H172" t="s">
        <v>14</v>
      </c>
      <c r="I172" t="s">
        <v>13</v>
      </c>
      <c r="J172" t="s">
        <v>52</v>
      </c>
      <c r="K172">
        <v>17</v>
      </c>
      <c r="L172">
        <v>187</v>
      </c>
      <c r="M172">
        <v>1</v>
      </c>
      <c r="N172">
        <v>186</v>
      </c>
      <c r="O172">
        <v>0.99465240641711228</v>
      </c>
      <c r="P172">
        <v>11</v>
      </c>
      <c r="Q172" s="16">
        <v>418</v>
      </c>
      <c r="R172" s="16">
        <v>469.33333333333331</v>
      </c>
    </row>
    <row r="173" spans="1:18" x14ac:dyDescent="0.2">
      <c r="A173" s="1">
        <v>601</v>
      </c>
      <c r="B173" s="32">
        <v>45126</v>
      </c>
      <c r="C173" s="8" t="s">
        <v>32</v>
      </c>
      <c r="D173" s="8">
        <v>5</v>
      </c>
      <c r="E173" s="8" t="s">
        <v>33</v>
      </c>
      <c r="F173" s="8" t="s">
        <v>11</v>
      </c>
      <c r="G173" s="8" t="s">
        <v>11</v>
      </c>
      <c r="H173" t="s">
        <v>14</v>
      </c>
      <c r="I173" t="s">
        <v>13</v>
      </c>
      <c r="J173" t="s">
        <v>56</v>
      </c>
      <c r="K173">
        <v>16</v>
      </c>
      <c r="L173">
        <v>176</v>
      </c>
      <c r="M173">
        <v>45</v>
      </c>
      <c r="N173">
        <v>131</v>
      </c>
      <c r="O173">
        <v>0.74431818181818177</v>
      </c>
      <c r="P173">
        <v>11</v>
      </c>
      <c r="Q173" s="16">
        <v>495</v>
      </c>
      <c r="R173" s="16">
        <v>467.5</v>
      </c>
    </row>
    <row r="174" spans="1:18" x14ac:dyDescent="0.2">
      <c r="A174" s="1">
        <v>605</v>
      </c>
      <c r="B174" s="32">
        <v>45127</v>
      </c>
      <c r="C174" s="8" t="s">
        <v>32</v>
      </c>
      <c r="D174" s="8">
        <v>6</v>
      </c>
      <c r="E174" s="8" t="s">
        <v>33</v>
      </c>
      <c r="F174" s="8" t="s">
        <v>11</v>
      </c>
      <c r="G174" s="8" t="s">
        <v>11</v>
      </c>
      <c r="H174" t="s">
        <v>14</v>
      </c>
      <c r="I174" t="s">
        <v>13</v>
      </c>
      <c r="J174" t="s">
        <v>52</v>
      </c>
      <c r="K174">
        <v>23</v>
      </c>
      <c r="L174">
        <v>253</v>
      </c>
      <c r="M174">
        <v>8</v>
      </c>
      <c r="N174">
        <v>245</v>
      </c>
      <c r="O174">
        <v>0.96837944664031617</v>
      </c>
      <c r="P174">
        <v>11</v>
      </c>
      <c r="Q174" s="16">
        <v>693</v>
      </c>
      <c r="R174" s="16">
        <v>484</v>
      </c>
    </row>
    <row r="175" spans="1:18" x14ac:dyDescent="0.2">
      <c r="A175" s="1">
        <v>609</v>
      </c>
      <c r="B175" s="32">
        <v>45128</v>
      </c>
      <c r="C175" s="8" t="s">
        <v>32</v>
      </c>
      <c r="D175" s="8">
        <v>7</v>
      </c>
      <c r="E175" s="8" t="s">
        <v>33</v>
      </c>
      <c r="F175" s="8" t="s">
        <v>11</v>
      </c>
      <c r="G175" s="8" t="s">
        <v>11</v>
      </c>
      <c r="H175" t="s">
        <v>14</v>
      </c>
      <c r="I175" t="s">
        <v>13</v>
      </c>
      <c r="J175" t="s">
        <v>56</v>
      </c>
      <c r="K175">
        <v>22</v>
      </c>
      <c r="L175">
        <v>242</v>
      </c>
      <c r="M175">
        <v>26</v>
      </c>
      <c r="N175">
        <v>216</v>
      </c>
      <c r="O175">
        <v>0.8925619834710744</v>
      </c>
      <c r="P175">
        <v>11</v>
      </c>
      <c r="Q175" s="16">
        <v>242</v>
      </c>
      <c r="R175" s="16">
        <v>485.83333333333331</v>
      </c>
    </row>
    <row r="176" spans="1:18" x14ac:dyDescent="0.2">
      <c r="A176" s="1">
        <v>610</v>
      </c>
      <c r="B176" s="32">
        <v>45130</v>
      </c>
      <c r="C176" s="8" t="s">
        <v>32</v>
      </c>
      <c r="D176" s="8">
        <v>2</v>
      </c>
      <c r="E176" s="8" t="s">
        <v>33</v>
      </c>
      <c r="F176" s="8" t="s">
        <v>11</v>
      </c>
      <c r="G176" s="8" t="s">
        <v>11</v>
      </c>
      <c r="H176" t="s">
        <v>14</v>
      </c>
      <c r="I176" t="s">
        <v>13</v>
      </c>
      <c r="J176" t="s">
        <v>52</v>
      </c>
      <c r="K176">
        <v>22</v>
      </c>
      <c r="L176">
        <v>242</v>
      </c>
      <c r="M176">
        <v>11</v>
      </c>
      <c r="N176">
        <v>231</v>
      </c>
      <c r="O176">
        <v>0.95454545454545459</v>
      </c>
      <c r="P176">
        <v>11</v>
      </c>
      <c r="Q176" s="16">
        <v>638</v>
      </c>
      <c r="R176" s="16">
        <v>496.83333333333331</v>
      </c>
    </row>
    <row r="177" spans="1:18" x14ac:dyDescent="0.2">
      <c r="A177" s="1">
        <v>614</v>
      </c>
      <c r="B177" s="32">
        <v>45131</v>
      </c>
      <c r="C177" s="8" t="s">
        <v>32</v>
      </c>
      <c r="D177" s="8">
        <v>3</v>
      </c>
      <c r="E177" s="8" t="s">
        <v>33</v>
      </c>
      <c r="F177" s="8" t="s">
        <v>11</v>
      </c>
      <c r="G177" s="8" t="s">
        <v>11</v>
      </c>
      <c r="H177" t="s">
        <v>14</v>
      </c>
      <c r="I177" t="s">
        <v>13</v>
      </c>
      <c r="J177" t="s">
        <v>56</v>
      </c>
      <c r="K177">
        <v>14</v>
      </c>
      <c r="L177">
        <v>154</v>
      </c>
      <c r="M177">
        <v>37</v>
      </c>
      <c r="N177">
        <v>117</v>
      </c>
      <c r="O177">
        <v>0.75974025974025972</v>
      </c>
      <c r="P177">
        <v>11</v>
      </c>
      <c r="Q177" s="16">
        <v>440</v>
      </c>
      <c r="R177" s="16">
        <v>487.66666666666669</v>
      </c>
    </row>
    <row r="178" spans="1:18" x14ac:dyDescent="0.2">
      <c r="A178" s="1">
        <v>618</v>
      </c>
      <c r="B178" s="32">
        <v>45132</v>
      </c>
      <c r="C178" s="8" t="s">
        <v>32</v>
      </c>
      <c r="D178" s="8">
        <v>4</v>
      </c>
      <c r="E178" s="8" t="s">
        <v>33</v>
      </c>
      <c r="F178" s="8" t="s">
        <v>11</v>
      </c>
      <c r="G178" s="8" t="s">
        <v>11</v>
      </c>
      <c r="H178" t="s">
        <v>14</v>
      </c>
      <c r="I178" t="s">
        <v>13</v>
      </c>
      <c r="J178" t="s">
        <v>52</v>
      </c>
      <c r="K178">
        <v>16</v>
      </c>
      <c r="L178">
        <v>176</v>
      </c>
      <c r="M178">
        <v>10</v>
      </c>
      <c r="N178">
        <v>166</v>
      </c>
      <c r="O178">
        <v>0.94318181818181823</v>
      </c>
      <c r="P178">
        <v>11</v>
      </c>
      <c r="Q178" s="16">
        <v>440</v>
      </c>
      <c r="R178" s="16">
        <v>491.33333333333331</v>
      </c>
    </row>
    <row r="179" spans="1:18" x14ac:dyDescent="0.2">
      <c r="A179" s="1">
        <v>622</v>
      </c>
      <c r="B179" s="32">
        <v>45133</v>
      </c>
      <c r="C179" s="8" t="s">
        <v>32</v>
      </c>
      <c r="D179" s="8">
        <v>5</v>
      </c>
      <c r="E179" s="8" t="s">
        <v>33</v>
      </c>
      <c r="F179" s="8" t="s">
        <v>11</v>
      </c>
      <c r="G179" s="8" t="s">
        <v>11</v>
      </c>
      <c r="H179" t="s">
        <v>14</v>
      </c>
      <c r="I179" t="s">
        <v>13</v>
      </c>
      <c r="J179" t="s">
        <v>56</v>
      </c>
      <c r="K179">
        <v>16</v>
      </c>
      <c r="L179">
        <v>176</v>
      </c>
      <c r="M179">
        <v>29</v>
      </c>
      <c r="N179">
        <v>147</v>
      </c>
      <c r="O179">
        <v>0.83522727272727271</v>
      </c>
      <c r="P179">
        <v>11</v>
      </c>
      <c r="Q179" s="16">
        <v>495</v>
      </c>
      <c r="R179" s="16">
        <v>491.33333333333331</v>
      </c>
    </row>
    <row r="180" spans="1:18" x14ac:dyDescent="0.2">
      <c r="A180" s="1">
        <v>626</v>
      </c>
      <c r="B180" s="32">
        <v>45134</v>
      </c>
      <c r="C180" s="8" t="s">
        <v>32</v>
      </c>
      <c r="D180" s="8">
        <v>6</v>
      </c>
      <c r="E180" s="8" t="s">
        <v>33</v>
      </c>
      <c r="F180" s="8" t="s">
        <v>11</v>
      </c>
      <c r="G180" s="8" t="s">
        <v>11</v>
      </c>
      <c r="H180" t="s">
        <v>14</v>
      </c>
      <c r="I180" t="s">
        <v>13</v>
      </c>
      <c r="J180" t="s">
        <v>52</v>
      </c>
      <c r="K180">
        <v>22</v>
      </c>
      <c r="L180">
        <v>242</v>
      </c>
      <c r="M180">
        <v>31</v>
      </c>
      <c r="N180">
        <v>211</v>
      </c>
      <c r="O180">
        <v>0.87190082644628097</v>
      </c>
      <c r="P180">
        <v>11</v>
      </c>
      <c r="Q180" s="16">
        <v>627</v>
      </c>
      <c r="R180" s="16">
        <v>480.33333333333331</v>
      </c>
    </row>
    <row r="181" spans="1:18" x14ac:dyDescent="0.2">
      <c r="A181" s="1">
        <v>630</v>
      </c>
      <c r="B181" s="32">
        <v>45135</v>
      </c>
      <c r="C181" s="8" t="s">
        <v>32</v>
      </c>
      <c r="D181" s="8">
        <v>7</v>
      </c>
      <c r="E181" s="8" t="s">
        <v>33</v>
      </c>
      <c r="F181" s="8" t="s">
        <v>11</v>
      </c>
      <c r="G181" s="8" t="s">
        <v>11</v>
      </c>
      <c r="H181" t="s">
        <v>14</v>
      </c>
      <c r="I181" t="s">
        <v>13</v>
      </c>
      <c r="J181" t="s">
        <v>56</v>
      </c>
      <c r="K181">
        <v>23</v>
      </c>
      <c r="L181">
        <v>253</v>
      </c>
      <c r="M181">
        <v>31</v>
      </c>
      <c r="N181">
        <v>222</v>
      </c>
      <c r="O181">
        <v>0.87747035573122534</v>
      </c>
      <c r="P181">
        <v>11</v>
      </c>
      <c r="Q181" s="16">
        <v>253</v>
      </c>
      <c r="R181" s="16">
        <v>482.16666666666669</v>
      </c>
    </row>
    <row r="182" spans="1:18" x14ac:dyDescent="0.2">
      <c r="A182" s="1">
        <v>631</v>
      </c>
      <c r="B182" s="32">
        <v>45137</v>
      </c>
      <c r="C182" s="8" t="s">
        <v>32</v>
      </c>
      <c r="D182" s="8">
        <v>2</v>
      </c>
      <c r="E182" s="8" t="s">
        <v>33</v>
      </c>
      <c r="F182" s="8" t="s">
        <v>11</v>
      </c>
      <c r="G182" s="8" t="s">
        <v>11</v>
      </c>
      <c r="H182" t="s">
        <v>14</v>
      </c>
      <c r="I182" t="s">
        <v>13</v>
      </c>
      <c r="J182" t="s">
        <v>52</v>
      </c>
      <c r="K182">
        <v>19</v>
      </c>
      <c r="L182">
        <v>209</v>
      </c>
      <c r="M182">
        <v>13</v>
      </c>
      <c r="N182">
        <v>196</v>
      </c>
      <c r="O182">
        <v>0.93779904306220097</v>
      </c>
      <c r="P182">
        <v>11</v>
      </c>
      <c r="Q182" s="16">
        <v>539</v>
      </c>
      <c r="R182" s="16">
        <v>465.66666666666669</v>
      </c>
    </row>
    <row r="183" spans="1:18" x14ac:dyDescent="0.2">
      <c r="A183" s="1">
        <v>635</v>
      </c>
      <c r="B183" s="32">
        <v>45138</v>
      </c>
      <c r="C183" s="8" t="s">
        <v>32</v>
      </c>
      <c r="D183" s="8">
        <v>3</v>
      </c>
      <c r="E183" s="8" t="s">
        <v>33</v>
      </c>
      <c r="F183" s="8" t="s">
        <v>11</v>
      </c>
      <c r="G183" s="8" t="s">
        <v>11</v>
      </c>
      <c r="H183" t="s">
        <v>14</v>
      </c>
      <c r="I183" t="s">
        <v>13</v>
      </c>
      <c r="J183" t="s">
        <v>56</v>
      </c>
      <c r="K183">
        <v>17</v>
      </c>
      <c r="L183">
        <v>187</v>
      </c>
      <c r="M183">
        <v>29</v>
      </c>
      <c r="N183">
        <v>158</v>
      </c>
      <c r="O183">
        <v>0.84491978609625673</v>
      </c>
      <c r="P183">
        <v>11</v>
      </c>
      <c r="Q183" s="16">
        <v>517</v>
      </c>
      <c r="R183" s="16">
        <v>478.5</v>
      </c>
    </row>
    <row r="184" spans="1:18" x14ac:dyDescent="0.2">
      <c r="A184" s="1">
        <v>639</v>
      </c>
      <c r="B184" s="32">
        <v>45139</v>
      </c>
      <c r="C184" s="8" t="s">
        <v>35</v>
      </c>
      <c r="D184" s="8">
        <v>4</v>
      </c>
      <c r="E184" s="8" t="s">
        <v>33</v>
      </c>
      <c r="F184" s="8" t="s">
        <v>11</v>
      </c>
      <c r="G184" s="8" t="s">
        <v>11</v>
      </c>
      <c r="H184" t="s">
        <v>14</v>
      </c>
      <c r="I184" t="s">
        <v>13</v>
      </c>
      <c r="J184" t="s">
        <v>52</v>
      </c>
      <c r="K184">
        <v>14</v>
      </c>
      <c r="L184">
        <v>154</v>
      </c>
      <c r="M184">
        <v>19</v>
      </c>
      <c r="N184">
        <v>135</v>
      </c>
      <c r="O184">
        <v>0.87662337662337664</v>
      </c>
      <c r="P184">
        <v>11</v>
      </c>
      <c r="Q184" s="16">
        <v>396</v>
      </c>
      <c r="R184" s="16">
        <v>471.16666666666669</v>
      </c>
    </row>
    <row r="185" spans="1:18" x14ac:dyDescent="0.2">
      <c r="A185" s="1">
        <v>643</v>
      </c>
      <c r="B185" s="32">
        <v>45140</v>
      </c>
      <c r="C185" s="8" t="s">
        <v>35</v>
      </c>
      <c r="D185" s="8">
        <v>5</v>
      </c>
      <c r="E185" s="8" t="s">
        <v>33</v>
      </c>
      <c r="F185" s="8" t="s">
        <v>11</v>
      </c>
      <c r="G185" s="8" t="s">
        <v>11</v>
      </c>
      <c r="H185" t="s">
        <v>14</v>
      </c>
      <c r="I185" t="s">
        <v>13</v>
      </c>
      <c r="J185" t="s">
        <v>56</v>
      </c>
      <c r="K185">
        <v>15</v>
      </c>
      <c r="L185">
        <v>165</v>
      </c>
      <c r="M185">
        <v>13</v>
      </c>
      <c r="N185">
        <v>152</v>
      </c>
      <c r="O185">
        <v>0.92121212121212126</v>
      </c>
      <c r="P185">
        <v>11</v>
      </c>
      <c r="Q185" s="16">
        <v>451</v>
      </c>
      <c r="R185" s="16">
        <v>463.83333333333331</v>
      </c>
    </row>
    <row r="186" spans="1:18" x14ac:dyDescent="0.2">
      <c r="A186" s="1">
        <v>647</v>
      </c>
      <c r="B186" s="32">
        <v>45141</v>
      </c>
      <c r="C186" s="8" t="s">
        <v>35</v>
      </c>
      <c r="D186" s="8">
        <v>6</v>
      </c>
      <c r="E186" s="8" t="s">
        <v>33</v>
      </c>
      <c r="F186" s="8" t="s">
        <v>11</v>
      </c>
      <c r="G186" s="8" t="s">
        <v>11</v>
      </c>
      <c r="H186" t="s">
        <v>14</v>
      </c>
      <c r="I186" t="s">
        <v>13</v>
      </c>
      <c r="J186" t="s">
        <v>52</v>
      </c>
      <c r="K186">
        <v>22</v>
      </c>
      <c r="L186">
        <v>242</v>
      </c>
      <c r="M186">
        <v>33</v>
      </c>
      <c r="N186">
        <v>209</v>
      </c>
      <c r="O186">
        <v>0.86363636363636365</v>
      </c>
      <c r="P186">
        <v>11</v>
      </c>
      <c r="Q186" s="16">
        <v>627</v>
      </c>
      <c r="R186" s="16">
        <v>463.83333333333331</v>
      </c>
    </row>
    <row r="187" spans="1:18" x14ac:dyDescent="0.2">
      <c r="A187" s="1">
        <v>651</v>
      </c>
      <c r="B187" s="32">
        <v>45142</v>
      </c>
      <c r="C187" s="8" t="s">
        <v>35</v>
      </c>
      <c r="D187" s="8">
        <v>7</v>
      </c>
      <c r="E187" s="8" t="s">
        <v>33</v>
      </c>
      <c r="F187" s="8" t="s">
        <v>11</v>
      </c>
      <c r="G187" s="8" t="s">
        <v>11</v>
      </c>
      <c r="H187" t="s">
        <v>14</v>
      </c>
      <c r="I187" t="s">
        <v>13</v>
      </c>
      <c r="J187" t="s">
        <v>56</v>
      </c>
      <c r="K187">
        <v>21</v>
      </c>
      <c r="L187">
        <v>231</v>
      </c>
      <c r="M187">
        <v>9</v>
      </c>
      <c r="N187">
        <v>222</v>
      </c>
      <c r="O187">
        <v>0.96103896103896103</v>
      </c>
      <c r="P187">
        <v>11</v>
      </c>
      <c r="Q187" s="16">
        <v>231</v>
      </c>
      <c r="R187" s="16">
        <v>460.16666666666669</v>
      </c>
    </row>
    <row r="188" spans="1:18" x14ac:dyDescent="0.2">
      <c r="A188" s="1">
        <v>652</v>
      </c>
      <c r="B188" s="32">
        <v>45144</v>
      </c>
      <c r="C188" s="8" t="s">
        <v>35</v>
      </c>
      <c r="D188" s="8">
        <v>2</v>
      </c>
      <c r="E188" s="8" t="s">
        <v>33</v>
      </c>
      <c r="F188" s="8" t="s">
        <v>11</v>
      </c>
      <c r="G188" s="8" t="s">
        <v>11</v>
      </c>
      <c r="H188" t="s">
        <v>14</v>
      </c>
      <c r="I188" t="s">
        <v>13</v>
      </c>
      <c r="J188" t="s">
        <v>52</v>
      </c>
      <c r="K188">
        <v>19</v>
      </c>
      <c r="L188">
        <v>209</v>
      </c>
      <c r="M188">
        <v>36</v>
      </c>
      <c r="N188">
        <v>173</v>
      </c>
      <c r="O188">
        <v>0.82775119617224879</v>
      </c>
      <c r="P188">
        <v>11</v>
      </c>
      <c r="Q188" s="16">
        <v>583</v>
      </c>
      <c r="R188" s="16">
        <v>467.5</v>
      </c>
    </row>
    <row r="189" spans="1:18" x14ac:dyDescent="0.2">
      <c r="A189" s="1">
        <v>656</v>
      </c>
      <c r="B189" s="32">
        <v>45145</v>
      </c>
      <c r="C189" s="8" t="s">
        <v>35</v>
      </c>
      <c r="D189" s="8">
        <v>3</v>
      </c>
      <c r="E189" s="8" t="s">
        <v>33</v>
      </c>
      <c r="F189" s="8" t="s">
        <v>11</v>
      </c>
      <c r="G189" s="8" t="s">
        <v>11</v>
      </c>
      <c r="H189" t="s">
        <v>14</v>
      </c>
      <c r="I189" t="s">
        <v>13</v>
      </c>
      <c r="J189" t="s">
        <v>56</v>
      </c>
      <c r="K189">
        <v>16</v>
      </c>
      <c r="L189">
        <v>176</v>
      </c>
      <c r="M189">
        <v>5</v>
      </c>
      <c r="N189">
        <v>171</v>
      </c>
      <c r="O189">
        <v>0.97159090909090906</v>
      </c>
      <c r="P189">
        <v>11</v>
      </c>
      <c r="Q189" s="16">
        <v>528</v>
      </c>
      <c r="R189" s="16">
        <v>469.33333333333331</v>
      </c>
    </row>
    <row r="190" spans="1:18" x14ac:dyDescent="0.2">
      <c r="A190" s="1">
        <v>660</v>
      </c>
      <c r="B190" s="32">
        <v>45146</v>
      </c>
      <c r="C190" s="8" t="s">
        <v>35</v>
      </c>
      <c r="D190" s="8">
        <v>4</v>
      </c>
      <c r="E190" s="8" t="s">
        <v>33</v>
      </c>
      <c r="F190" s="8" t="s">
        <v>11</v>
      </c>
      <c r="G190" s="8" t="s">
        <v>11</v>
      </c>
      <c r="H190" t="s">
        <v>14</v>
      </c>
      <c r="I190" t="s">
        <v>13</v>
      </c>
      <c r="J190" t="s">
        <v>52</v>
      </c>
      <c r="K190">
        <v>16</v>
      </c>
      <c r="L190">
        <v>176</v>
      </c>
      <c r="M190">
        <v>50</v>
      </c>
      <c r="N190">
        <v>126</v>
      </c>
      <c r="O190">
        <v>0.71590909090909094</v>
      </c>
      <c r="P190">
        <v>11</v>
      </c>
      <c r="Q190" s="16">
        <v>418</v>
      </c>
      <c r="R190" s="16">
        <v>473</v>
      </c>
    </row>
    <row r="191" spans="1:18" x14ac:dyDescent="0.2">
      <c r="A191" s="1">
        <v>664</v>
      </c>
      <c r="B191" s="32">
        <v>45147</v>
      </c>
      <c r="C191" s="8" t="s">
        <v>35</v>
      </c>
      <c r="D191" s="8">
        <v>5</v>
      </c>
      <c r="E191" s="8" t="s">
        <v>33</v>
      </c>
      <c r="F191" s="8" t="s">
        <v>11</v>
      </c>
      <c r="G191" s="8" t="s">
        <v>11</v>
      </c>
      <c r="H191" t="s">
        <v>14</v>
      </c>
      <c r="I191" t="s">
        <v>13</v>
      </c>
      <c r="J191" t="s">
        <v>56</v>
      </c>
      <c r="K191">
        <v>17</v>
      </c>
      <c r="L191">
        <v>187</v>
      </c>
      <c r="M191">
        <v>46</v>
      </c>
      <c r="N191">
        <v>141</v>
      </c>
      <c r="O191">
        <v>0.75401069518716579</v>
      </c>
      <c r="P191">
        <v>11</v>
      </c>
      <c r="Q191" s="16">
        <v>484</v>
      </c>
      <c r="R191" s="16">
        <v>478.5</v>
      </c>
    </row>
    <row r="192" spans="1:18" x14ac:dyDescent="0.2">
      <c r="A192" s="1">
        <v>668</v>
      </c>
      <c r="B192" s="32">
        <v>45148</v>
      </c>
      <c r="C192" s="8" t="s">
        <v>35</v>
      </c>
      <c r="D192" s="8">
        <v>6</v>
      </c>
      <c r="E192" s="8" t="s">
        <v>33</v>
      </c>
      <c r="F192" s="8" t="s">
        <v>11</v>
      </c>
      <c r="G192" s="8" t="s">
        <v>11</v>
      </c>
      <c r="H192" t="s">
        <v>14</v>
      </c>
      <c r="I192" t="s">
        <v>13</v>
      </c>
      <c r="J192" t="s">
        <v>52</v>
      </c>
      <c r="K192">
        <v>18</v>
      </c>
      <c r="L192">
        <v>198</v>
      </c>
      <c r="M192">
        <v>14</v>
      </c>
      <c r="N192">
        <v>184</v>
      </c>
      <c r="O192">
        <v>0.92929292929292928</v>
      </c>
      <c r="P192">
        <v>11</v>
      </c>
      <c r="Q192" s="16">
        <v>605</v>
      </c>
      <c r="R192" s="16">
        <v>474.83333333333331</v>
      </c>
    </row>
    <row r="193" spans="1:18" x14ac:dyDescent="0.2">
      <c r="A193" s="1">
        <v>672</v>
      </c>
      <c r="B193" s="32">
        <v>45149</v>
      </c>
      <c r="C193" s="8" t="s">
        <v>35</v>
      </c>
      <c r="D193" s="8">
        <v>7</v>
      </c>
      <c r="E193" s="8" t="s">
        <v>33</v>
      </c>
      <c r="F193" s="8" t="s">
        <v>11</v>
      </c>
      <c r="G193" s="8" t="s">
        <v>11</v>
      </c>
      <c r="H193" t="s">
        <v>14</v>
      </c>
      <c r="I193" t="s">
        <v>13</v>
      </c>
      <c r="J193" t="s">
        <v>56</v>
      </c>
      <c r="K193">
        <v>18</v>
      </c>
      <c r="L193">
        <v>198</v>
      </c>
      <c r="M193">
        <v>44</v>
      </c>
      <c r="N193">
        <v>154</v>
      </c>
      <c r="O193">
        <v>0.77777777777777779</v>
      </c>
      <c r="P193">
        <v>11</v>
      </c>
      <c r="Q193" s="16">
        <v>198</v>
      </c>
      <c r="R193" s="16">
        <v>469.33333333333331</v>
      </c>
    </row>
    <row r="194" spans="1:18" x14ac:dyDescent="0.2">
      <c r="A194" s="1">
        <v>673</v>
      </c>
      <c r="B194" s="32">
        <v>45151</v>
      </c>
      <c r="C194" s="8" t="s">
        <v>35</v>
      </c>
      <c r="D194" s="8">
        <v>2</v>
      </c>
      <c r="E194" s="8" t="s">
        <v>33</v>
      </c>
      <c r="F194" s="8" t="s">
        <v>11</v>
      </c>
      <c r="G194" s="8" t="s">
        <v>11</v>
      </c>
      <c r="H194" t="s">
        <v>14</v>
      </c>
      <c r="I194" t="s">
        <v>13</v>
      </c>
      <c r="J194" t="s">
        <v>52</v>
      </c>
      <c r="K194">
        <v>20</v>
      </c>
      <c r="L194">
        <v>220</v>
      </c>
      <c r="M194">
        <v>2</v>
      </c>
      <c r="N194">
        <v>218</v>
      </c>
      <c r="O194">
        <v>0.99090909090909096</v>
      </c>
      <c r="P194">
        <v>11</v>
      </c>
      <c r="Q194" s="16">
        <v>572</v>
      </c>
      <c r="R194" s="16">
        <v>467.5</v>
      </c>
    </row>
    <row r="195" spans="1:18" x14ac:dyDescent="0.2">
      <c r="A195" s="1">
        <v>677</v>
      </c>
      <c r="B195" s="32">
        <v>45152</v>
      </c>
      <c r="C195" s="8" t="s">
        <v>35</v>
      </c>
      <c r="D195" s="8">
        <v>3</v>
      </c>
      <c r="E195" s="8" t="s">
        <v>33</v>
      </c>
      <c r="F195" s="8" t="s">
        <v>11</v>
      </c>
      <c r="G195" s="8" t="s">
        <v>11</v>
      </c>
      <c r="H195" t="s">
        <v>14</v>
      </c>
      <c r="I195" t="s">
        <v>13</v>
      </c>
      <c r="J195" t="s">
        <v>56</v>
      </c>
      <c r="K195">
        <v>18</v>
      </c>
      <c r="L195">
        <v>198</v>
      </c>
      <c r="M195">
        <v>41</v>
      </c>
      <c r="N195">
        <v>157</v>
      </c>
      <c r="O195">
        <v>0.79292929292929293</v>
      </c>
      <c r="P195">
        <v>11</v>
      </c>
      <c r="Q195" s="16">
        <v>539</v>
      </c>
      <c r="R195" s="16">
        <v>469.33333333333331</v>
      </c>
    </row>
    <row r="196" spans="1:18" x14ac:dyDescent="0.2">
      <c r="A196" s="1">
        <v>681</v>
      </c>
      <c r="B196" s="32">
        <v>45153</v>
      </c>
      <c r="C196" s="8" t="s">
        <v>35</v>
      </c>
      <c r="D196" s="8">
        <v>4</v>
      </c>
      <c r="E196" s="8" t="s">
        <v>33</v>
      </c>
      <c r="F196" s="8" t="s">
        <v>11</v>
      </c>
      <c r="G196" s="8" t="s">
        <v>11</v>
      </c>
      <c r="H196" t="s">
        <v>14</v>
      </c>
      <c r="I196" t="s">
        <v>13</v>
      </c>
      <c r="J196" t="s">
        <v>52</v>
      </c>
      <c r="K196">
        <v>16</v>
      </c>
      <c r="L196">
        <v>176</v>
      </c>
      <c r="M196">
        <v>4</v>
      </c>
      <c r="N196">
        <v>172</v>
      </c>
      <c r="O196">
        <v>0.97727272727272729</v>
      </c>
      <c r="P196">
        <v>11</v>
      </c>
      <c r="Q196" s="16">
        <v>440</v>
      </c>
      <c r="R196" s="16">
        <v>473</v>
      </c>
    </row>
    <row r="197" spans="1:18" x14ac:dyDescent="0.2">
      <c r="A197" s="1">
        <v>685</v>
      </c>
      <c r="B197" s="32">
        <v>45154</v>
      </c>
      <c r="C197" s="8" t="s">
        <v>35</v>
      </c>
      <c r="D197" s="8">
        <v>5</v>
      </c>
      <c r="E197" s="8" t="s">
        <v>33</v>
      </c>
      <c r="F197" s="8" t="s">
        <v>11</v>
      </c>
      <c r="G197" s="8" t="s">
        <v>11</v>
      </c>
      <c r="H197" t="s">
        <v>14</v>
      </c>
      <c r="I197" t="s">
        <v>13</v>
      </c>
      <c r="J197" t="s">
        <v>56</v>
      </c>
      <c r="K197">
        <v>15</v>
      </c>
      <c r="L197">
        <v>165</v>
      </c>
      <c r="M197">
        <v>24</v>
      </c>
      <c r="N197">
        <v>141</v>
      </c>
      <c r="O197">
        <v>0.8545454545454545</v>
      </c>
      <c r="P197">
        <v>11</v>
      </c>
      <c r="Q197" s="16">
        <v>451</v>
      </c>
      <c r="R197" s="16">
        <v>467.5</v>
      </c>
    </row>
    <row r="198" spans="1:18" x14ac:dyDescent="0.2">
      <c r="A198" s="1">
        <v>689</v>
      </c>
      <c r="B198" s="32">
        <v>45155</v>
      </c>
      <c r="C198" s="8" t="s">
        <v>35</v>
      </c>
      <c r="D198" s="8">
        <v>6</v>
      </c>
      <c r="E198" s="8" t="s">
        <v>33</v>
      </c>
      <c r="F198" s="8" t="s">
        <v>11</v>
      </c>
      <c r="G198" s="8" t="s">
        <v>11</v>
      </c>
      <c r="H198" t="s">
        <v>14</v>
      </c>
      <c r="I198" t="s">
        <v>13</v>
      </c>
      <c r="J198" t="s">
        <v>52</v>
      </c>
      <c r="K198">
        <v>20</v>
      </c>
      <c r="L198">
        <v>220</v>
      </c>
      <c r="M198">
        <v>31</v>
      </c>
      <c r="N198">
        <v>189</v>
      </c>
      <c r="O198">
        <v>0.85909090909090913</v>
      </c>
      <c r="P198">
        <v>11</v>
      </c>
      <c r="Q198" s="16">
        <v>583</v>
      </c>
      <c r="R198" s="16">
        <v>463.83333333333331</v>
      </c>
    </row>
    <row r="199" spans="1:18" x14ac:dyDescent="0.2">
      <c r="A199" s="1">
        <v>693</v>
      </c>
      <c r="B199" s="32">
        <v>45156</v>
      </c>
      <c r="C199" s="8" t="s">
        <v>35</v>
      </c>
      <c r="D199" s="8">
        <v>7</v>
      </c>
      <c r="E199" s="8" t="s">
        <v>33</v>
      </c>
      <c r="F199" s="8" t="s">
        <v>11</v>
      </c>
      <c r="G199" s="8" t="s">
        <v>11</v>
      </c>
      <c r="H199" t="s">
        <v>14</v>
      </c>
      <c r="I199" t="s">
        <v>13</v>
      </c>
      <c r="J199" t="s">
        <v>56</v>
      </c>
      <c r="K199">
        <v>20</v>
      </c>
      <c r="L199">
        <v>220</v>
      </c>
      <c r="M199">
        <v>21</v>
      </c>
      <c r="N199">
        <v>199</v>
      </c>
      <c r="O199">
        <v>0.90454545454545454</v>
      </c>
      <c r="P199">
        <v>11</v>
      </c>
      <c r="Q199" s="16">
        <v>220</v>
      </c>
      <c r="R199" s="16">
        <v>467.5</v>
      </c>
    </row>
    <row r="200" spans="1:18" x14ac:dyDescent="0.2">
      <c r="A200" s="1">
        <v>694</v>
      </c>
      <c r="B200" s="32">
        <v>45158</v>
      </c>
      <c r="C200" s="8" t="s">
        <v>35</v>
      </c>
      <c r="D200" s="8">
        <v>2</v>
      </c>
      <c r="E200" s="8" t="s">
        <v>33</v>
      </c>
      <c r="F200" s="8" t="s">
        <v>11</v>
      </c>
      <c r="G200" s="8" t="s">
        <v>11</v>
      </c>
      <c r="H200" t="s">
        <v>14</v>
      </c>
      <c r="I200" t="s">
        <v>13</v>
      </c>
      <c r="J200" t="s">
        <v>52</v>
      </c>
      <c r="K200">
        <v>20</v>
      </c>
      <c r="L200">
        <v>220</v>
      </c>
      <c r="M200">
        <v>40</v>
      </c>
      <c r="N200">
        <v>180</v>
      </c>
      <c r="O200">
        <v>0.81818181818181823</v>
      </c>
      <c r="P200">
        <v>11</v>
      </c>
      <c r="Q200" s="16">
        <v>627</v>
      </c>
      <c r="R200" s="16">
        <v>476.66666666666669</v>
      </c>
    </row>
    <row r="201" spans="1:18" x14ac:dyDescent="0.2">
      <c r="A201" s="1">
        <v>698</v>
      </c>
      <c r="B201" s="32">
        <v>45159</v>
      </c>
      <c r="C201" s="8" t="s">
        <v>35</v>
      </c>
      <c r="D201" s="8">
        <v>3</v>
      </c>
      <c r="E201" s="8" t="s">
        <v>33</v>
      </c>
      <c r="F201" s="8" t="s">
        <v>11</v>
      </c>
      <c r="G201" s="8" t="s">
        <v>11</v>
      </c>
      <c r="H201" t="s">
        <v>14</v>
      </c>
      <c r="I201" t="s">
        <v>13</v>
      </c>
      <c r="J201" t="s">
        <v>56</v>
      </c>
      <c r="K201">
        <v>19</v>
      </c>
      <c r="L201">
        <v>209</v>
      </c>
      <c r="M201">
        <v>17</v>
      </c>
      <c r="N201">
        <v>192</v>
      </c>
      <c r="O201">
        <v>0.91866028708133973</v>
      </c>
      <c r="P201">
        <v>11</v>
      </c>
      <c r="Q201" s="16">
        <v>495</v>
      </c>
      <c r="R201" s="16">
        <v>469.33333333333331</v>
      </c>
    </row>
    <row r="202" spans="1:18" x14ac:dyDescent="0.2">
      <c r="A202" s="1">
        <v>702</v>
      </c>
      <c r="B202" s="32">
        <v>45160</v>
      </c>
      <c r="C202" s="8" t="s">
        <v>35</v>
      </c>
      <c r="D202" s="8">
        <v>4</v>
      </c>
      <c r="E202" s="8" t="s">
        <v>33</v>
      </c>
      <c r="F202" s="8" t="s">
        <v>11</v>
      </c>
      <c r="G202" s="8" t="s">
        <v>11</v>
      </c>
      <c r="H202" t="s">
        <v>14</v>
      </c>
      <c r="I202" t="s">
        <v>13</v>
      </c>
      <c r="J202" t="s">
        <v>52</v>
      </c>
      <c r="K202">
        <v>19</v>
      </c>
      <c r="L202">
        <v>209</v>
      </c>
      <c r="M202">
        <v>19</v>
      </c>
      <c r="N202">
        <v>190</v>
      </c>
      <c r="O202">
        <v>0.90909090909090906</v>
      </c>
      <c r="P202">
        <v>11</v>
      </c>
      <c r="Q202" s="16">
        <v>418</v>
      </c>
      <c r="R202" s="16">
        <v>465.66666666666669</v>
      </c>
    </row>
    <row r="203" spans="1:18" x14ac:dyDescent="0.2">
      <c r="A203" s="1">
        <v>706</v>
      </c>
      <c r="B203" s="32">
        <v>45161</v>
      </c>
      <c r="C203" s="8" t="s">
        <v>35</v>
      </c>
      <c r="D203" s="8">
        <v>5</v>
      </c>
      <c r="E203" s="8" t="s">
        <v>33</v>
      </c>
      <c r="F203" s="8" t="s">
        <v>11</v>
      </c>
      <c r="G203" s="8" t="s">
        <v>11</v>
      </c>
      <c r="H203" t="s">
        <v>14</v>
      </c>
      <c r="I203" t="s">
        <v>13</v>
      </c>
      <c r="J203" t="s">
        <v>56</v>
      </c>
      <c r="K203">
        <v>15</v>
      </c>
      <c r="L203">
        <v>165</v>
      </c>
      <c r="M203">
        <v>13</v>
      </c>
      <c r="N203">
        <v>152</v>
      </c>
      <c r="O203">
        <v>0.92121212121212126</v>
      </c>
      <c r="P203">
        <v>11</v>
      </c>
      <c r="Q203" s="16">
        <v>484</v>
      </c>
      <c r="R203" s="16">
        <v>471.16666666666669</v>
      </c>
    </row>
    <row r="204" spans="1:18" x14ac:dyDescent="0.2">
      <c r="A204" s="1">
        <v>710</v>
      </c>
      <c r="B204" s="32">
        <v>45162</v>
      </c>
      <c r="C204" s="8" t="s">
        <v>35</v>
      </c>
      <c r="D204" s="8">
        <v>6</v>
      </c>
      <c r="E204" s="8" t="s">
        <v>33</v>
      </c>
      <c r="F204" s="8" t="s">
        <v>11</v>
      </c>
      <c r="G204" s="8" t="s">
        <v>11</v>
      </c>
      <c r="H204" t="s">
        <v>14</v>
      </c>
      <c r="I204" t="s">
        <v>13</v>
      </c>
      <c r="J204" t="s">
        <v>52</v>
      </c>
      <c r="K204">
        <v>21</v>
      </c>
      <c r="L204">
        <v>231</v>
      </c>
      <c r="M204">
        <v>22</v>
      </c>
      <c r="N204">
        <v>209</v>
      </c>
      <c r="O204">
        <v>0.90476190476190477</v>
      </c>
      <c r="P204">
        <v>11</v>
      </c>
      <c r="Q204" s="16">
        <v>605</v>
      </c>
      <c r="R204" s="16">
        <v>474.83333333333331</v>
      </c>
    </row>
    <row r="205" spans="1:18" x14ac:dyDescent="0.2">
      <c r="A205" s="1">
        <v>714</v>
      </c>
      <c r="B205" s="32">
        <v>45163</v>
      </c>
      <c r="C205" s="8" t="s">
        <v>35</v>
      </c>
      <c r="D205" s="8">
        <v>7</v>
      </c>
      <c r="E205" s="8" t="s">
        <v>33</v>
      </c>
      <c r="F205" s="8" t="s">
        <v>11</v>
      </c>
      <c r="G205" s="8" t="s">
        <v>11</v>
      </c>
      <c r="H205" t="s">
        <v>14</v>
      </c>
      <c r="I205" t="s">
        <v>13</v>
      </c>
      <c r="J205" t="s">
        <v>56</v>
      </c>
      <c r="K205">
        <v>24</v>
      </c>
      <c r="L205">
        <v>264</v>
      </c>
      <c r="M205">
        <v>38</v>
      </c>
      <c r="N205">
        <v>226</v>
      </c>
      <c r="O205">
        <v>0.85606060606060608</v>
      </c>
      <c r="P205">
        <v>11</v>
      </c>
      <c r="Q205" s="16">
        <v>264</v>
      </c>
      <c r="R205" s="16">
        <v>482.16666666666669</v>
      </c>
    </row>
    <row r="206" spans="1:18" x14ac:dyDescent="0.2">
      <c r="A206" s="1">
        <v>715</v>
      </c>
      <c r="B206" s="32">
        <v>45165</v>
      </c>
      <c r="C206" s="8" t="s">
        <v>35</v>
      </c>
      <c r="D206" s="8">
        <v>2</v>
      </c>
      <c r="E206" s="8" t="s">
        <v>33</v>
      </c>
      <c r="F206" s="8" t="s">
        <v>11</v>
      </c>
      <c r="G206" s="8" t="s">
        <v>11</v>
      </c>
      <c r="H206" t="s">
        <v>14</v>
      </c>
      <c r="I206" t="s">
        <v>13</v>
      </c>
      <c r="J206" t="s">
        <v>52</v>
      </c>
      <c r="K206">
        <v>21</v>
      </c>
      <c r="L206">
        <v>231</v>
      </c>
      <c r="M206">
        <v>27</v>
      </c>
      <c r="N206">
        <v>204</v>
      </c>
      <c r="O206">
        <v>0.88311688311688308</v>
      </c>
      <c r="P206">
        <v>11</v>
      </c>
      <c r="Q206" s="16">
        <v>594</v>
      </c>
      <c r="R206" s="16">
        <v>476.66666666666669</v>
      </c>
    </row>
    <row r="207" spans="1:18" x14ac:dyDescent="0.2">
      <c r="A207" s="1">
        <v>719</v>
      </c>
      <c r="B207" s="32">
        <v>45166</v>
      </c>
      <c r="C207" s="8" t="s">
        <v>35</v>
      </c>
      <c r="D207" s="8">
        <v>3</v>
      </c>
      <c r="E207" s="8" t="s">
        <v>33</v>
      </c>
      <c r="F207" s="8" t="s">
        <v>11</v>
      </c>
      <c r="G207" s="8" t="s">
        <v>11</v>
      </c>
      <c r="H207" t="s">
        <v>14</v>
      </c>
      <c r="I207" t="s">
        <v>13</v>
      </c>
      <c r="J207" t="s">
        <v>56</v>
      </c>
      <c r="K207">
        <v>19</v>
      </c>
      <c r="L207">
        <v>209</v>
      </c>
      <c r="M207">
        <v>12</v>
      </c>
      <c r="N207">
        <v>197</v>
      </c>
      <c r="O207">
        <v>0.9425837320574163</v>
      </c>
      <c r="P207">
        <v>11</v>
      </c>
      <c r="Q207" s="16">
        <v>506</v>
      </c>
      <c r="R207" s="16">
        <v>478.5</v>
      </c>
    </row>
    <row r="208" spans="1:18" x14ac:dyDescent="0.2">
      <c r="A208" s="1">
        <v>723</v>
      </c>
      <c r="B208" s="32">
        <v>45167</v>
      </c>
      <c r="C208" s="8" t="s">
        <v>35</v>
      </c>
      <c r="D208" s="8">
        <v>4</v>
      </c>
      <c r="E208" s="8" t="s">
        <v>33</v>
      </c>
      <c r="F208" s="8" t="s">
        <v>11</v>
      </c>
      <c r="G208" s="8" t="s">
        <v>11</v>
      </c>
      <c r="H208" t="s">
        <v>14</v>
      </c>
      <c r="I208" t="s">
        <v>13</v>
      </c>
      <c r="J208" t="s">
        <v>52</v>
      </c>
      <c r="K208">
        <v>15</v>
      </c>
      <c r="L208">
        <v>165</v>
      </c>
      <c r="M208">
        <v>36</v>
      </c>
      <c r="N208">
        <v>129</v>
      </c>
      <c r="O208">
        <v>0.78181818181818186</v>
      </c>
      <c r="P208">
        <v>11</v>
      </c>
      <c r="Q208" s="16">
        <v>385</v>
      </c>
      <c r="R208" s="16">
        <v>473</v>
      </c>
    </row>
    <row r="209" spans="1:18" x14ac:dyDescent="0.2">
      <c r="A209" s="1">
        <v>727</v>
      </c>
      <c r="B209" s="32">
        <v>45168</v>
      </c>
      <c r="C209" s="8" t="s">
        <v>35</v>
      </c>
      <c r="D209" s="8">
        <v>5</v>
      </c>
      <c r="E209" s="8" t="s">
        <v>33</v>
      </c>
      <c r="F209" s="8" t="s">
        <v>11</v>
      </c>
      <c r="G209" s="8" t="s">
        <v>11</v>
      </c>
      <c r="H209" t="s">
        <v>14</v>
      </c>
      <c r="I209" t="s">
        <v>13</v>
      </c>
      <c r="J209" t="s">
        <v>56</v>
      </c>
      <c r="K209">
        <v>17</v>
      </c>
      <c r="L209">
        <v>187</v>
      </c>
      <c r="M209">
        <v>20</v>
      </c>
      <c r="N209">
        <v>167</v>
      </c>
      <c r="O209">
        <v>0.89304812834224601</v>
      </c>
      <c r="P209">
        <v>11</v>
      </c>
      <c r="Q209" s="16">
        <v>517</v>
      </c>
      <c r="R209" s="16">
        <v>478.5</v>
      </c>
    </row>
    <row r="210" spans="1:18" x14ac:dyDescent="0.2">
      <c r="A210" s="1">
        <v>731</v>
      </c>
      <c r="B210" s="32">
        <v>45169</v>
      </c>
      <c r="C210" s="8" t="s">
        <v>35</v>
      </c>
      <c r="D210" s="8">
        <v>6</v>
      </c>
      <c r="E210" s="8" t="s">
        <v>33</v>
      </c>
      <c r="F210" s="8" t="s">
        <v>11</v>
      </c>
      <c r="G210" s="8" t="s">
        <v>11</v>
      </c>
      <c r="H210" t="s">
        <v>14</v>
      </c>
      <c r="I210" t="s">
        <v>13</v>
      </c>
      <c r="J210" t="s">
        <v>52</v>
      </c>
      <c r="K210">
        <v>21</v>
      </c>
      <c r="L210">
        <v>231</v>
      </c>
      <c r="M210">
        <v>39</v>
      </c>
      <c r="N210">
        <v>192</v>
      </c>
      <c r="O210">
        <v>0.83116883116883122</v>
      </c>
      <c r="P210">
        <v>11</v>
      </c>
      <c r="Q210" s="16">
        <v>605</v>
      </c>
      <c r="R210" s="16">
        <v>478.5</v>
      </c>
    </row>
    <row r="211" spans="1:18" x14ac:dyDescent="0.2">
      <c r="A211" s="1">
        <v>735</v>
      </c>
      <c r="B211" s="32">
        <v>45170</v>
      </c>
      <c r="C211" s="8" t="s">
        <v>36</v>
      </c>
      <c r="D211" s="8">
        <v>7</v>
      </c>
      <c r="E211" s="8" t="s">
        <v>33</v>
      </c>
      <c r="F211" s="8" t="s">
        <v>11</v>
      </c>
      <c r="G211" s="8" t="s">
        <v>11</v>
      </c>
      <c r="H211" t="s">
        <v>14</v>
      </c>
      <c r="I211" t="s">
        <v>13</v>
      </c>
      <c r="J211" t="s">
        <v>56</v>
      </c>
      <c r="K211">
        <v>24</v>
      </c>
      <c r="L211">
        <v>264</v>
      </c>
      <c r="M211">
        <v>16</v>
      </c>
      <c r="N211">
        <v>248</v>
      </c>
      <c r="O211">
        <v>0.93939393939393945</v>
      </c>
      <c r="P211">
        <v>11</v>
      </c>
      <c r="Q211" s="16">
        <v>264</v>
      </c>
      <c r="R211" s="16">
        <v>478.5</v>
      </c>
    </row>
    <row r="212" spans="1:18" x14ac:dyDescent="0.2">
      <c r="A212" s="1">
        <v>736</v>
      </c>
      <c r="B212" s="32">
        <v>45172</v>
      </c>
      <c r="C212" s="8" t="s">
        <v>36</v>
      </c>
      <c r="D212" s="8">
        <v>2</v>
      </c>
      <c r="E212" s="8" t="s">
        <v>33</v>
      </c>
      <c r="F212" s="8" t="s">
        <v>10</v>
      </c>
      <c r="G212" s="8" t="s">
        <v>11</v>
      </c>
      <c r="H212" t="s">
        <v>37</v>
      </c>
      <c r="I212" t="s">
        <v>13</v>
      </c>
      <c r="J212" t="s">
        <v>52</v>
      </c>
      <c r="K212">
        <v>22</v>
      </c>
      <c r="L212">
        <v>242</v>
      </c>
      <c r="M212">
        <v>9</v>
      </c>
      <c r="N212">
        <v>233</v>
      </c>
      <c r="O212">
        <v>0.96280991735537191</v>
      </c>
      <c r="P212">
        <v>11</v>
      </c>
      <c r="Q212" s="16">
        <v>583</v>
      </c>
      <c r="R212" s="16">
        <v>476.66666666666669</v>
      </c>
    </row>
    <row r="213" spans="1:18" x14ac:dyDescent="0.2">
      <c r="A213" s="1">
        <v>740</v>
      </c>
      <c r="B213" s="32">
        <v>45173</v>
      </c>
      <c r="C213" s="8" t="s">
        <v>36</v>
      </c>
      <c r="D213" s="8">
        <v>3</v>
      </c>
      <c r="E213" s="8" t="s">
        <v>33</v>
      </c>
      <c r="F213" s="8" t="s">
        <v>11</v>
      </c>
      <c r="G213" s="8" t="s">
        <v>11</v>
      </c>
      <c r="H213" t="s">
        <v>14</v>
      </c>
      <c r="I213" t="s">
        <v>13</v>
      </c>
      <c r="J213" t="s">
        <v>56</v>
      </c>
      <c r="K213">
        <v>15</v>
      </c>
      <c r="L213">
        <v>165</v>
      </c>
      <c r="M213">
        <v>14</v>
      </c>
      <c r="N213">
        <v>151</v>
      </c>
      <c r="O213">
        <v>0.91515151515151516</v>
      </c>
      <c r="P213">
        <v>11</v>
      </c>
      <c r="Q213" s="16">
        <v>495</v>
      </c>
      <c r="R213" s="16">
        <v>474.83333333333331</v>
      </c>
    </row>
    <row r="214" spans="1:18" x14ac:dyDescent="0.2">
      <c r="A214" s="1">
        <v>744</v>
      </c>
      <c r="B214" s="32">
        <v>45174</v>
      </c>
      <c r="C214" s="8" t="s">
        <v>36</v>
      </c>
      <c r="D214" s="8">
        <v>4</v>
      </c>
      <c r="E214" s="8" t="s">
        <v>33</v>
      </c>
      <c r="F214" s="8" t="s">
        <v>11</v>
      </c>
      <c r="G214" s="8" t="s">
        <v>11</v>
      </c>
      <c r="H214" t="s">
        <v>14</v>
      </c>
      <c r="I214" t="s">
        <v>13</v>
      </c>
      <c r="J214" t="s">
        <v>52</v>
      </c>
      <c r="K214">
        <v>17</v>
      </c>
      <c r="L214">
        <v>187</v>
      </c>
      <c r="M214">
        <v>10</v>
      </c>
      <c r="N214">
        <v>177</v>
      </c>
      <c r="O214">
        <v>0.946524064171123</v>
      </c>
      <c r="P214">
        <v>11</v>
      </c>
      <c r="Q214" s="16">
        <v>440</v>
      </c>
      <c r="R214" s="16">
        <v>484</v>
      </c>
    </row>
    <row r="215" spans="1:18" x14ac:dyDescent="0.2">
      <c r="A215" s="1">
        <v>748</v>
      </c>
      <c r="B215" s="32">
        <v>45175</v>
      </c>
      <c r="C215" s="8" t="s">
        <v>36</v>
      </c>
      <c r="D215" s="8">
        <v>5</v>
      </c>
      <c r="E215" s="8" t="s">
        <v>33</v>
      </c>
      <c r="F215" s="8" t="s">
        <v>11</v>
      </c>
      <c r="G215" s="8" t="s">
        <v>11</v>
      </c>
      <c r="H215" t="s">
        <v>14</v>
      </c>
      <c r="I215" t="s">
        <v>13</v>
      </c>
      <c r="J215" t="s">
        <v>56</v>
      </c>
      <c r="K215">
        <v>15</v>
      </c>
      <c r="L215">
        <v>165</v>
      </c>
      <c r="M215">
        <v>27</v>
      </c>
      <c r="N215">
        <v>138</v>
      </c>
      <c r="O215">
        <v>0.83636363636363631</v>
      </c>
      <c r="P215">
        <v>11</v>
      </c>
      <c r="Q215" s="16">
        <v>484</v>
      </c>
      <c r="R215" s="16">
        <v>478.5</v>
      </c>
    </row>
    <row r="216" spans="1:18" x14ac:dyDescent="0.2">
      <c r="A216" s="1">
        <v>752</v>
      </c>
      <c r="B216" s="32">
        <v>45176</v>
      </c>
      <c r="C216" s="8" t="s">
        <v>36</v>
      </c>
      <c r="D216" s="8">
        <v>6</v>
      </c>
      <c r="E216" s="8" t="s">
        <v>33</v>
      </c>
      <c r="F216" s="8" t="s">
        <v>11</v>
      </c>
      <c r="G216" s="8" t="s">
        <v>11</v>
      </c>
      <c r="H216" t="s">
        <v>14</v>
      </c>
      <c r="I216" t="s">
        <v>13</v>
      </c>
      <c r="J216" t="s">
        <v>52</v>
      </c>
      <c r="K216">
        <v>22</v>
      </c>
      <c r="L216">
        <v>242</v>
      </c>
      <c r="M216">
        <v>27</v>
      </c>
      <c r="N216">
        <v>215</v>
      </c>
      <c r="O216">
        <v>0.88842975206611574</v>
      </c>
      <c r="P216">
        <v>11</v>
      </c>
      <c r="Q216" s="16">
        <v>638</v>
      </c>
      <c r="R216" s="16">
        <v>484</v>
      </c>
    </row>
    <row r="217" spans="1:18" x14ac:dyDescent="0.2">
      <c r="A217" s="1">
        <v>756</v>
      </c>
      <c r="B217" s="32">
        <v>45177</v>
      </c>
      <c r="C217" s="8" t="s">
        <v>36</v>
      </c>
      <c r="D217" s="8">
        <v>7</v>
      </c>
      <c r="E217" s="8" t="s">
        <v>33</v>
      </c>
      <c r="F217" s="8" t="s">
        <v>11</v>
      </c>
      <c r="G217" s="8" t="s">
        <v>11</v>
      </c>
      <c r="H217" t="s">
        <v>14</v>
      </c>
      <c r="I217" t="s">
        <v>13</v>
      </c>
      <c r="J217" t="s">
        <v>56</v>
      </c>
      <c r="K217">
        <v>19</v>
      </c>
      <c r="L217">
        <v>209</v>
      </c>
      <c r="M217">
        <v>15</v>
      </c>
      <c r="N217">
        <v>194</v>
      </c>
      <c r="O217">
        <v>0.92822966507177029</v>
      </c>
      <c r="P217">
        <v>11</v>
      </c>
      <c r="Q217" s="16">
        <v>209</v>
      </c>
      <c r="R217" s="16">
        <v>474.83333333333331</v>
      </c>
    </row>
    <row r="218" spans="1:18" x14ac:dyDescent="0.2">
      <c r="A218" s="1">
        <v>757</v>
      </c>
      <c r="B218" s="32">
        <v>45179</v>
      </c>
      <c r="C218" s="8" t="s">
        <v>36</v>
      </c>
      <c r="D218" s="8">
        <v>2</v>
      </c>
      <c r="E218" s="8" t="s">
        <v>33</v>
      </c>
      <c r="F218" s="8" t="s">
        <v>11</v>
      </c>
      <c r="G218" s="8" t="s">
        <v>11</v>
      </c>
      <c r="H218" t="s">
        <v>14</v>
      </c>
      <c r="I218" t="s">
        <v>13</v>
      </c>
      <c r="J218" t="s">
        <v>52</v>
      </c>
      <c r="K218">
        <v>23</v>
      </c>
      <c r="L218">
        <v>253</v>
      </c>
      <c r="M218">
        <v>3</v>
      </c>
      <c r="N218">
        <v>250</v>
      </c>
      <c r="O218">
        <v>0.98814229249011853</v>
      </c>
      <c r="P218">
        <v>11</v>
      </c>
      <c r="Q218" s="16">
        <v>649</v>
      </c>
      <c r="R218" s="16">
        <v>485.83333333333331</v>
      </c>
    </row>
    <row r="219" spans="1:18" x14ac:dyDescent="0.2">
      <c r="A219" s="1">
        <v>761</v>
      </c>
      <c r="B219" s="32">
        <v>45180</v>
      </c>
      <c r="C219" s="8" t="s">
        <v>36</v>
      </c>
      <c r="D219" s="8">
        <v>3</v>
      </c>
      <c r="E219" s="8" t="s">
        <v>33</v>
      </c>
      <c r="F219" s="8" t="s">
        <v>11</v>
      </c>
      <c r="G219" s="8" t="s">
        <v>11</v>
      </c>
      <c r="H219" t="s">
        <v>14</v>
      </c>
      <c r="I219" t="s">
        <v>13</v>
      </c>
      <c r="J219" t="s">
        <v>56</v>
      </c>
      <c r="K219">
        <v>17</v>
      </c>
      <c r="L219">
        <v>187</v>
      </c>
      <c r="M219">
        <v>28</v>
      </c>
      <c r="N219">
        <v>159</v>
      </c>
      <c r="O219">
        <v>0.85026737967914434</v>
      </c>
      <c r="P219">
        <v>11</v>
      </c>
      <c r="Q219" s="16">
        <v>517</v>
      </c>
      <c r="R219" s="16">
        <v>489.5</v>
      </c>
    </row>
    <row r="220" spans="1:18" x14ac:dyDescent="0.2">
      <c r="A220" s="1">
        <v>765</v>
      </c>
      <c r="B220" s="32">
        <v>45181</v>
      </c>
      <c r="C220" s="8" t="s">
        <v>36</v>
      </c>
      <c r="D220" s="8">
        <v>4</v>
      </c>
      <c r="E220" s="8" t="s">
        <v>33</v>
      </c>
      <c r="F220" s="8" t="s">
        <v>11</v>
      </c>
      <c r="G220" s="8" t="s">
        <v>11</v>
      </c>
      <c r="H220" t="s">
        <v>14</v>
      </c>
      <c r="I220" t="s">
        <v>13</v>
      </c>
      <c r="J220" t="s">
        <v>52</v>
      </c>
      <c r="K220">
        <v>15</v>
      </c>
      <c r="L220">
        <v>165</v>
      </c>
      <c r="M220">
        <v>20</v>
      </c>
      <c r="N220">
        <v>145</v>
      </c>
      <c r="O220">
        <v>0.87878787878787878</v>
      </c>
      <c r="P220">
        <v>11</v>
      </c>
      <c r="Q220" s="16">
        <v>418</v>
      </c>
      <c r="R220" s="16">
        <v>485.83333333333331</v>
      </c>
    </row>
    <row r="221" spans="1:18" x14ac:dyDescent="0.2">
      <c r="A221" s="1">
        <v>769</v>
      </c>
      <c r="B221" s="32">
        <v>45182</v>
      </c>
      <c r="C221" s="8" t="s">
        <v>36</v>
      </c>
      <c r="D221" s="8">
        <v>5</v>
      </c>
      <c r="E221" s="8" t="s">
        <v>33</v>
      </c>
      <c r="F221" s="8" t="s">
        <v>11</v>
      </c>
      <c r="G221" s="8" t="s">
        <v>11</v>
      </c>
      <c r="H221" t="s">
        <v>14</v>
      </c>
      <c r="I221" t="s">
        <v>13</v>
      </c>
      <c r="J221" t="s">
        <v>56</v>
      </c>
      <c r="K221">
        <v>16</v>
      </c>
      <c r="L221">
        <v>176</v>
      </c>
      <c r="M221">
        <v>3</v>
      </c>
      <c r="N221">
        <v>173</v>
      </c>
      <c r="O221">
        <v>0.98295454545454541</v>
      </c>
      <c r="P221">
        <v>11</v>
      </c>
      <c r="Q221" s="16">
        <v>473</v>
      </c>
      <c r="R221" s="16">
        <v>484</v>
      </c>
    </row>
    <row r="222" spans="1:18" x14ac:dyDescent="0.2">
      <c r="A222" s="1">
        <v>773</v>
      </c>
      <c r="B222" s="32">
        <v>45183</v>
      </c>
      <c r="C222" s="8" t="s">
        <v>36</v>
      </c>
      <c r="D222" s="8">
        <v>6</v>
      </c>
      <c r="E222" s="8" t="s">
        <v>33</v>
      </c>
      <c r="F222" s="8" t="s">
        <v>11</v>
      </c>
      <c r="G222" s="8" t="s">
        <v>11</v>
      </c>
      <c r="H222" t="s">
        <v>14</v>
      </c>
      <c r="I222" t="s">
        <v>13</v>
      </c>
      <c r="J222" t="s">
        <v>52</v>
      </c>
      <c r="K222">
        <v>18</v>
      </c>
      <c r="L222">
        <v>198</v>
      </c>
      <c r="M222">
        <v>15</v>
      </c>
      <c r="N222">
        <v>183</v>
      </c>
      <c r="O222">
        <v>0.9242424242424242</v>
      </c>
      <c r="P222">
        <v>11</v>
      </c>
      <c r="Q222" s="16">
        <v>572</v>
      </c>
      <c r="R222" s="16">
        <v>473</v>
      </c>
    </row>
    <row r="223" spans="1:18" x14ac:dyDescent="0.2">
      <c r="A223" s="1">
        <v>777</v>
      </c>
      <c r="B223" s="32">
        <v>45184</v>
      </c>
      <c r="C223" s="8" t="s">
        <v>36</v>
      </c>
      <c r="D223" s="8">
        <v>7</v>
      </c>
      <c r="E223" s="8" t="s">
        <v>33</v>
      </c>
      <c r="F223" s="8" t="s">
        <v>11</v>
      </c>
      <c r="G223" s="8" t="s">
        <v>11</v>
      </c>
      <c r="H223" t="s">
        <v>14</v>
      </c>
      <c r="I223" t="s">
        <v>13</v>
      </c>
      <c r="J223" t="s">
        <v>56</v>
      </c>
      <c r="K223">
        <v>23</v>
      </c>
      <c r="L223">
        <v>253</v>
      </c>
      <c r="M223">
        <v>27</v>
      </c>
      <c r="N223">
        <v>226</v>
      </c>
      <c r="O223">
        <v>0.89328063241106714</v>
      </c>
      <c r="P223">
        <v>11</v>
      </c>
      <c r="Q223" s="16">
        <v>253</v>
      </c>
      <c r="R223" s="16">
        <v>480.33333333333331</v>
      </c>
    </row>
    <row r="224" spans="1:18" x14ac:dyDescent="0.2">
      <c r="A224" s="1">
        <v>778</v>
      </c>
      <c r="B224" s="32">
        <v>45186</v>
      </c>
      <c r="C224" s="8" t="s">
        <v>36</v>
      </c>
      <c r="D224" s="8">
        <v>2</v>
      </c>
      <c r="E224" s="8" t="s">
        <v>33</v>
      </c>
      <c r="F224" s="8" t="s">
        <v>11</v>
      </c>
      <c r="G224" s="8" t="s">
        <v>11</v>
      </c>
      <c r="H224" t="s">
        <v>14</v>
      </c>
      <c r="I224" t="s">
        <v>13</v>
      </c>
      <c r="J224" t="s">
        <v>52</v>
      </c>
      <c r="K224">
        <v>19</v>
      </c>
      <c r="L224">
        <v>209</v>
      </c>
      <c r="M224">
        <v>18</v>
      </c>
      <c r="N224">
        <v>191</v>
      </c>
      <c r="O224">
        <v>0.9138755980861244</v>
      </c>
      <c r="P224">
        <v>11</v>
      </c>
      <c r="Q224" s="16">
        <v>583</v>
      </c>
      <c r="R224" s="16">
        <v>469.33333333333331</v>
      </c>
    </row>
    <row r="225" spans="1:18" x14ac:dyDescent="0.2">
      <c r="A225" s="1">
        <v>782</v>
      </c>
      <c r="B225" s="32">
        <v>45187</v>
      </c>
      <c r="C225" s="8" t="s">
        <v>36</v>
      </c>
      <c r="D225" s="8">
        <v>3</v>
      </c>
      <c r="E225" s="8" t="s">
        <v>33</v>
      </c>
      <c r="F225" s="8" t="s">
        <v>11</v>
      </c>
      <c r="G225" s="8" t="s">
        <v>11</v>
      </c>
      <c r="H225" t="s">
        <v>14</v>
      </c>
      <c r="I225" t="s">
        <v>13</v>
      </c>
      <c r="J225" t="s">
        <v>56</v>
      </c>
      <c r="K225">
        <v>16</v>
      </c>
      <c r="L225">
        <v>176</v>
      </c>
      <c r="M225">
        <v>36</v>
      </c>
      <c r="N225">
        <v>140</v>
      </c>
      <c r="O225">
        <v>0.79545454545454541</v>
      </c>
      <c r="P225">
        <v>11</v>
      </c>
      <c r="Q225" s="16">
        <v>495</v>
      </c>
      <c r="R225" s="16">
        <v>465.66666666666669</v>
      </c>
    </row>
    <row r="226" spans="1:18" x14ac:dyDescent="0.2">
      <c r="A226" s="1">
        <v>786</v>
      </c>
      <c r="B226" s="32">
        <v>45188</v>
      </c>
      <c r="C226" s="8" t="s">
        <v>36</v>
      </c>
      <c r="D226" s="8">
        <v>4</v>
      </c>
      <c r="E226" s="8" t="s">
        <v>33</v>
      </c>
      <c r="F226" s="8" t="s">
        <v>11</v>
      </c>
      <c r="G226" s="8" t="s">
        <v>11</v>
      </c>
      <c r="H226" t="s">
        <v>14</v>
      </c>
      <c r="I226" t="s">
        <v>13</v>
      </c>
      <c r="J226" t="s">
        <v>52</v>
      </c>
      <c r="K226">
        <v>16</v>
      </c>
      <c r="L226">
        <v>176</v>
      </c>
      <c r="M226">
        <v>16</v>
      </c>
      <c r="N226">
        <v>160</v>
      </c>
      <c r="O226">
        <v>0.90909090909090906</v>
      </c>
      <c r="P226">
        <v>11</v>
      </c>
      <c r="Q226" s="16">
        <v>440</v>
      </c>
      <c r="R226" s="16">
        <v>469.33333333333331</v>
      </c>
    </row>
    <row r="227" spans="1:18" x14ac:dyDescent="0.2">
      <c r="A227" s="1">
        <v>790</v>
      </c>
      <c r="B227" s="32">
        <v>45189</v>
      </c>
      <c r="C227" s="8" t="s">
        <v>36</v>
      </c>
      <c r="D227" s="8">
        <v>5</v>
      </c>
      <c r="E227" s="8" t="s">
        <v>33</v>
      </c>
      <c r="F227" s="8" t="s">
        <v>11</v>
      </c>
      <c r="G227" s="8" t="s">
        <v>11</v>
      </c>
      <c r="H227" t="s">
        <v>14</v>
      </c>
      <c r="I227" t="s">
        <v>13</v>
      </c>
      <c r="J227" t="s">
        <v>56</v>
      </c>
      <c r="K227">
        <v>17</v>
      </c>
      <c r="L227">
        <v>187</v>
      </c>
      <c r="M227">
        <v>50</v>
      </c>
      <c r="N227">
        <v>137</v>
      </c>
      <c r="O227">
        <v>0.73262032085561501</v>
      </c>
      <c r="P227">
        <v>11</v>
      </c>
      <c r="Q227" s="16">
        <v>539</v>
      </c>
      <c r="R227" s="16">
        <v>480.33333333333331</v>
      </c>
    </row>
    <row r="228" spans="1:18" x14ac:dyDescent="0.2">
      <c r="A228" s="1">
        <v>794</v>
      </c>
      <c r="B228" s="32">
        <v>45190</v>
      </c>
      <c r="C228" s="8" t="s">
        <v>36</v>
      </c>
      <c r="D228" s="8">
        <v>6</v>
      </c>
      <c r="E228" s="8" t="s">
        <v>33</v>
      </c>
      <c r="F228" s="8" t="s">
        <v>11</v>
      </c>
      <c r="G228" s="8" t="s">
        <v>11</v>
      </c>
      <c r="H228" t="s">
        <v>14</v>
      </c>
      <c r="I228" t="s">
        <v>13</v>
      </c>
      <c r="J228" t="s">
        <v>52</v>
      </c>
      <c r="K228">
        <v>20</v>
      </c>
      <c r="L228">
        <v>220</v>
      </c>
      <c r="M228">
        <v>49</v>
      </c>
      <c r="N228">
        <v>171</v>
      </c>
      <c r="O228">
        <v>0.77727272727272723</v>
      </c>
      <c r="P228">
        <v>11</v>
      </c>
      <c r="Q228" s="16">
        <v>627</v>
      </c>
      <c r="R228" s="16">
        <v>489.5</v>
      </c>
    </row>
    <row r="229" spans="1:18" x14ac:dyDescent="0.2">
      <c r="A229" s="1">
        <v>798</v>
      </c>
      <c r="B229" s="32">
        <v>45191</v>
      </c>
      <c r="C229" s="8" t="s">
        <v>36</v>
      </c>
      <c r="D229" s="8">
        <v>7</v>
      </c>
      <c r="E229" s="8" t="s">
        <v>33</v>
      </c>
      <c r="F229" s="8" t="s">
        <v>11</v>
      </c>
      <c r="G229" s="8" t="s">
        <v>11</v>
      </c>
      <c r="H229" t="s">
        <v>14</v>
      </c>
      <c r="I229" t="s">
        <v>13</v>
      </c>
      <c r="J229" t="s">
        <v>56</v>
      </c>
      <c r="K229">
        <v>19</v>
      </c>
      <c r="L229">
        <v>209</v>
      </c>
      <c r="M229">
        <v>50</v>
      </c>
      <c r="N229">
        <v>159</v>
      </c>
      <c r="O229">
        <v>0.76076555023923442</v>
      </c>
      <c r="P229">
        <v>11</v>
      </c>
      <c r="Q229" s="16">
        <v>209</v>
      </c>
      <c r="R229" s="16">
        <v>482.16666666666669</v>
      </c>
    </row>
    <row r="230" spans="1:18" x14ac:dyDescent="0.2">
      <c r="A230" s="1">
        <v>799</v>
      </c>
      <c r="B230" s="32">
        <v>45193</v>
      </c>
      <c r="C230" s="8" t="s">
        <v>36</v>
      </c>
      <c r="D230" s="8">
        <v>2</v>
      </c>
      <c r="E230" s="8" t="s">
        <v>33</v>
      </c>
      <c r="F230" s="8" t="s">
        <v>11</v>
      </c>
      <c r="G230" s="8" t="s">
        <v>10</v>
      </c>
      <c r="H230" t="s">
        <v>38</v>
      </c>
      <c r="I230" t="s">
        <v>13</v>
      </c>
      <c r="J230" t="s">
        <v>52</v>
      </c>
      <c r="K230">
        <v>23</v>
      </c>
      <c r="L230">
        <v>229</v>
      </c>
      <c r="M230">
        <v>32</v>
      </c>
      <c r="N230">
        <v>197</v>
      </c>
      <c r="O230">
        <v>0.86026200873362446</v>
      </c>
      <c r="P230">
        <v>9.9565217391304355</v>
      </c>
      <c r="Q230" s="16">
        <v>955</v>
      </c>
      <c r="R230" s="16">
        <v>544.16666666666663</v>
      </c>
    </row>
    <row r="231" spans="1:18" x14ac:dyDescent="0.2">
      <c r="A231" s="1">
        <v>803</v>
      </c>
      <c r="B231" s="32">
        <v>45194</v>
      </c>
      <c r="C231" s="8" t="s">
        <v>36</v>
      </c>
      <c r="D231" s="8">
        <v>3</v>
      </c>
      <c r="E231" s="8" t="s">
        <v>33</v>
      </c>
      <c r="F231" s="8" t="s">
        <v>11</v>
      </c>
      <c r="G231" s="8" t="s">
        <v>10</v>
      </c>
      <c r="H231" t="s">
        <v>38</v>
      </c>
      <c r="I231" t="s">
        <v>13</v>
      </c>
      <c r="J231" t="s">
        <v>56</v>
      </c>
      <c r="K231">
        <v>21</v>
      </c>
      <c r="L231">
        <v>191</v>
      </c>
      <c r="M231">
        <v>4</v>
      </c>
      <c r="N231">
        <v>187</v>
      </c>
      <c r="O231">
        <v>0.97905759162303663</v>
      </c>
      <c r="P231">
        <v>9.0952380952380949</v>
      </c>
      <c r="Q231" s="16">
        <v>806</v>
      </c>
      <c r="R231" s="16">
        <v>596</v>
      </c>
    </row>
    <row r="232" spans="1:18" x14ac:dyDescent="0.2">
      <c r="A232" s="1">
        <v>807</v>
      </c>
      <c r="B232" s="32">
        <v>45195</v>
      </c>
      <c r="C232" s="8" t="s">
        <v>36</v>
      </c>
      <c r="D232" s="8">
        <v>4</v>
      </c>
      <c r="E232" s="8" t="s">
        <v>33</v>
      </c>
      <c r="F232" s="8" t="s">
        <v>11</v>
      </c>
      <c r="G232" s="8" t="s">
        <v>10</v>
      </c>
      <c r="H232" t="s">
        <v>38</v>
      </c>
      <c r="I232" t="s">
        <v>13</v>
      </c>
      <c r="J232" t="s">
        <v>52</v>
      </c>
      <c r="K232">
        <v>27</v>
      </c>
      <c r="L232">
        <v>233</v>
      </c>
      <c r="M232">
        <v>8</v>
      </c>
      <c r="N232">
        <v>225</v>
      </c>
      <c r="O232">
        <v>0.96566523605150212</v>
      </c>
      <c r="P232">
        <v>8.6296296296296298</v>
      </c>
      <c r="Q232" s="16">
        <v>781</v>
      </c>
      <c r="R232" s="16">
        <v>652.83333333333337</v>
      </c>
    </row>
    <row r="233" spans="1:18" x14ac:dyDescent="0.2">
      <c r="A233" s="1">
        <v>811</v>
      </c>
      <c r="B233" s="32">
        <v>45196</v>
      </c>
      <c r="C233" s="8" t="s">
        <v>36</v>
      </c>
      <c r="D233" s="8">
        <v>5</v>
      </c>
      <c r="E233" s="8" t="s">
        <v>33</v>
      </c>
      <c r="F233" s="8" t="s">
        <v>11</v>
      </c>
      <c r="G233" s="8" t="s">
        <v>10</v>
      </c>
      <c r="H233" t="s">
        <v>38</v>
      </c>
      <c r="I233" t="s">
        <v>13</v>
      </c>
      <c r="J233" t="s">
        <v>56</v>
      </c>
      <c r="K233">
        <v>19</v>
      </c>
      <c r="L233">
        <v>177</v>
      </c>
      <c r="M233">
        <v>45</v>
      </c>
      <c r="N233">
        <v>132</v>
      </c>
      <c r="O233">
        <v>0.74576271186440679</v>
      </c>
      <c r="P233">
        <v>9.3157894736842106</v>
      </c>
      <c r="Q233" s="16">
        <v>757</v>
      </c>
      <c r="R233" s="16">
        <v>689.16666666666663</v>
      </c>
    </row>
    <row r="234" spans="1:18" x14ac:dyDescent="0.2">
      <c r="A234" s="1">
        <v>815</v>
      </c>
      <c r="B234" s="32">
        <v>45197</v>
      </c>
      <c r="C234" s="8" t="s">
        <v>36</v>
      </c>
      <c r="D234" s="8">
        <v>6</v>
      </c>
      <c r="E234" s="8" t="s">
        <v>33</v>
      </c>
      <c r="F234" s="8" t="s">
        <v>11</v>
      </c>
      <c r="G234" s="8" t="s">
        <v>10</v>
      </c>
      <c r="H234" t="s">
        <v>38</v>
      </c>
      <c r="I234" t="s">
        <v>13</v>
      </c>
      <c r="J234" t="s">
        <v>52</v>
      </c>
      <c r="K234">
        <v>21</v>
      </c>
      <c r="L234">
        <v>215</v>
      </c>
      <c r="M234">
        <v>10</v>
      </c>
      <c r="N234">
        <v>205</v>
      </c>
      <c r="O234">
        <v>0.95348837209302328</v>
      </c>
      <c r="P234">
        <v>10.238095238095237</v>
      </c>
      <c r="Q234" s="16">
        <v>936</v>
      </c>
      <c r="R234" s="16">
        <v>740.66666666666663</v>
      </c>
    </row>
    <row r="235" spans="1:18" x14ac:dyDescent="0.2">
      <c r="A235" s="1">
        <v>819</v>
      </c>
      <c r="B235" s="32">
        <v>45198</v>
      </c>
      <c r="C235" s="8" t="s">
        <v>36</v>
      </c>
      <c r="D235" s="8">
        <v>7</v>
      </c>
      <c r="E235" s="8" t="s">
        <v>33</v>
      </c>
      <c r="F235" s="8" t="s">
        <v>11</v>
      </c>
      <c r="G235" s="8" t="s">
        <v>10</v>
      </c>
      <c r="H235" t="s">
        <v>38</v>
      </c>
      <c r="I235" t="s">
        <v>13</v>
      </c>
      <c r="J235" t="s">
        <v>56</v>
      </c>
      <c r="K235">
        <v>23</v>
      </c>
      <c r="L235">
        <v>213</v>
      </c>
      <c r="M235">
        <v>44</v>
      </c>
      <c r="N235">
        <v>169</v>
      </c>
      <c r="O235">
        <v>0.79342723004694837</v>
      </c>
      <c r="P235">
        <v>9.2608695652173907</v>
      </c>
      <c r="Q235" s="16">
        <v>213</v>
      </c>
      <c r="R235" s="16">
        <v>741.33333333333337</v>
      </c>
    </row>
    <row r="236" spans="1:18" x14ac:dyDescent="0.2">
      <c r="A236" s="1">
        <v>820</v>
      </c>
      <c r="B236" s="32">
        <v>45200</v>
      </c>
      <c r="C236" s="8" t="s">
        <v>39</v>
      </c>
      <c r="D236" s="8">
        <v>2</v>
      </c>
      <c r="E236" s="8" t="s">
        <v>40</v>
      </c>
      <c r="F236" s="8" t="s">
        <v>11</v>
      </c>
      <c r="G236" s="8" t="s">
        <v>11</v>
      </c>
      <c r="H236" t="s">
        <v>14</v>
      </c>
      <c r="I236" t="s">
        <v>13</v>
      </c>
      <c r="J236" t="s">
        <v>52</v>
      </c>
      <c r="K236">
        <v>19</v>
      </c>
      <c r="L236">
        <v>209</v>
      </c>
      <c r="M236">
        <v>16</v>
      </c>
      <c r="N236">
        <v>193</v>
      </c>
      <c r="O236">
        <v>0.92344497607655507</v>
      </c>
      <c r="P236">
        <v>11</v>
      </c>
      <c r="Q236" s="16">
        <v>616</v>
      </c>
      <c r="R236" s="16">
        <v>684.83333333333337</v>
      </c>
    </row>
    <row r="237" spans="1:18" x14ac:dyDescent="0.2">
      <c r="A237" s="1">
        <v>824</v>
      </c>
      <c r="B237" s="32">
        <v>45201</v>
      </c>
      <c r="C237" s="8" t="s">
        <v>39</v>
      </c>
      <c r="D237" s="8">
        <v>3</v>
      </c>
      <c r="E237" s="8" t="s">
        <v>40</v>
      </c>
      <c r="F237" s="8" t="s">
        <v>11</v>
      </c>
      <c r="G237" s="8" t="s">
        <v>11</v>
      </c>
      <c r="H237" t="s">
        <v>14</v>
      </c>
      <c r="I237" t="s">
        <v>13</v>
      </c>
      <c r="J237" t="s">
        <v>56</v>
      </c>
      <c r="K237">
        <v>17</v>
      </c>
      <c r="L237">
        <v>187</v>
      </c>
      <c r="M237">
        <v>46</v>
      </c>
      <c r="N237">
        <v>141</v>
      </c>
      <c r="O237">
        <v>0.75401069518716579</v>
      </c>
      <c r="P237">
        <v>11</v>
      </c>
      <c r="Q237" s="16">
        <v>484</v>
      </c>
      <c r="R237" s="16">
        <v>631.16666666666663</v>
      </c>
    </row>
    <row r="238" spans="1:18" x14ac:dyDescent="0.2">
      <c r="A238" s="1">
        <v>828</v>
      </c>
      <c r="B238" s="32">
        <v>45202</v>
      </c>
      <c r="C238" s="8" t="s">
        <v>39</v>
      </c>
      <c r="D238" s="8">
        <v>4</v>
      </c>
      <c r="E238" s="8" t="s">
        <v>40</v>
      </c>
      <c r="F238" s="8" t="s">
        <v>11</v>
      </c>
      <c r="G238" s="8" t="s">
        <v>11</v>
      </c>
      <c r="H238" t="s">
        <v>14</v>
      </c>
      <c r="I238" t="s">
        <v>13</v>
      </c>
      <c r="J238" t="s">
        <v>52</v>
      </c>
      <c r="K238">
        <v>15</v>
      </c>
      <c r="L238">
        <v>165</v>
      </c>
      <c r="M238">
        <v>34</v>
      </c>
      <c r="N238">
        <v>131</v>
      </c>
      <c r="O238">
        <v>0.79393939393939394</v>
      </c>
      <c r="P238">
        <v>11</v>
      </c>
      <c r="Q238" s="16">
        <v>374</v>
      </c>
      <c r="R238" s="16">
        <v>563.33333333333337</v>
      </c>
    </row>
    <row r="239" spans="1:18" x14ac:dyDescent="0.2">
      <c r="A239" s="1">
        <v>832</v>
      </c>
      <c r="B239" s="32">
        <v>45203</v>
      </c>
      <c r="C239" s="8" t="s">
        <v>39</v>
      </c>
      <c r="D239" s="8">
        <v>5</v>
      </c>
      <c r="E239" s="8" t="s">
        <v>40</v>
      </c>
      <c r="F239" s="8" t="s">
        <v>11</v>
      </c>
      <c r="G239" s="8" t="s">
        <v>11</v>
      </c>
      <c r="H239" t="s">
        <v>14</v>
      </c>
      <c r="I239" t="s">
        <v>13</v>
      </c>
      <c r="J239" t="s">
        <v>56</v>
      </c>
      <c r="K239">
        <v>17</v>
      </c>
      <c r="L239">
        <v>187</v>
      </c>
      <c r="M239">
        <v>47</v>
      </c>
      <c r="N239">
        <v>140</v>
      </c>
      <c r="O239">
        <v>0.74866310160427807</v>
      </c>
      <c r="P239">
        <v>11</v>
      </c>
      <c r="Q239" s="16">
        <v>495</v>
      </c>
      <c r="R239" s="16">
        <v>519.66666666666663</v>
      </c>
    </row>
    <row r="240" spans="1:18" x14ac:dyDescent="0.2">
      <c r="A240" s="1">
        <v>836</v>
      </c>
      <c r="B240" s="32">
        <v>45204</v>
      </c>
      <c r="C240" s="8" t="s">
        <v>39</v>
      </c>
      <c r="D240" s="8">
        <v>6</v>
      </c>
      <c r="E240" s="8" t="s">
        <v>40</v>
      </c>
      <c r="F240" s="8" t="s">
        <v>11</v>
      </c>
      <c r="G240" s="8" t="s">
        <v>11</v>
      </c>
      <c r="H240" t="s">
        <v>14</v>
      </c>
      <c r="I240" t="s">
        <v>13</v>
      </c>
      <c r="J240" t="s">
        <v>52</v>
      </c>
      <c r="K240">
        <v>19</v>
      </c>
      <c r="L240">
        <v>209</v>
      </c>
      <c r="M240">
        <v>48</v>
      </c>
      <c r="N240">
        <v>161</v>
      </c>
      <c r="O240">
        <v>0.77033492822966509</v>
      </c>
      <c r="P240">
        <v>11</v>
      </c>
      <c r="Q240" s="16">
        <v>616</v>
      </c>
      <c r="R240" s="16">
        <v>466.33333333333331</v>
      </c>
    </row>
    <row r="241" spans="1:18" x14ac:dyDescent="0.2">
      <c r="A241" s="1">
        <v>840</v>
      </c>
      <c r="B241" s="32">
        <v>45205</v>
      </c>
      <c r="C241" s="8" t="s">
        <v>39</v>
      </c>
      <c r="D241" s="8">
        <v>7</v>
      </c>
      <c r="E241" s="8" t="s">
        <v>40</v>
      </c>
      <c r="F241" s="8" t="s">
        <v>11</v>
      </c>
      <c r="G241" s="8" t="s">
        <v>11</v>
      </c>
      <c r="H241" t="s">
        <v>14</v>
      </c>
      <c r="I241" t="s">
        <v>13</v>
      </c>
      <c r="J241" t="s">
        <v>56</v>
      </c>
      <c r="K241">
        <v>22</v>
      </c>
      <c r="L241">
        <v>242</v>
      </c>
      <c r="M241">
        <v>18</v>
      </c>
      <c r="N241">
        <v>224</v>
      </c>
      <c r="O241">
        <v>0.92561983471074383</v>
      </c>
      <c r="P241">
        <v>11</v>
      </c>
      <c r="Q241" s="16">
        <v>242</v>
      </c>
      <c r="R241" s="16">
        <v>471.16666666666669</v>
      </c>
    </row>
    <row r="242" spans="1:18" x14ac:dyDescent="0.2">
      <c r="A242" s="1">
        <v>841</v>
      </c>
      <c r="B242" s="32">
        <v>45207</v>
      </c>
      <c r="C242" s="8" t="s">
        <v>39</v>
      </c>
      <c r="D242" s="8">
        <v>2</v>
      </c>
      <c r="E242" s="8" t="s">
        <v>40</v>
      </c>
      <c r="F242" s="8" t="s">
        <v>10</v>
      </c>
      <c r="G242" s="8" t="s">
        <v>11</v>
      </c>
      <c r="H242" t="s">
        <v>41</v>
      </c>
      <c r="I242" t="s">
        <v>13</v>
      </c>
      <c r="J242" t="s">
        <v>52</v>
      </c>
      <c r="K242">
        <v>17</v>
      </c>
      <c r="L242">
        <v>187</v>
      </c>
      <c r="M242">
        <v>43</v>
      </c>
      <c r="N242">
        <v>144</v>
      </c>
      <c r="O242">
        <v>0.77005347593582885</v>
      </c>
      <c r="P242">
        <v>11</v>
      </c>
      <c r="Q242" s="16">
        <v>539</v>
      </c>
      <c r="R242" s="16">
        <v>458.33333333333331</v>
      </c>
    </row>
    <row r="243" spans="1:18" x14ac:dyDescent="0.2">
      <c r="A243" s="1">
        <v>845</v>
      </c>
      <c r="B243" s="32">
        <v>45208</v>
      </c>
      <c r="C243" s="8" t="s">
        <v>39</v>
      </c>
      <c r="D243" s="8">
        <v>3</v>
      </c>
      <c r="E243" s="8" t="s">
        <v>40</v>
      </c>
      <c r="F243" s="8" t="s">
        <v>11</v>
      </c>
      <c r="G243" s="8" t="s">
        <v>11</v>
      </c>
      <c r="H243" t="s">
        <v>14</v>
      </c>
      <c r="I243" t="s">
        <v>13</v>
      </c>
      <c r="J243" t="s">
        <v>56</v>
      </c>
      <c r="K243">
        <v>17</v>
      </c>
      <c r="L243">
        <v>187</v>
      </c>
      <c r="M243">
        <v>30</v>
      </c>
      <c r="N243">
        <v>157</v>
      </c>
      <c r="O243">
        <v>0.83957219251336901</v>
      </c>
      <c r="P243">
        <v>11</v>
      </c>
      <c r="Q243" s="16">
        <v>484</v>
      </c>
      <c r="R243" s="16">
        <v>458.33333333333331</v>
      </c>
    </row>
    <row r="244" spans="1:18" x14ac:dyDescent="0.2">
      <c r="A244" s="1">
        <v>849</v>
      </c>
      <c r="B244" s="32">
        <v>45209</v>
      </c>
      <c r="C244" s="8" t="s">
        <v>39</v>
      </c>
      <c r="D244" s="8">
        <v>4</v>
      </c>
      <c r="E244" s="8" t="s">
        <v>40</v>
      </c>
      <c r="F244" s="8" t="s">
        <v>11</v>
      </c>
      <c r="G244" s="8" t="s">
        <v>11</v>
      </c>
      <c r="H244" t="s">
        <v>14</v>
      </c>
      <c r="I244" t="s">
        <v>13</v>
      </c>
      <c r="J244" t="s">
        <v>52</v>
      </c>
      <c r="K244">
        <v>14</v>
      </c>
      <c r="L244">
        <v>154</v>
      </c>
      <c r="M244">
        <v>8</v>
      </c>
      <c r="N244">
        <v>146</v>
      </c>
      <c r="O244">
        <v>0.94805194805194803</v>
      </c>
      <c r="P244">
        <v>11</v>
      </c>
      <c r="Q244" s="16">
        <v>374</v>
      </c>
      <c r="R244" s="16">
        <v>458.33333333333331</v>
      </c>
    </row>
    <row r="245" spans="1:18" x14ac:dyDescent="0.2">
      <c r="A245" s="1">
        <v>853</v>
      </c>
      <c r="B245" s="32">
        <v>45210</v>
      </c>
      <c r="C245" s="8" t="s">
        <v>39</v>
      </c>
      <c r="D245" s="8">
        <v>5</v>
      </c>
      <c r="E245" s="8" t="s">
        <v>40</v>
      </c>
      <c r="F245" s="8" t="s">
        <v>11</v>
      </c>
      <c r="G245" s="8" t="s">
        <v>11</v>
      </c>
      <c r="H245" t="s">
        <v>14</v>
      </c>
      <c r="I245" t="s">
        <v>13</v>
      </c>
      <c r="J245" t="s">
        <v>56</v>
      </c>
      <c r="K245">
        <v>17</v>
      </c>
      <c r="L245">
        <v>187</v>
      </c>
      <c r="M245">
        <v>32</v>
      </c>
      <c r="N245">
        <v>155</v>
      </c>
      <c r="O245">
        <v>0.82887700534759357</v>
      </c>
      <c r="P245">
        <v>11</v>
      </c>
      <c r="Q245" s="16">
        <v>473</v>
      </c>
      <c r="R245" s="16">
        <v>454.66666666666669</v>
      </c>
    </row>
    <row r="246" spans="1:18" x14ac:dyDescent="0.2">
      <c r="A246" s="1">
        <v>857</v>
      </c>
      <c r="B246" s="32">
        <v>45211</v>
      </c>
      <c r="C246" s="8" t="s">
        <v>39</v>
      </c>
      <c r="D246" s="8">
        <v>6</v>
      </c>
      <c r="E246" s="8" t="s">
        <v>40</v>
      </c>
      <c r="F246" s="8" t="s">
        <v>11</v>
      </c>
      <c r="G246" s="8" t="s">
        <v>11</v>
      </c>
      <c r="H246" t="s">
        <v>14</v>
      </c>
      <c r="I246" t="s">
        <v>13</v>
      </c>
      <c r="J246" t="s">
        <v>52</v>
      </c>
      <c r="K246">
        <v>23</v>
      </c>
      <c r="L246">
        <v>253</v>
      </c>
      <c r="M246">
        <v>48</v>
      </c>
      <c r="N246">
        <v>205</v>
      </c>
      <c r="O246">
        <v>0.81027667984189722</v>
      </c>
      <c r="P246">
        <v>11</v>
      </c>
      <c r="Q246" s="16">
        <v>693</v>
      </c>
      <c r="R246" s="16">
        <v>467.5</v>
      </c>
    </row>
    <row r="247" spans="1:18" x14ac:dyDescent="0.2">
      <c r="A247" s="1">
        <v>861</v>
      </c>
      <c r="B247" s="32">
        <v>45212</v>
      </c>
      <c r="C247" s="8" t="s">
        <v>39</v>
      </c>
      <c r="D247" s="8">
        <v>7</v>
      </c>
      <c r="E247" s="8" t="s">
        <v>40</v>
      </c>
      <c r="F247" s="8" t="s">
        <v>11</v>
      </c>
      <c r="G247" s="8" t="s">
        <v>11</v>
      </c>
      <c r="H247" t="s">
        <v>14</v>
      </c>
      <c r="I247" t="s">
        <v>13</v>
      </c>
      <c r="J247" t="s">
        <v>56</v>
      </c>
      <c r="K247">
        <v>20</v>
      </c>
      <c r="L247">
        <v>220</v>
      </c>
      <c r="M247">
        <v>10</v>
      </c>
      <c r="N247">
        <v>210</v>
      </c>
      <c r="O247">
        <v>0.95454545454545459</v>
      </c>
      <c r="P247">
        <v>11</v>
      </c>
      <c r="Q247" s="16">
        <v>220</v>
      </c>
      <c r="R247" s="16">
        <v>463.83333333333331</v>
      </c>
    </row>
    <row r="248" spans="1:18" x14ac:dyDescent="0.2">
      <c r="A248" s="1">
        <v>862</v>
      </c>
      <c r="B248" s="32">
        <v>45214</v>
      </c>
      <c r="C248" s="8" t="s">
        <v>39</v>
      </c>
      <c r="D248" s="8">
        <v>2</v>
      </c>
      <c r="E248" s="8" t="s">
        <v>40</v>
      </c>
      <c r="F248" s="8" t="s">
        <v>11</v>
      </c>
      <c r="G248" s="8" t="s">
        <v>11</v>
      </c>
      <c r="H248" t="s">
        <v>14</v>
      </c>
      <c r="I248" t="s">
        <v>13</v>
      </c>
      <c r="J248" t="s">
        <v>52</v>
      </c>
      <c r="K248">
        <v>18</v>
      </c>
      <c r="L248">
        <v>198</v>
      </c>
      <c r="M248">
        <v>33</v>
      </c>
      <c r="N248">
        <v>165</v>
      </c>
      <c r="O248">
        <v>0.83333333333333337</v>
      </c>
      <c r="P248">
        <v>11</v>
      </c>
      <c r="Q248" s="16">
        <v>594</v>
      </c>
      <c r="R248" s="16">
        <v>473</v>
      </c>
    </row>
    <row r="249" spans="1:18" x14ac:dyDescent="0.2">
      <c r="A249" s="1">
        <v>866</v>
      </c>
      <c r="B249" s="32">
        <v>45215</v>
      </c>
      <c r="C249" s="8" t="s">
        <v>39</v>
      </c>
      <c r="D249" s="8">
        <v>3</v>
      </c>
      <c r="E249" s="8" t="s">
        <v>40</v>
      </c>
      <c r="F249" s="8" t="s">
        <v>11</v>
      </c>
      <c r="G249" s="8" t="s">
        <v>11</v>
      </c>
      <c r="H249" t="s">
        <v>14</v>
      </c>
      <c r="I249" t="s">
        <v>13</v>
      </c>
      <c r="J249" t="s">
        <v>56</v>
      </c>
      <c r="K249">
        <v>15</v>
      </c>
      <c r="L249">
        <v>165</v>
      </c>
      <c r="M249">
        <v>45</v>
      </c>
      <c r="N249">
        <v>120</v>
      </c>
      <c r="O249">
        <v>0.72727272727272729</v>
      </c>
      <c r="P249">
        <v>11</v>
      </c>
      <c r="Q249" s="16">
        <v>473</v>
      </c>
      <c r="R249" s="16">
        <v>471.16666666666669</v>
      </c>
    </row>
    <row r="250" spans="1:18" x14ac:dyDescent="0.2">
      <c r="A250" s="1">
        <v>870</v>
      </c>
      <c r="B250" s="32">
        <v>45216</v>
      </c>
      <c r="C250" s="8" t="s">
        <v>39</v>
      </c>
      <c r="D250" s="8">
        <v>4</v>
      </c>
      <c r="E250" s="8" t="s">
        <v>40</v>
      </c>
      <c r="F250" s="8" t="s">
        <v>11</v>
      </c>
      <c r="G250" s="8" t="s">
        <v>11</v>
      </c>
      <c r="H250" t="s">
        <v>14</v>
      </c>
      <c r="I250" t="s">
        <v>13</v>
      </c>
      <c r="J250" t="s">
        <v>52</v>
      </c>
      <c r="K250">
        <v>15</v>
      </c>
      <c r="L250">
        <v>165</v>
      </c>
      <c r="M250">
        <v>27</v>
      </c>
      <c r="N250">
        <v>138</v>
      </c>
      <c r="O250">
        <v>0.83636363636363631</v>
      </c>
      <c r="P250">
        <v>11</v>
      </c>
      <c r="Q250" s="16">
        <v>418</v>
      </c>
      <c r="R250" s="16">
        <v>478.5</v>
      </c>
    </row>
    <row r="251" spans="1:18" x14ac:dyDescent="0.2">
      <c r="A251" s="1">
        <v>874</v>
      </c>
      <c r="B251" s="32">
        <v>45217</v>
      </c>
      <c r="C251" s="8" t="s">
        <v>39</v>
      </c>
      <c r="D251" s="8">
        <v>5</v>
      </c>
      <c r="E251" s="8" t="s">
        <v>40</v>
      </c>
      <c r="F251" s="8" t="s">
        <v>11</v>
      </c>
      <c r="G251" s="8" t="s">
        <v>11</v>
      </c>
      <c r="H251" t="s">
        <v>14</v>
      </c>
      <c r="I251" t="s">
        <v>13</v>
      </c>
      <c r="J251" t="s">
        <v>56</v>
      </c>
      <c r="K251">
        <v>17</v>
      </c>
      <c r="L251">
        <v>187</v>
      </c>
      <c r="M251">
        <v>38</v>
      </c>
      <c r="N251">
        <v>149</v>
      </c>
      <c r="O251">
        <v>0.79679144385026734</v>
      </c>
      <c r="P251">
        <v>11</v>
      </c>
      <c r="Q251" s="16">
        <v>495</v>
      </c>
      <c r="R251" s="16">
        <v>482.16666666666669</v>
      </c>
    </row>
    <row r="252" spans="1:18" x14ac:dyDescent="0.2">
      <c r="A252" s="1">
        <v>878</v>
      </c>
      <c r="B252" s="32">
        <v>45218</v>
      </c>
      <c r="C252" s="8" t="s">
        <v>39</v>
      </c>
      <c r="D252" s="8">
        <v>6</v>
      </c>
      <c r="E252" s="8" t="s">
        <v>40</v>
      </c>
      <c r="F252" s="8" t="s">
        <v>11</v>
      </c>
      <c r="G252" s="8" t="s">
        <v>11</v>
      </c>
      <c r="H252" t="s">
        <v>14</v>
      </c>
      <c r="I252" t="s">
        <v>13</v>
      </c>
      <c r="J252" t="s">
        <v>52</v>
      </c>
      <c r="K252">
        <v>22</v>
      </c>
      <c r="L252">
        <v>242</v>
      </c>
      <c r="M252">
        <v>12</v>
      </c>
      <c r="N252">
        <v>230</v>
      </c>
      <c r="O252">
        <v>0.95041322314049592</v>
      </c>
      <c r="P252">
        <v>11</v>
      </c>
      <c r="Q252" s="16">
        <v>638</v>
      </c>
      <c r="R252" s="16">
        <v>473</v>
      </c>
    </row>
    <row r="253" spans="1:18" x14ac:dyDescent="0.2">
      <c r="A253" s="1">
        <v>882</v>
      </c>
      <c r="B253" s="32">
        <v>45219</v>
      </c>
      <c r="C253" s="8" t="s">
        <v>39</v>
      </c>
      <c r="D253" s="8">
        <v>7</v>
      </c>
      <c r="E253" s="8" t="s">
        <v>40</v>
      </c>
      <c r="F253" s="8" t="s">
        <v>11</v>
      </c>
      <c r="G253" s="8" t="s">
        <v>11</v>
      </c>
      <c r="H253" t="s">
        <v>14</v>
      </c>
      <c r="I253" t="s">
        <v>13</v>
      </c>
      <c r="J253" t="s">
        <v>56</v>
      </c>
      <c r="K253">
        <v>21</v>
      </c>
      <c r="L253">
        <v>231</v>
      </c>
      <c r="M253">
        <v>25</v>
      </c>
      <c r="N253">
        <v>206</v>
      </c>
      <c r="O253">
        <v>0.89177489177489178</v>
      </c>
      <c r="P253">
        <v>11</v>
      </c>
      <c r="Q253" s="16">
        <v>231</v>
      </c>
      <c r="R253" s="16">
        <v>474.83333333333331</v>
      </c>
    </row>
    <row r="254" spans="1:18" x14ac:dyDescent="0.2">
      <c r="A254" s="1">
        <v>883</v>
      </c>
      <c r="B254" s="32">
        <v>45221</v>
      </c>
      <c r="C254" s="8" t="s">
        <v>39</v>
      </c>
      <c r="D254" s="8">
        <v>2</v>
      </c>
      <c r="E254" s="8" t="s">
        <v>40</v>
      </c>
      <c r="F254" s="8" t="s">
        <v>11</v>
      </c>
      <c r="G254" s="8" t="s">
        <v>11</v>
      </c>
      <c r="H254" t="s">
        <v>14</v>
      </c>
      <c r="I254" t="s">
        <v>13</v>
      </c>
      <c r="J254" t="s">
        <v>52</v>
      </c>
      <c r="K254">
        <v>22</v>
      </c>
      <c r="L254">
        <v>242</v>
      </c>
      <c r="M254">
        <v>9</v>
      </c>
      <c r="N254">
        <v>233</v>
      </c>
      <c r="O254">
        <v>0.96280991735537191</v>
      </c>
      <c r="P254">
        <v>11</v>
      </c>
      <c r="Q254" s="16">
        <v>583</v>
      </c>
      <c r="R254" s="16">
        <v>473</v>
      </c>
    </row>
    <row r="255" spans="1:18" x14ac:dyDescent="0.2">
      <c r="A255" s="1">
        <v>887</v>
      </c>
      <c r="B255" s="32">
        <v>45222</v>
      </c>
      <c r="C255" s="8" t="s">
        <v>39</v>
      </c>
      <c r="D255" s="8">
        <v>3</v>
      </c>
      <c r="E255" s="8" t="s">
        <v>40</v>
      </c>
      <c r="F255" s="8" t="s">
        <v>11</v>
      </c>
      <c r="G255" s="8" t="s">
        <v>11</v>
      </c>
      <c r="H255" t="s">
        <v>14</v>
      </c>
      <c r="I255" t="s">
        <v>13</v>
      </c>
      <c r="J255" t="s">
        <v>56</v>
      </c>
      <c r="K255">
        <v>16</v>
      </c>
      <c r="L255">
        <v>176</v>
      </c>
      <c r="M255">
        <v>37</v>
      </c>
      <c r="N255">
        <v>139</v>
      </c>
      <c r="O255">
        <v>0.78977272727272729</v>
      </c>
      <c r="P255">
        <v>11</v>
      </c>
      <c r="Q255" s="16">
        <v>495</v>
      </c>
      <c r="R255" s="16">
        <v>476.66666666666669</v>
      </c>
    </row>
    <row r="256" spans="1:18" x14ac:dyDescent="0.2">
      <c r="A256" s="1">
        <v>891</v>
      </c>
      <c r="B256" s="32">
        <v>45223</v>
      </c>
      <c r="C256" s="8" t="s">
        <v>39</v>
      </c>
      <c r="D256" s="8">
        <v>4</v>
      </c>
      <c r="E256" s="8" t="s">
        <v>40</v>
      </c>
      <c r="F256" s="8" t="s">
        <v>11</v>
      </c>
      <c r="G256" s="8" t="s">
        <v>11</v>
      </c>
      <c r="H256" t="s">
        <v>14</v>
      </c>
      <c r="I256" t="s">
        <v>13</v>
      </c>
      <c r="J256" t="s">
        <v>52</v>
      </c>
      <c r="K256">
        <v>14</v>
      </c>
      <c r="L256">
        <v>154</v>
      </c>
      <c r="M256">
        <v>19</v>
      </c>
      <c r="N256">
        <v>135</v>
      </c>
      <c r="O256">
        <v>0.87662337662337664</v>
      </c>
      <c r="P256">
        <v>11</v>
      </c>
      <c r="Q256" s="16">
        <v>374</v>
      </c>
      <c r="R256" s="16">
        <v>469.33333333333331</v>
      </c>
    </row>
    <row r="257" spans="1:18" x14ac:dyDescent="0.2">
      <c r="A257" s="1">
        <v>895</v>
      </c>
      <c r="B257" s="32">
        <v>45224</v>
      </c>
      <c r="C257" s="8" t="s">
        <v>39</v>
      </c>
      <c r="D257" s="8">
        <v>5</v>
      </c>
      <c r="E257" s="8" t="s">
        <v>40</v>
      </c>
      <c r="F257" s="8" t="s">
        <v>11</v>
      </c>
      <c r="G257" s="8" t="s">
        <v>11</v>
      </c>
      <c r="H257" t="s">
        <v>14</v>
      </c>
      <c r="I257" t="s">
        <v>13</v>
      </c>
      <c r="J257" t="s">
        <v>56</v>
      </c>
      <c r="K257">
        <v>17</v>
      </c>
      <c r="L257">
        <v>187</v>
      </c>
      <c r="M257">
        <v>50</v>
      </c>
      <c r="N257">
        <v>137</v>
      </c>
      <c r="O257">
        <v>0.73262032085561501</v>
      </c>
      <c r="P257">
        <v>11</v>
      </c>
      <c r="Q257" s="16">
        <v>495</v>
      </c>
      <c r="R257" s="16">
        <v>469.33333333333331</v>
      </c>
    </row>
    <row r="258" spans="1:18" x14ac:dyDescent="0.2">
      <c r="A258" s="1">
        <v>899</v>
      </c>
      <c r="B258" s="32">
        <v>45225</v>
      </c>
      <c r="C258" s="8" t="s">
        <v>39</v>
      </c>
      <c r="D258" s="8">
        <v>6</v>
      </c>
      <c r="E258" s="8" t="s">
        <v>40</v>
      </c>
      <c r="F258" s="8" t="s">
        <v>11</v>
      </c>
      <c r="G258" s="8" t="s">
        <v>11</v>
      </c>
      <c r="H258" t="s">
        <v>14</v>
      </c>
      <c r="I258" t="s">
        <v>13</v>
      </c>
      <c r="J258" t="s">
        <v>52</v>
      </c>
      <c r="K258">
        <v>20</v>
      </c>
      <c r="L258">
        <v>220</v>
      </c>
      <c r="M258">
        <v>43</v>
      </c>
      <c r="N258">
        <v>177</v>
      </c>
      <c r="O258">
        <v>0.80454545454545456</v>
      </c>
      <c r="P258">
        <v>11</v>
      </c>
      <c r="Q258" s="16">
        <v>594</v>
      </c>
      <c r="R258" s="16">
        <v>462</v>
      </c>
    </row>
    <row r="259" spans="1:18" x14ac:dyDescent="0.2">
      <c r="A259" s="1">
        <v>903</v>
      </c>
      <c r="B259" s="32">
        <v>45226</v>
      </c>
      <c r="C259" s="8" t="s">
        <v>39</v>
      </c>
      <c r="D259" s="8">
        <v>7</v>
      </c>
      <c r="E259" s="8" t="s">
        <v>40</v>
      </c>
      <c r="F259" s="8" t="s">
        <v>11</v>
      </c>
      <c r="G259" s="8" t="s">
        <v>11</v>
      </c>
      <c r="H259" t="s">
        <v>14</v>
      </c>
      <c r="I259" t="s">
        <v>13</v>
      </c>
      <c r="J259" t="s">
        <v>56</v>
      </c>
      <c r="K259">
        <v>19</v>
      </c>
      <c r="L259">
        <v>209</v>
      </c>
      <c r="M259">
        <v>17</v>
      </c>
      <c r="N259">
        <v>192</v>
      </c>
      <c r="O259">
        <v>0.91866028708133973</v>
      </c>
      <c r="P259">
        <v>11</v>
      </c>
      <c r="Q259" s="16">
        <v>209</v>
      </c>
      <c r="R259" s="16">
        <v>458.33333333333331</v>
      </c>
    </row>
    <row r="260" spans="1:18" x14ac:dyDescent="0.2">
      <c r="A260" s="1">
        <v>904</v>
      </c>
      <c r="B260" s="32">
        <v>45228</v>
      </c>
      <c r="C260" s="8" t="s">
        <v>39</v>
      </c>
      <c r="D260" s="8">
        <v>2</v>
      </c>
      <c r="E260" s="8" t="s">
        <v>40</v>
      </c>
      <c r="F260" s="8" t="s">
        <v>11</v>
      </c>
      <c r="G260" s="8" t="s">
        <v>11</v>
      </c>
      <c r="H260" t="s">
        <v>14</v>
      </c>
      <c r="I260" t="s">
        <v>13</v>
      </c>
      <c r="J260" t="s">
        <v>52</v>
      </c>
      <c r="K260">
        <v>19</v>
      </c>
      <c r="L260">
        <v>209</v>
      </c>
      <c r="M260">
        <v>4</v>
      </c>
      <c r="N260">
        <v>205</v>
      </c>
      <c r="O260">
        <v>0.98086124401913877</v>
      </c>
      <c r="P260">
        <v>11</v>
      </c>
      <c r="Q260" s="16">
        <v>550</v>
      </c>
      <c r="R260" s="16">
        <v>452.83333333333331</v>
      </c>
    </row>
    <row r="261" spans="1:18" x14ac:dyDescent="0.2">
      <c r="A261" s="1">
        <v>908</v>
      </c>
      <c r="B261" s="32">
        <v>45229</v>
      </c>
      <c r="C261" s="8" t="s">
        <v>39</v>
      </c>
      <c r="D261" s="8">
        <v>3</v>
      </c>
      <c r="E261" s="8" t="s">
        <v>40</v>
      </c>
      <c r="F261" s="8" t="s">
        <v>11</v>
      </c>
      <c r="G261" s="8" t="s">
        <v>11</v>
      </c>
      <c r="H261" t="s">
        <v>14</v>
      </c>
      <c r="I261" t="s">
        <v>13</v>
      </c>
      <c r="J261" t="s">
        <v>56</v>
      </c>
      <c r="K261">
        <v>19</v>
      </c>
      <c r="L261">
        <v>209</v>
      </c>
      <c r="M261">
        <v>32</v>
      </c>
      <c r="N261">
        <v>177</v>
      </c>
      <c r="O261">
        <v>0.84688995215311003</v>
      </c>
      <c r="P261">
        <v>11</v>
      </c>
      <c r="Q261" s="16">
        <v>539</v>
      </c>
      <c r="R261" s="16">
        <v>460.16666666666669</v>
      </c>
    </row>
    <row r="262" spans="1:18" x14ac:dyDescent="0.2">
      <c r="A262" s="1">
        <v>912</v>
      </c>
      <c r="B262" s="32">
        <v>45230</v>
      </c>
      <c r="C262" s="8" t="s">
        <v>39</v>
      </c>
      <c r="D262" s="8">
        <v>4</v>
      </c>
      <c r="E262" s="8" t="s">
        <v>40</v>
      </c>
      <c r="F262" s="8" t="s">
        <v>11</v>
      </c>
      <c r="G262" s="8" t="s">
        <v>11</v>
      </c>
      <c r="H262" t="s">
        <v>14</v>
      </c>
      <c r="I262" t="s">
        <v>13</v>
      </c>
      <c r="J262" t="s">
        <v>52</v>
      </c>
      <c r="K262">
        <v>17</v>
      </c>
      <c r="L262">
        <v>187</v>
      </c>
      <c r="M262">
        <v>8</v>
      </c>
      <c r="N262">
        <v>179</v>
      </c>
      <c r="O262">
        <v>0.95721925133689845</v>
      </c>
      <c r="P262">
        <v>11</v>
      </c>
      <c r="Q262" s="16">
        <v>440</v>
      </c>
      <c r="R262" s="16">
        <v>471.16666666666669</v>
      </c>
    </row>
    <row r="263" spans="1:18" x14ac:dyDescent="0.2">
      <c r="A263" s="1">
        <v>916</v>
      </c>
      <c r="B263" s="32">
        <v>45231</v>
      </c>
      <c r="C263" s="8" t="s">
        <v>42</v>
      </c>
      <c r="D263" s="8">
        <v>5</v>
      </c>
      <c r="E263" s="8" t="s">
        <v>40</v>
      </c>
      <c r="F263" s="8" t="s">
        <v>11</v>
      </c>
      <c r="G263" s="8" t="s">
        <v>11</v>
      </c>
      <c r="H263" t="s">
        <v>14</v>
      </c>
      <c r="I263" t="s">
        <v>13</v>
      </c>
      <c r="J263" t="s">
        <v>56</v>
      </c>
      <c r="K263">
        <v>17</v>
      </c>
      <c r="L263">
        <v>187</v>
      </c>
      <c r="M263">
        <v>37</v>
      </c>
      <c r="N263">
        <v>150</v>
      </c>
      <c r="O263">
        <v>0.80213903743315507</v>
      </c>
      <c r="P263">
        <v>11</v>
      </c>
      <c r="Q263" s="16">
        <v>451</v>
      </c>
      <c r="R263" s="16">
        <v>463.83333333333331</v>
      </c>
    </row>
    <row r="264" spans="1:18" x14ac:dyDescent="0.2">
      <c r="A264" s="1">
        <v>920</v>
      </c>
      <c r="B264" s="32">
        <v>45232</v>
      </c>
      <c r="C264" s="8" t="s">
        <v>42</v>
      </c>
      <c r="D264" s="8">
        <v>6</v>
      </c>
      <c r="E264" s="8" t="s">
        <v>40</v>
      </c>
      <c r="F264" s="8" t="s">
        <v>11</v>
      </c>
      <c r="G264" s="8" t="s">
        <v>11</v>
      </c>
      <c r="H264" t="s">
        <v>14</v>
      </c>
      <c r="I264" t="s">
        <v>13</v>
      </c>
      <c r="J264" t="s">
        <v>52</v>
      </c>
      <c r="K264">
        <v>24</v>
      </c>
      <c r="L264">
        <v>264</v>
      </c>
      <c r="M264">
        <v>21</v>
      </c>
      <c r="N264">
        <v>243</v>
      </c>
      <c r="O264">
        <v>0.92045454545454541</v>
      </c>
      <c r="P264">
        <v>11</v>
      </c>
      <c r="Q264" s="16">
        <v>638</v>
      </c>
      <c r="R264" s="16">
        <v>471.16666666666669</v>
      </c>
    </row>
    <row r="265" spans="1:18" x14ac:dyDescent="0.2">
      <c r="A265" s="1">
        <v>924</v>
      </c>
      <c r="B265" s="32">
        <v>45233</v>
      </c>
      <c r="C265" s="8" t="s">
        <v>42</v>
      </c>
      <c r="D265" s="8">
        <v>7</v>
      </c>
      <c r="E265" s="8" t="s">
        <v>40</v>
      </c>
      <c r="F265" s="8" t="s">
        <v>11</v>
      </c>
      <c r="G265" s="8" t="s">
        <v>11</v>
      </c>
      <c r="H265" t="s">
        <v>14</v>
      </c>
      <c r="I265" t="s">
        <v>13</v>
      </c>
      <c r="J265" t="s">
        <v>56</v>
      </c>
      <c r="K265">
        <v>22</v>
      </c>
      <c r="L265">
        <v>242</v>
      </c>
      <c r="M265">
        <v>48</v>
      </c>
      <c r="N265">
        <v>194</v>
      </c>
      <c r="O265">
        <v>0.80165289256198347</v>
      </c>
      <c r="P265">
        <v>11</v>
      </c>
      <c r="Q265" s="16">
        <v>242</v>
      </c>
      <c r="R265" s="16">
        <v>476.66666666666669</v>
      </c>
    </row>
    <row r="266" spans="1:18" x14ac:dyDescent="0.2">
      <c r="A266" s="1">
        <v>925</v>
      </c>
      <c r="B266" s="32">
        <v>45235</v>
      </c>
      <c r="C266" s="8" t="s">
        <v>42</v>
      </c>
      <c r="D266" s="8">
        <v>2</v>
      </c>
      <c r="E266" s="8" t="s">
        <v>40</v>
      </c>
      <c r="F266" s="8" t="s">
        <v>11</v>
      </c>
      <c r="G266" s="8" t="s">
        <v>11</v>
      </c>
      <c r="H266" t="s">
        <v>14</v>
      </c>
      <c r="I266" t="s">
        <v>13</v>
      </c>
      <c r="J266" t="s">
        <v>52</v>
      </c>
      <c r="K266">
        <v>22</v>
      </c>
      <c r="L266">
        <v>242</v>
      </c>
      <c r="M266">
        <v>49</v>
      </c>
      <c r="N266">
        <v>193</v>
      </c>
      <c r="O266">
        <v>0.7975206611570248</v>
      </c>
      <c r="P266">
        <v>11</v>
      </c>
      <c r="Q266" s="16">
        <v>638</v>
      </c>
      <c r="R266" s="16">
        <v>491.33333333333331</v>
      </c>
    </row>
    <row r="267" spans="1:18" x14ac:dyDescent="0.2">
      <c r="A267" s="1">
        <v>929</v>
      </c>
      <c r="B267" s="32">
        <v>45236</v>
      </c>
      <c r="C267" s="8" t="s">
        <v>42</v>
      </c>
      <c r="D267" s="8">
        <v>3</v>
      </c>
      <c r="E267" s="8" t="s">
        <v>40</v>
      </c>
      <c r="F267" s="8" t="s">
        <v>11</v>
      </c>
      <c r="G267" s="8" t="s">
        <v>11</v>
      </c>
      <c r="H267" t="s">
        <v>14</v>
      </c>
      <c r="I267" t="s">
        <v>13</v>
      </c>
      <c r="J267" t="s">
        <v>56</v>
      </c>
      <c r="K267">
        <v>15</v>
      </c>
      <c r="L267">
        <v>165</v>
      </c>
      <c r="M267">
        <v>35</v>
      </c>
      <c r="N267">
        <v>130</v>
      </c>
      <c r="O267">
        <v>0.78787878787878785</v>
      </c>
      <c r="P267">
        <v>11</v>
      </c>
      <c r="Q267" s="16">
        <v>495</v>
      </c>
      <c r="R267" s="16">
        <v>484</v>
      </c>
    </row>
    <row r="268" spans="1:18" x14ac:dyDescent="0.2">
      <c r="A268" s="1">
        <v>933</v>
      </c>
      <c r="B268" s="32">
        <v>45237</v>
      </c>
      <c r="C268" s="8" t="s">
        <v>42</v>
      </c>
      <c r="D268" s="8">
        <v>4</v>
      </c>
      <c r="E268" s="8" t="s">
        <v>40</v>
      </c>
      <c r="F268" s="8" t="s">
        <v>11</v>
      </c>
      <c r="G268" s="8" t="s">
        <v>11</v>
      </c>
      <c r="H268" t="s">
        <v>14</v>
      </c>
      <c r="I268" t="s">
        <v>13</v>
      </c>
      <c r="J268" t="s">
        <v>52</v>
      </c>
      <c r="K268">
        <v>17</v>
      </c>
      <c r="L268">
        <v>187</v>
      </c>
      <c r="M268">
        <v>46</v>
      </c>
      <c r="N268">
        <v>141</v>
      </c>
      <c r="O268">
        <v>0.75401069518716579</v>
      </c>
      <c r="P268">
        <v>11</v>
      </c>
      <c r="Q268" s="16">
        <v>451</v>
      </c>
      <c r="R268" s="16">
        <v>485.83333333333331</v>
      </c>
    </row>
    <row r="269" spans="1:18" x14ac:dyDescent="0.2">
      <c r="A269" s="1">
        <v>937</v>
      </c>
      <c r="B269" s="32">
        <v>45238</v>
      </c>
      <c r="C269" s="8" t="s">
        <v>42</v>
      </c>
      <c r="D269" s="8">
        <v>5</v>
      </c>
      <c r="E269" s="8" t="s">
        <v>40</v>
      </c>
      <c r="F269" s="8" t="s">
        <v>11</v>
      </c>
      <c r="G269" s="8" t="s">
        <v>11</v>
      </c>
      <c r="H269" t="s">
        <v>14</v>
      </c>
      <c r="I269" t="s">
        <v>13</v>
      </c>
      <c r="J269" t="s">
        <v>56</v>
      </c>
      <c r="K269">
        <v>16</v>
      </c>
      <c r="L269">
        <v>176</v>
      </c>
      <c r="M269">
        <v>17</v>
      </c>
      <c r="N269">
        <v>159</v>
      </c>
      <c r="O269">
        <v>0.90340909090909094</v>
      </c>
      <c r="P269">
        <v>11</v>
      </c>
      <c r="Q269" s="16">
        <v>451</v>
      </c>
      <c r="R269" s="16">
        <v>485.83333333333331</v>
      </c>
    </row>
    <row r="270" spans="1:18" x14ac:dyDescent="0.2">
      <c r="A270" s="1">
        <v>941</v>
      </c>
      <c r="B270" s="32">
        <v>45239</v>
      </c>
      <c r="C270" s="8" t="s">
        <v>42</v>
      </c>
      <c r="D270" s="8">
        <v>6</v>
      </c>
      <c r="E270" s="8" t="s">
        <v>40</v>
      </c>
      <c r="F270" s="8" t="s">
        <v>11</v>
      </c>
      <c r="G270" s="8" t="s">
        <v>11</v>
      </c>
      <c r="H270" t="s">
        <v>14</v>
      </c>
      <c r="I270" t="s">
        <v>13</v>
      </c>
      <c r="J270" t="s">
        <v>52</v>
      </c>
      <c r="K270">
        <v>20</v>
      </c>
      <c r="L270">
        <v>220</v>
      </c>
      <c r="M270">
        <v>26</v>
      </c>
      <c r="N270">
        <v>194</v>
      </c>
      <c r="O270">
        <v>0.88181818181818183</v>
      </c>
      <c r="P270">
        <v>11</v>
      </c>
      <c r="Q270" s="16">
        <v>638</v>
      </c>
      <c r="R270" s="16">
        <v>485.83333333333331</v>
      </c>
    </row>
    <row r="271" spans="1:18" x14ac:dyDescent="0.2">
      <c r="A271" s="1">
        <v>945</v>
      </c>
      <c r="B271" s="32">
        <v>45240</v>
      </c>
      <c r="C271" s="8" t="s">
        <v>42</v>
      </c>
      <c r="D271" s="8">
        <v>7</v>
      </c>
      <c r="E271" s="8" t="s">
        <v>40</v>
      </c>
      <c r="F271" s="8" t="s">
        <v>11</v>
      </c>
      <c r="G271" s="8" t="s">
        <v>11</v>
      </c>
      <c r="H271" t="s">
        <v>14</v>
      </c>
      <c r="I271" t="s">
        <v>13</v>
      </c>
      <c r="J271" t="s">
        <v>56</v>
      </c>
      <c r="K271">
        <v>21</v>
      </c>
      <c r="L271">
        <v>231</v>
      </c>
      <c r="M271">
        <v>48</v>
      </c>
      <c r="N271">
        <v>183</v>
      </c>
      <c r="O271">
        <v>0.79220779220779225</v>
      </c>
      <c r="P271">
        <v>11</v>
      </c>
      <c r="Q271" s="16">
        <v>231</v>
      </c>
      <c r="R271" s="16">
        <v>484</v>
      </c>
    </row>
    <row r="272" spans="1:18" x14ac:dyDescent="0.2">
      <c r="A272" s="1">
        <v>946</v>
      </c>
      <c r="B272" s="32">
        <v>45242</v>
      </c>
      <c r="C272" s="8" t="s">
        <v>42</v>
      </c>
      <c r="D272" s="8">
        <v>2</v>
      </c>
      <c r="E272" s="8" t="s">
        <v>40</v>
      </c>
      <c r="F272" s="8" t="s">
        <v>10</v>
      </c>
      <c r="G272" s="8" t="s">
        <v>11</v>
      </c>
      <c r="H272" t="s">
        <v>43</v>
      </c>
      <c r="I272" t="s">
        <v>13</v>
      </c>
      <c r="J272" t="s">
        <v>14</v>
      </c>
      <c r="K272">
        <v>0</v>
      </c>
      <c r="L272">
        <v>0</v>
      </c>
      <c r="M272">
        <v>10</v>
      </c>
      <c r="N272">
        <v>-10</v>
      </c>
      <c r="O272">
        <v>0</v>
      </c>
      <c r="P272">
        <v>0</v>
      </c>
      <c r="Q272" s="16">
        <v>0</v>
      </c>
      <c r="R272" s="16">
        <v>377.66666666666669</v>
      </c>
    </row>
    <row r="273" spans="1:18" x14ac:dyDescent="0.2">
      <c r="A273" s="1">
        <v>950</v>
      </c>
      <c r="B273" s="32">
        <v>45243</v>
      </c>
      <c r="C273" s="8" t="s">
        <v>42</v>
      </c>
      <c r="D273" s="8">
        <v>3</v>
      </c>
      <c r="E273" s="8" t="s">
        <v>40</v>
      </c>
      <c r="F273" s="8" t="s">
        <v>11</v>
      </c>
      <c r="G273" s="8" t="s">
        <v>11</v>
      </c>
      <c r="H273" t="s">
        <v>14</v>
      </c>
      <c r="I273" t="s">
        <v>13</v>
      </c>
      <c r="J273" t="s">
        <v>56</v>
      </c>
      <c r="K273">
        <v>15</v>
      </c>
      <c r="L273">
        <v>165</v>
      </c>
      <c r="M273">
        <v>13</v>
      </c>
      <c r="N273">
        <v>152</v>
      </c>
      <c r="O273">
        <v>0.92121212121212126</v>
      </c>
      <c r="P273">
        <v>11</v>
      </c>
      <c r="Q273" s="16">
        <v>451</v>
      </c>
      <c r="R273" s="16">
        <v>370.33333333333331</v>
      </c>
    </row>
    <row r="274" spans="1:18" x14ac:dyDescent="0.2">
      <c r="A274" s="1">
        <v>954</v>
      </c>
      <c r="B274" s="32">
        <v>45244</v>
      </c>
      <c r="C274" s="8" t="s">
        <v>42</v>
      </c>
      <c r="D274" s="8">
        <v>4</v>
      </c>
      <c r="E274" s="8" t="s">
        <v>40</v>
      </c>
      <c r="F274" s="8" t="s">
        <v>11</v>
      </c>
      <c r="G274" s="8" t="s">
        <v>11</v>
      </c>
      <c r="H274" t="s">
        <v>14</v>
      </c>
      <c r="I274" t="s">
        <v>13</v>
      </c>
      <c r="J274" t="s">
        <v>52</v>
      </c>
      <c r="K274">
        <v>17</v>
      </c>
      <c r="L274">
        <v>187</v>
      </c>
      <c r="M274">
        <v>10</v>
      </c>
      <c r="N274">
        <v>177</v>
      </c>
      <c r="O274">
        <v>0.946524064171123</v>
      </c>
      <c r="P274">
        <v>11</v>
      </c>
      <c r="Q274" s="16">
        <v>440</v>
      </c>
      <c r="R274" s="16">
        <v>368.5</v>
      </c>
    </row>
    <row r="275" spans="1:18" x14ac:dyDescent="0.2">
      <c r="A275" s="1">
        <v>958</v>
      </c>
      <c r="B275" s="32">
        <v>45245</v>
      </c>
      <c r="C275" s="8" t="s">
        <v>42</v>
      </c>
      <c r="D275" s="8">
        <v>5</v>
      </c>
      <c r="E275" s="8" t="s">
        <v>40</v>
      </c>
      <c r="F275" s="8" t="s">
        <v>11</v>
      </c>
      <c r="G275" s="8" t="s">
        <v>11</v>
      </c>
      <c r="H275" t="s">
        <v>14</v>
      </c>
      <c r="I275" t="s">
        <v>13</v>
      </c>
      <c r="J275" t="s">
        <v>56</v>
      </c>
      <c r="K275">
        <v>15</v>
      </c>
      <c r="L275">
        <v>165</v>
      </c>
      <c r="M275">
        <v>2</v>
      </c>
      <c r="N275">
        <v>163</v>
      </c>
      <c r="O275">
        <v>0.98787878787878791</v>
      </c>
      <c r="P275">
        <v>11</v>
      </c>
      <c r="Q275" s="16">
        <v>462</v>
      </c>
      <c r="R275" s="16">
        <v>370.33333333333331</v>
      </c>
    </row>
    <row r="276" spans="1:18" x14ac:dyDescent="0.2">
      <c r="A276" s="1">
        <v>962</v>
      </c>
      <c r="B276" s="32">
        <v>45246</v>
      </c>
      <c r="C276" s="8" t="s">
        <v>42</v>
      </c>
      <c r="D276" s="8">
        <v>6</v>
      </c>
      <c r="E276" s="8" t="s">
        <v>40</v>
      </c>
      <c r="F276" s="8" t="s">
        <v>11</v>
      </c>
      <c r="G276" s="8" t="s">
        <v>11</v>
      </c>
      <c r="H276" t="s">
        <v>14</v>
      </c>
      <c r="I276" t="s">
        <v>13</v>
      </c>
      <c r="J276" t="s">
        <v>52</v>
      </c>
      <c r="K276">
        <v>21</v>
      </c>
      <c r="L276">
        <v>231</v>
      </c>
      <c r="M276">
        <v>30</v>
      </c>
      <c r="N276">
        <v>201</v>
      </c>
      <c r="O276">
        <v>0.87012987012987009</v>
      </c>
      <c r="P276">
        <v>11</v>
      </c>
      <c r="Q276" s="16">
        <v>638</v>
      </c>
      <c r="R276" s="16">
        <v>370.33333333333331</v>
      </c>
    </row>
    <row r="277" spans="1:18" x14ac:dyDescent="0.2">
      <c r="A277" s="1">
        <v>966</v>
      </c>
      <c r="B277" s="32">
        <v>45247</v>
      </c>
      <c r="C277" s="8" t="s">
        <v>42</v>
      </c>
      <c r="D277" s="8">
        <v>7</v>
      </c>
      <c r="E277" s="8" t="s">
        <v>40</v>
      </c>
      <c r="F277" s="8" t="s">
        <v>11</v>
      </c>
      <c r="G277" s="8" t="s">
        <v>11</v>
      </c>
      <c r="H277" t="s">
        <v>14</v>
      </c>
      <c r="I277" t="s">
        <v>13</v>
      </c>
      <c r="J277" t="s">
        <v>56</v>
      </c>
      <c r="K277">
        <v>20</v>
      </c>
      <c r="L277">
        <v>220</v>
      </c>
      <c r="M277">
        <v>4</v>
      </c>
      <c r="N277">
        <v>216</v>
      </c>
      <c r="O277">
        <v>0.98181818181818181</v>
      </c>
      <c r="P277">
        <v>11</v>
      </c>
      <c r="Q277" s="16">
        <v>220</v>
      </c>
      <c r="R277" s="16">
        <v>368.5</v>
      </c>
    </row>
    <row r="278" spans="1:18" x14ac:dyDescent="0.2">
      <c r="A278" s="1">
        <v>967</v>
      </c>
      <c r="B278" s="32">
        <v>45249</v>
      </c>
      <c r="C278" s="8" t="s">
        <v>42</v>
      </c>
      <c r="D278" s="8">
        <v>2</v>
      </c>
      <c r="E278" s="8" t="s">
        <v>40</v>
      </c>
      <c r="F278" s="8" t="s">
        <v>11</v>
      </c>
      <c r="G278" s="8" t="s">
        <v>11</v>
      </c>
      <c r="H278" t="s">
        <v>14</v>
      </c>
      <c r="I278" t="s">
        <v>13</v>
      </c>
      <c r="J278" t="s">
        <v>52</v>
      </c>
      <c r="K278">
        <v>19</v>
      </c>
      <c r="L278">
        <v>209</v>
      </c>
      <c r="M278">
        <v>24</v>
      </c>
      <c r="N278">
        <v>185</v>
      </c>
      <c r="O278">
        <v>0.88516746411483249</v>
      </c>
      <c r="P278">
        <v>11</v>
      </c>
      <c r="Q278" s="16">
        <v>561</v>
      </c>
      <c r="R278" s="16">
        <v>462</v>
      </c>
    </row>
    <row r="279" spans="1:18" x14ac:dyDescent="0.2">
      <c r="A279" s="1">
        <v>971</v>
      </c>
      <c r="B279" s="32">
        <v>45250</v>
      </c>
      <c r="C279" s="8" t="s">
        <v>42</v>
      </c>
      <c r="D279" s="8">
        <v>3</v>
      </c>
      <c r="E279" s="8" t="s">
        <v>40</v>
      </c>
      <c r="F279" s="8" t="s">
        <v>11</v>
      </c>
      <c r="G279" s="8" t="s">
        <v>11</v>
      </c>
      <c r="H279" t="s">
        <v>14</v>
      </c>
      <c r="I279" t="s">
        <v>13</v>
      </c>
      <c r="J279" t="s">
        <v>56</v>
      </c>
      <c r="K279">
        <v>18</v>
      </c>
      <c r="L279">
        <v>198</v>
      </c>
      <c r="M279">
        <v>48</v>
      </c>
      <c r="N279">
        <v>150</v>
      </c>
      <c r="O279">
        <v>0.75757575757575757</v>
      </c>
      <c r="P279">
        <v>11</v>
      </c>
      <c r="Q279" s="16">
        <v>473</v>
      </c>
      <c r="R279" s="16">
        <v>465.66666666666669</v>
      </c>
    </row>
    <row r="280" spans="1:18" x14ac:dyDescent="0.2">
      <c r="A280" s="1">
        <v>975</v>
      </c>
      <c r="B280" s="32">
        <v>45251</v>
      </c>
      <c r="C280" s="8" t="s">
        <v>42</v>
      </c>
      <c r="D280" s="8">
        <v>4</v>
      </c>
      <c r="E280" s="8" t="s">
        <v>40</v>
      </c>
      <c r="F280" s="8" t="s">
        <v>11</v>
      </c>
      <c r="G280" s="8" t="s">
        <v>11</v>
      </c>
      <c r="H280" t="s">
        <v>14</v>
      </c>
      <c r="I280" t="s">
        <v>13</v>
      </c>
      <c r="J280" t="s">
        <v>52</v>
      </c>
      <c r="K280">
        <v>17</v>
      </c>
      <c r="L280">
        <v>187</v>
      </c>
      <c r="M280">
        <v>5</v>
      </c>
      <c r="N280">
        <v>182</v>
      </c>
      <c r="O280">
        <v>0.9732620320855615</v>
      </c>
      <c r="P280">
        <v>11</v>
      </c>
      <c r="Q280" s="16">
        <v>407</v>
      </c>
      <c r="R280" s="16">
        <v>460.16666666666669</v>
      </c>
    </row>
    <row r="281" spans="1:18" x14ac:dyDescent="0.2">
      <c r="A281" s="1">
        <v>979</v>
      </c>
      <c r="B281" s="32">
        <v>45252</v>
      </c>
      <c r="C281" s="8" t="s">
        <v>42</v>
      </c>
      <c r="D281" s="8">
        <v>5</v>
      </c>
      <c r="E281" s="8" t="s">
        <v>40</v>
      </c>
      <c r="F281" s="8" t="s">
        <v>10</v>
      </c>
      <c r="G281" s="8" t="s">
        <v>11</v>
      </c>
      <c r="H281" t="s">
        <v>44</v>
      </c>
      <c r="I281" t="s">
        <v>13</v>
      </c>
      <c r="J281" t="s">
        <v>14</v>
      </c>
      <c r="K281">
        <v>0</v>
      </c>
      <c r="L281">
        <v>0</v>
      </c>
      <c r="M281">
        <v>10</v>
      </c>
      <c r="N281">
        <v>-10</v>
      </c>
      <c r="O281">
        <v>0</v>
      </c>
      <c r="P281">
        <v>0</v>
      </c>
      <c r="Q281" s="16">
        <v>0</v>
      </c>
      <c r="R281" s="16">
        <v>383.16666666666669</v>
      </c>
    </row>
    <row r="282" spans="1:18" x14ac:dyDescent="0.2">
      <c r="A282" s="1">
        <v>983</v>
      </c>
      <c r="B282" s="32">
        <v>45253</v>
      </c>
      <c r="C282" s="8" t="s">
        <v>42</v>
      </c>
      <c r="D282" s="8">
        <v>6</v>
      </c>
      <c r="E282" s="8" t="s">
        <v>40</v>
      </c>
      <c r="F282" s="8" t="s">
        <v>11</v>
      </c>
      <c r="G282" s="8" t="s">
        <v>10</v>
      </c>
      <c r="H282" t="s">
        <v>45</v>
      </c>
      <c r="I282" t="s">
        <v>13</v>
      </c>
      <c r="J282" t="s">
        <v>52</v>
      </c>
      <c r="K282">
        <v>23</v>
      </c>
      <c r="L282">
        <v>229</v>
      </c>
      <c r="M282">
        <v>43</v>
      </c>
      <c r="N282">
        <v>186</v>
      </c>
      <c r="O282">
        <v>0.81222707423580787</v>
      </c>
      <c r="P282">
        <v>9.9565217391304355</v>
      </c>
      <c r="Q282" s="16">
        <v>947</v>
      </c>
      <c r="R282" s="16">
        <v>434.66666666666669</v>
      </c>
    </row>
    <row r="283" spans="1:18" x14ac:dyDescent="0.2">
      <c r="A283" s="1">
        <v>987</v>
      </c>
      <c r="B283" s="32">
        <v>45254</v>
      </c>
      <c r="C283" s="8" t="s">
        <v>42</v>
      </c>
      <c r="D283" s="8">
        <v>7</v>
      </c>
      <c r="E283" s="8" t="s">
        <v>40</v>
      </c>
      <c r="F283" s="8" t="s">
        <v>11</v>
      </c>
      <c r="G283" s="8" t="s">
        <v>10</v>
      </c>
      <c r="H283" t="s">
        <v>45</v>
      </c>
      <c r="I283" t="s">
        <v>13</v>
      </c>
      <c r="J283" t="s">
        <v>56</v>
      </c>
      <c r="K283">
        <v>28</v>
      </c>
      <c r="L283">
        <v>244</v>
      </c>
      <c r="M283">
        <v>44</v>
      </c>
      <c r="N283">
        <v>200</v>
      </c>
      <c r="O283">
        <v>0.81967213114754101</v>
      </c>
      <c r="P283">
        <v>8.7142857142857135</v>
      </c>
      <c r="Q283" s="16">
        <v>244</v>
      </c>
      <c r="R283" s="16">
        <v>438.66666666666669</v>
      </c>
    </row>
    <row r="284" spans="1:18" x14ac:dyDescent="0.2">
      <c r="A284" s="1">
        <v>988</v>
      </c>
      <c r="B284" s="32">
        <v>45256</v>
      </c>
      <c r="C284" s="8" t="s">
        <v>42</v>
      </c>
      <c r="D284" s="8">
        <v>2</v>
      </c>
      <c r="E284" s="8" t="s">
        <v>40</v>
      </c>
      <c r="F284" s="8" t="s">
        <v>11</v>
      </c>
      <c r="G284" s="8" t="s">
        <v>10</v>
      </c>
      <c r="H284" t="s">
        <v>45</v>
      </c>
      <c r="I284" t="s">
        <v>13</v>
      </c>
      <c r="J284" t="s">
        <v>52</v>
      </c>
      <c r="K284">
        <v>24</v>
      </c>
      <c r="L284">
        <v>232</v>
      </c>
      <c r="M284">
        <v>50</v>
      </c>
      <c r="N284">
        <v>182</v>
      </c>
      <c r="O284">
        <v>0.78448275862068961</v>
      </c>
      <c r="P284">
        <v>9.6666666666666661</v>
      </c>
      <c r="Q284" s="16">
        <v>917</v>
      </c>
      <c r="R284" s="16">
        <v>498</v>
      </c>
    </row>
    <row r="285" spans="1:18" x14ac:dyDescent="0.2">
      <c r="A285" s="1">
        <v>992</v>
      </c>
      <c r="B285" s="32">
        <v>45257</v>
      </c>
      <c r="C285" s="8" t="s">
        <v>42</v>
      </c>
      <c r="D285" s="8">
        <v>3</v>
      </c>
      <c r="E285" s="8" t="s">
        <v>40</v>
      </c>
      <c r="F285" s="8" t="s">
        <v>11</v>
      </c>
      <c r="G285" s="8" t="s">
        <v>10</v>
      </c>
      <c r="H285" t="s">
        <v>45</v>
      </c>
      <c r="I285" t="s">
        <v>13</v>
      </c>
      <c r="J285" t="s">
        <v>56</v>
      </c>
      <c r="K285">
        <v>24</v>
      </c>
      <c r="L285">
        <v>208</v>
      </c>
      <c r="M285">
        <v>27</v>
      </c>
      <c r="N285">
        <v>181</v>
      </c>
      <c r="O285">
        <v>0.87019230769230771</v>
      </c>
      <c r="P285">
        <v>8.6666666666666661</v>
      </c>
      <c r="Q285" s="16">
        <v>778</v>
      </c>
      <c r="R285" s="16">
        <v>548.83333333333337</v>
      </c>
    </row>
    <row r="286" spans="1:18" x14ac:dyDescent="0.2">
      <c r="A286" s="1">
        <v>996</v>
      </c>
      <c r="B286" s="32">
        <v>45258</v>
      </c>
      <c r="C286" s="8" t="s">
        <v>42</v>
      </c>
      <c r="D286" s="8">
        <v>4</v>
      </c>
      <c r="E286" s="8" t="s">
        <v>40</v>
      </c>
      <c r="F286" s="8" t="s">
        <v>11</v>
      </c>
      <c r="G286" s="8" t="s">
        <v>10</v>
      </c>
      <c r="H286" t="s">
        <v>45</v>
      </c>
      <c r="I286" t="s">
        <v>13</v>
      </c>
      <c r="J286" t="s">
        <v>52</v>
      </c>
      <c r="K286">
        <v>20</v>
      </c>
      <c r="L286">
        <v>180</v>
      </c>
      <c r="M286">
        <v>18</v>
      </c>
      <c r="N286">
        <v>162</v>
      </c>
      <c r="O286">
        <v>0.9</v>
      </c>
      <c r="P286">
        <v>9</v>
      </c>
      <c r="Q286" s="16">
        <v>747</v>
      </c>
      <c r="R286" s="16">
        <v>605.5</v>
      </c>
    </row>
    <row r="287" spans="1:18" x14ac:dyDescent="0.2">
      <c r="A287" s="1">
        <v>1000</v>
      </c>
      <c r="B287" s="32">
        <v>45259</v>
      </c>
      <c r="C287" s="8" t="s">
        <v>42</v>
      </c>
      <c r="D287" s="8">
        <v>5</v>
      </c>
      <c r="E287" s="8" t="s">
        <v>40</v>
      </c>
      <c r="F287" s="8" t="s">
        <v>11</v>
      </c>
      <c r="G287" s="8" t="s">
        <v>10</v>
      </c>
      <c r="H287" t="s">
        <v>45</v>
      </c>
      <c r="I287" t="s">
        <v>13</v>
      </c>
      <c r="J287" t="s">
        <v>56</v>
      </c>
      <c r="K287">
        <v>25</v>
      </c>
      <c r="L287">
        <v>219</v>
      </c>
      <c r="M287">
        <v>8</v>
      </c>
      <c r="N287">
        <v>211</v>
      </c>
      <c r="O287">
        <v>0.9634703196347032</v>
      </c>
      <c r="P287">
        <v>8.76</v>
      </c>
      <c r="Q287" s="16">
        <v>783</v>
      </c>
      <c r="R287" s="16">
        <v>736</v>
      </c>
    </row>
    <row r="288" spans="1:18" x14ac:dyDescent="0.2">
      <c r="A288" s="1">
        <v>1004</v>
      </c>
      <c r="B288" s="32">
        <v>45260</v>
      </c>
      <c r="C288" s="8" t="s">
        <v>42</v>
      </c>
      <c r="D288" s="8">
        <v>6</v>
      </c>
      <c r="E288" s="8" t="s">
        <v>40</v>
      </c>
      <c r="F288" s="8" t="s">
        <v>11</v>
      </c>
      <c r="G288" s="8" t="s">
        <v>10</v>
      </c>
      <c r="H288" t="s">
        <v>45</v>
      </c>
      <c r="I288" t="s">
        <v>13</v>
      </c>
      <c r="J288" t="s">
        <v>52</v>
      </c>
      <c r="K288">
        <v>27</v>
      </c>
      <c r="L288">
        <v>257</v>
      </c>
      <c r="M288">
        <v>23</v>
      </c>
      <c r="N288">
        <v>234</v>
      </c>
      <c r="O288">
        <v>0.91050583657587547</v>
      </c>
      <c r="P288">
        <v>9.518518518518519</v>
      </c>
      <c r="Q288" s="16">
        <v>937</v>
      </c>
      <c r="R288" s="16">
        <v>734.33333333333337</v>
      </c>
    </row>
    <row r="289" spans="1:18" x14ac:dyDescent="0.2">
      <c r="A289" s="1">
        <v>1008</v>
      </c>
      <c r="B289" s="32">
        <v>45261</v>
      </c>
      <c r="C289" s="8" t="s">
        <v>46</v>
      </c>
      <c r="D289" s="8">
        <v>7</v>
      </c>
      <c r="E289" s="8" t="s">
        <v>40</v>
      </c>
      <c r="F289" s="8" t="s">
        <v>11</v>
      </c>
      <c r="G289" s="8" t="s">
        <v>10</v>
      </c>
      <c r="H289" t="s">
        <v>45</v>
      </c>
      <c r="I289" t="s">
        <v>13</v>
      </c>
      <c r="J289" t="s">
        <v>56</v>
      </c>
      <c r="K289">
        <v>25</v>
      </c>
      <c r="L289">
        <v>243</v>
      </c>
      <c r="M289">
        <v>49</v>
      </c>
      <c r="N289">
        <v>194</v>
      </c>
      <c r="O289">
        <v>0.79835390946502061</v>
      </c>
      <c r="P289">
        <v>9.7200000000000006</v>
      </c>
      <c r="Q289" s="16">
        <v>243</v>
      </c>
      <c r="R289" s="16">
        <v>734.16666666666663</v>
      </c>
    </row>
    <row r="290" spans="1:18" x14ac:dyDescent="0.2">
      <c r="A290" s="1">
        <v>1009</v>
      </c>
      <c r="B290" s="32">
        <v>45263</v>
      </c>
      <c r="C290" s="8" t="s">
        <v>46</v>
      </c>
      <c r="D290" s="8">
        <v>2</v>
      </c>
      <c r="E290" s="8" t="s">
        <v>40</v>
      </c>
      <c r="F290" s="8" t="s">
        <v>11</v>
      </c>
      <c r="G290" s="8" t="s">
        <v>11</v>
      </c>
      <c r="H290" t="s">
        <v>14</v>
      </c>
      <c r="I290" t="s">
        <v>13</v>
      </c>
      <c r="J290" t="s">
        <v>52</v>
      </c>
      <c r="K290">
        <v>20</v>
      </c>
      <c r="L290">
        <v>220</v>
      </c>
      <c r="M290">
        <v>38</v>
      </c>
      <c r="N290">
        <v>182</v>
      </c>
      <c r="O290">
        <v>0.82727272727272727</v>
      </c>
      <c r="P290">
        <v>11</v>
      </c>
      <c r="Q290" s="16">
        <v>594</v>
      </c>
      <c r="R290" s="16">
        <v>680.33333333333337</v>
      </c>
    </row>
    <row r="291" spans="1:18" x14ac:dyDescent="0.2">
      <c r="A291" s="1">
        <v>1013</v>
      </c>
      <c r="B291" s="32">
        <v>45264</v>
      </c>
      <c r="C291" s="8" t="s">
        <v>46</v>
      </c>
      <c r="D291" s="8">
        <v>3</v>
      </c>
      <c r="E291" s="8" t="s">
        <v>40</v>
      </c>
      <c r="F291" s="8" t="s">
        <v>11</v>
      </c>
      <c r="G291" s="8" t="s">
        <v>11</v>
      </c>
      <c r="H291" t="s">
        <v>14</v>
      </c>
      <c r="I291" t="s">
        <v>13</v>
      </c>
      <c r="J291" t="s">
        <v>56</v>
      </c>
      <c r="K291">
        <v>18</v>
      </c>
      <c r="L291">
        <v>198</v>
      </c>
      <c r="M291">
        <v>50</v>
      </c>
      <c r="N291">
        <v>148</v>
      </c>
      <c r="O291">
        <v>0.74747474747474751</v>
      </c>
      <c r="P291">
        <v>11</v>
      </c>
      <c r="Q291" s="16">
        <v>506</v>
      </c>
      <c r="R291" s="16">
        <v>635</v>
      </c>
    </row>
    <row r="292" spans="1:18" x14ac:dyDescent="0.2">
      <c r="A292" s="1">
        <v>1017</v>
      </c>
      <c r="B292" s="32">
        <v>45265</v>
      </c>
      <c r="C292" s="8" t="s">
        <v>46</v>
      </c>
      <c r="D292" s="8">
        <v>4</v>
      </c>
      <c r="E292" s="8" t="s">
        <v>40</v>
      </c>
      <c r="F292" s="8" t="s">
        <v>11</v>
      </c>
      <c r="G292" s="8" t="s">
        <v>11</v>
      </c>
      <c r="H292" t="s">
        <v>14</v>
      </c>
      <c r="I292" t="s">
        <v>13</v>
      </c>
      <c r="J292" t="s">
        <v>52</v>
      </c>
      <c r="K292">
        <v>16</v>
      </c>
      <c r="L292">
        <v>176</v>
      </c>
      <c r="M292">
        <v>3</v>
      </c>
      <c r="N292">
        <v>173</v>
      </c>
      <c r="O292">
        <v>0.98295454545454541</v>
      </c>
      <c r="P292">
        <v>11</v>
      </c>
      <c r="Q292" s="16">
        <v>418</v>
      </c>
      <c r="R292" s="16">
        <v>580.16666666666663</v>
      </c>
    </row>
    <row r="293" spans="1:18" x14ac:dyDescent="0.2">
      <c r="A293" s="1">
        <v>1021</v>
      </c>
      <c r="B293" s="32">
        <v>45266</v>
      </c>
      <c r="C293" s="8" t="s">
        <v>46</v>
      </c>
      <c r="D293" s="8">
        <v>5</v>
      </c>
      <c r="E293" s="8" t="s">
        <v>40</v>
      </c>
      <c r="F293" s="8" t="s">
        <v>11</v>
      </c>
      <c r="G293" s="8" t="s">
        <v>11</v>
      </c>
      <c r="H293" t="s">
        <v>14</v>
      </c>
      <c r="I293" t="s">
        <v>13</v>
      </c>
      <c r="J293" t="s">
        <v>56</v>
      </c>
      <c r="K293">
        <v>17</v>
      </c>
      <c r="L293">
        <v>187</v>
      </c>
      <c r="M293">
        <v>22</v>
      </c>
      <c r="N293">
        <v>165</v>
      </c>
      <c r="O293">
        <v>0.88235294117647056</v>
      </c>
      <c r="P293">
        <v>11</v>
      </c>
      <c r="Q293" s="16">
        <v>528</v>
      </c>
      <c r="R293" s="16">
        <v>537.66666666666663</v>
      </c>
    </row>
    <row r="294" spans="1:18" x14ac:dyDescent="0.2">
      <c r="A294" s="1">
        <v>1025</v>
      </c>
      <c r="B294" s="32">
        <v>45267</v>
      </c>
      <c r="C294" s="8" t="s">
        <v>46</v>
      </c>
      <c r="D294" s="8">
        <v>6</v>
      </c>
      <c r="E294" s="8" t="s">
        <v>40</v>
      </c>
      <c r="F294" s="8" t="s">
        <v>11</v>
      </c>
      <c r="G294" s="8" t="s">
        <v>11</v>
      </c>
      <c r="H294" t="s">
        <v>14</v>
      </c>
      <c r="I294" t="s">
        <v>13</v>
      </c>
      <c r="J294" t="s">
        <v>52</v>
      </c>
      <c r="K294">
        <v>20</v>
      </c>
      <c r="L294">
        <v>220</v>
      </c>
      <c r="M294">
        <v>27</v>
      </c>
      <c r="N294">
        <v>193</v>
      </c>
      <c r="O294">
        <v>0.87727272727272732</v>
      </c>
      <c r="P294">
        <v>11</v>
      </c>
      <c r="Q294" s="16">
        <v>594</v>
      </c>
      <c r="R294" s="16">
        <v>480.5</v>
      </c>
    </row>
    <row r="295" spans="1:18" x14ac:dyDescent="0.2">
      <c r="A295" s="1">
        <v>1029</v>
      </c>
      <c r="B295" s="32">
        <v>45268</v>
      </c>
      <c r="C295" s="8" t="s">
        <v>46</v>
      </c>
      <c r="D295" s="8">
        <v>7</v>
      </c>
      <c r="E295" s="8" t="s">
        <v>40</v>
      </c>
      <c r="F295" s="8" t="s">
        <v>11</v>
      </c>
      <c r="G295" s="8" t="s">
        <v>11</v>
      </c>
      <c r="H295" t="s">
        <v>14</v>
      </c>
      <c r="I295" t="s">
        <v>13</v>
      </c>
      <c r="J295" t="s">
        <v>56</v>
      </c>
      <c r="K295">
        <v>21</v>
      </c>
      <c r="L295">
        <v>231</v>
      </c>
      <c r="M295">
        <v>50</v>
      </c>
      <c r="N295">
        <v>181</v>
      </c>
      <c r="O295">
        <v>0.78354978354978355</v>
      </c>
      <c r="P295">
        <v>11</v>
      </c>
      <c r="Q295" s="16">
        <v>231</v>
      </c>
      <c r="R295" s="16">
        <v>478.5</v>
      </c>
    </row>
    <row r="296" spans="1:18" x14ac:dyDescent="0.2">
      <c r="A296" s="1">
        <v>1030</v>
      </c>
      <c r="B296" s="32">
        <v>45270</v>
      </c>
      <c r="C296" s="8" t="s">
        <v>46</v>
      </c>
      <c r="D296" s="8">
        <v>2</v>
      </c>
      <c r="E296" s="8" t="s">
        <v>40</v>
      </c>
      <c r="F296" s="8" t="s">
        <v>11</v>
      </c>
      <c r="G296" s="8" t="s">
        <v>11</v>
      </c>
      <c r="H296" t="s">
        <v>14</v>
      </c>
      <c r="I296" t="s">
        <v>13</v>
      </c>
      <c r="J296" t="s">
        <v>52</v>
      </c>
      <c r="K296">
        <v>20</v>
      </c>
      <c r="L296">
        <v>220</v>
      </c>
      <c r="M296">
        <v>46</v>
      </c>
      <c r="N296">
        <v>174</v>
      </c>
      <c r="O296">
        <v>0.79090909090909089</v>
      </c>
      <c r="P296">
        <v>11</v>
      </c>
      <c r="Q296" s="16">
        <v>572</v>
      </c>
      <c r="R296" s="16">
        <v>474.83333333333331</v>
      </c>
    </row>
    <row r="297" spans="1:18" x14ac:dyDescent="0.2">
      <c r="A297" s="1">
        <v>1034</v>
      </c>
      <c r="B297" s="32">
        <v>45271</v>
      </c>
      <c r="C297" s="8" t="s">
        <v>46</v>
      </c>
      <c r="D297" s="8">
        <v>3</v>
      </c>
      <c r="E297" s="8" t="s">
        <v>40</v>
      </c>
      <c r="F297" s="8" t="s">
        <v>11</v>
      </c>
      <c r="G297" s="8" t="s">
        <v>11</v>
      </c>
      <c r="H297" t="s">
        <v>14</v>
      </c>
      <c r="I297" t="s">
        <v>13</v>
      </c>
      <c r="J297" t="s">
        <v>56</v>
      </c>
      <c r="K297">
        <v>15</v>
      </c>
      <c r="L297">
        <v>165</v>
      </c>
      <c r="M297">
        <v>7</v>
      </c>
      <c r="N297">
        <v>158</v>
      </c>
      <c r="O297">
        <v>0.95757575757575752</v>
      </c>
      <c r="P297">
        <v>11</v>
      </c>
      <c r="Q297" s="16">
        <v>473</v>
      </c>
      <c r="R297" s="16">
        <v>469.33333333333331</v>
      </c>
    </row>
    <row r="298" spans="1:18" x14ac:dyDescent="0.2">
      <c r="A298" s="1">
        <v>1038</v>
      </c>
      <c r="B298" s="32">
        <v>45272</v>
      </c>
      <c r="C298" s="8" t="s">
        <v>46</v>
      </c>
      <c r="D298" s="8">
        <v>4</v>
      </c>
      <c r="E298" s="8" t="s">
        <v>40</v>
      </c>
      <c r="F298" s="8" t="s">
        <v>11</v>
      </c>
      <c r="G298" s="8" t="s">
        <v>11</v>
      </c>
      <c r="H298" t="s">
        <v>14</v>
      </c>
      <c r="I298" t="s">
        <v>13</v>
      </c>
      <c r="J298" t="s">
        <v>52</v>
      </c>
      <c r="K298">
        <v>15</v>
      </c>
      <c r="L298">
        <v>165</v>
      </c>
      <c r="M298">
        <v>5</v>
      </c>
      <c r="N298">
        <v>160</v>
      </c>
      <c r="O298">
        <v>0.96969696969696972</v>
      </c>
      <c r="P298">
        <v>11</v>
      </c>
      <c r="Q298" s="16">
        <v>429</v>
      </c>
      <c r="R298" s="16">
        <v>471.16666666666669</v>
      </c>
    </row>
    <row r="299" spans="1:18" x14ac:dyDescent="0.2">
      <c r="A299" s="1">
        <v>1042</v>
      </c>
      <c r="B299" s="32">
        <v>45273</v>
      </c>
      <c r="C299" s="8" t="s">
        <v>46</v>
      </c>
      <c r="D299" s="8">
        <v>5</v>
      </c>
      <c r="E299" s="8" t="s">
        <v>40</v>
      </c>
      <c r="F299" s="8" t="s">
        <v>11</v>
      </c>
      <c r="G299" s="8" t="s">
        <v>11</v>
      </c>
      <c r="H299" t="s">
        <v>14</v>
      </c>
      <c r="I299" t="s">
        <v>13</v>
      </c>
      <c r="J299" t="s">
        <v>56</v>
      </c>
      <c r="K299">
        <v>17</v>
      </c>
      <c r="L299">
        <v>187</v>
      </c>
      <c r="M299">
        <v>4</v>
      </c>
      <c r="N299">
        <v>183</v>
      </c>
      <c r="O299">
        <v>0.97860962566844922</v>
      </c>
      <c r="P299">
        <v>11</v>
      </c>
      <c r="Q299" s="16">
        <v>495</v>
      </c>
      <c r="R299" s="16">
        <v>465.66666666666669</v>
      </c>
    </row>
    <row r="300" spans="1:18" x14ac:dyDescent="0.2">
      <c r="A300" s="1">
        <v>1046</v>
      </c>
      <c r="B300" s="32">
        <v>45274</v>
      </c>
      <c r="C300" s="8" t="s">
        <v>46</v>
      </c>
      <c r="D300" s="8">
        <v>6</v>
      </c>
      <c r="E300" s="8" t="s">
        <v>40</v>
      </c>
      <c r="F300" s="8" t="s">
        <v>11</v>
      </c>
      <c r="G300" s="8" t="s">
        <v>11</v>
      </c>
      <c r="H300" t="s">
        <v>14</v>
      </c>
      <c r="I300" t="s">
        <v>13</v>
      </c>
      <c r="J300" t="s">
        <v>52</v>
      </c>
      <c r="K300">
        <v>19</v>
      </c>
      <c r="L300">
        <v>209</v>
      </c>
      <c r="M300">
        <v>39</v>
      </c>
      <c r="N300">
        <v>170</v>
      </c>
      <c r="O300">
        <v>0.8133971291866029</v>
      </c>
      <c r="P300">
        <v>11</v>
      </c>
      <c r="Q300" s="16">
        <v>616</v>
      </c>
      <c r="R300" s="16">
        <v>469.33333333333331</v>
      </c>
    </row>
    <row r="301" spans="1:18" x14ac:dyDescent="0.2">
      <c r="A301" s="1">
        <v>1050</v>
      </c>
      <c r="B301" s="32">
        <v>45275</v>
      </c>
      <c r="C301" s="8" t="s">
        <v>46</v>
      </c>
      <c r="D301" s="8">
        <v>7</v>
      </c>
      <c r="E301" s="8" t="s">
        <v>40</v>
      </c>
      <c r="F301" s="8" t="s">
        <v>11</v>
      </c>
      <c r="G301" s="8" t="s">
        <v>11</v>
      </c>
      <c r="H301" t="s">
        <v>14</v>
      </c>
      <c r="I301" t="s">
        <v>13</v>
      </c>
      <c r="J301" t="s">
        <v>56</v>
      </c>
      <c r="K301">
        <v>19</v>
      </c>
      <c r="L301">
        <v>209</v>
      </c>
      <c r="M301">
        <v>18</v>
      </c>
      <c r="N301">
        <v>191</v>
      </c>
      <c r="O301">
        <v>0.9138755980861244</v>
      </c>
      <c r="P301">
        <v>11</v>
      </c>
      <c r="Q301" s="16">
        <v>209</v>
      </c>
      <c r="R301" s="16">
        <v>465.66666666666669</v>
      </c>
    </row>
    <row r="302" spans="1:18" x14ac:dyDescent="0.2">
      <c r="A302" s="1">
        <v>1051</v>
      </c>
      <c r="B302" s="32">
        <v>45277</v>
      </c>
      <c r="C302" s="8" t="s">
        <v>46</v>
      </c>
      <c r="D302" s="8">
        <v>2</v>
      </c>
      <c r="E302" s="8" t="s">
        <v>40</v>
      </c>
      <c r="F302" s="8" t="s">
        <v>11</v>
      </c>
      <c r="G302" s="8" t="s">
        <v>11</v>
      </c>
      <c r="H302" t="s">
        <v>14</v>
      </c>
      <c r="I302" t="s">
        <v>13</v>
      </c>
      <c r="J302" t="s">
        <v>52</v>
      </c>
      <c r="K302">
        <v>21</v>
      </c>
      <c r="L302">
        <v>231</v>
      </c>
      <c r="M302">
        <v>5</v>
      </c>
      <c r="N302">
        <v>226</v>
      </c>
      <c r="O302">
        <v>0.97835497835497831</v>
      </c>
      <c r="P302">
        <v>11</v>
      </c>
      <c r="Q302" s="16">
        <v>616</v>
      </c>
      <c r="R302" s="16">
        <v>473</v>
      </c>
    </row>
    <row r="303" spans="1:18" x14ac:dyDescent="0.2">
      <c r="A303" s="1">
        <v>1055</v>
      </c>
      <c r="B303" s="32">
        <v>45278</v>
      </c>
      <c r="C303" s="8" t="s">
        <v>46</v>
      </c>
      <c r="D303" s="8">
        <v>3</v>
      </c>
      <c r="E303" s="8" t="s">
        <v>40</v>
      </c>
      <c r="F303" s="8" t="s">
        <v>11</v>
      </c>
      <c r="G303" s="8" t="s">
        <v>11</v>
      </c>
      <c r="H303" t="s">
        <v>14</v>
      </c>
      <c r="I303" t="s">
        <v>13</v>
      </c>
      <c r="J303" t="s">
        <v>56</v>
      </c>
      <c r="K303">
        <v>17</v>
      </c>
      <c r="L303">
        <v>187</v>
      </c>
      <c r="M303">
        <v>28</v>
      </c>
      <c r="N303">
        <v>159</v>
      </c>
      <c r="O303">
        <v>0.85026737967914434</v>
      </c>
      <c r="P303">
        <v>11</v>
      </c>
      <c r="Q303" s="16">
        <v>451</v>
      </c>
      <c r="R303" s="16">
        <v>469.33333333333331</v>
      </c>
    </row>
    <row r="304" spans="1:18" x14ac:dyDescent="0.2">
      <c r="A304" s="1">
        <v>1059</v>
      </c>
      <c r="B304" s="32">
        <v>45279</v>
      </c>
      <c r="C304" s="8" t="s">
        <v>46</v>
      </c>
      <c r="D304" s="8">
        <v>4</v>
      </c>
      <c r="E304" s="8" t="s">
        <v>40</v>
      </c>
      <c r="F304" s="8" t="s">
        <v>11</v>
      </c>
      <c r="G304" s="8" t="s">
        <v>10</v>
      </c>
      <c r="H304" t="s">
        <v>47</v>
      </c>
      <c r="I304" t="s">
        <v>13</v>
      </c>
      <c r="J304" t="s">
        <v>52</v>
      </c>
      <c r="K304">
        <v>23</v>
      </c>
      <c r="L304">
        <v>205</v>
      </c>
      <c r="M304">
        <v>32</v>
      </c>
      <c r="N304">
        <v>173</v>
      </c>
      <c r="O304">
        <v>0.84390243902439022</v>
      </c>
      <c r="P304">
        <v>8.9130434782608692</v>
      </c>
      <c r="Q304" s="16">
        <v>785</v>
      </c>
      <c r="R304" s="16">
        <v>528.66666666666663</v>
      </c>
    </row>
    <row r="305" spans="1:18" x14ac:dyDescent="0.2">
      <c r="A305" s="1">
        <v>1063</v>
      </c>
      <c r="B305" s="32">
        <v>45280</v>
      </c>
      <c r="C305" s="8" t="s">
        <v>46</v>
      </c>
      <c r="D305" s="8">
        <v>5</v>
      </c>
      <c r="E305" s="8" t="s">
        <v>40</v>
      </c>
      <c r="F305" s="8" t="s">
        <v>11</v>
      </c>
      <c r="G305" s="8" t="s">
        <v>10</v>
      </c>
      <c r="H305" t="s">
        <v>47</v>
      </c>
      <c r="I305" t="s">
        <v>13</v>
      </c>
      <c r="J305" t="s">
        <v>56</v>
      </c>
      <c r="K305">
        <v>20</v>
      </c>
      <c r="L305">
        <v>188</v>
      </c>
      <c r="M305">
        <v>4</v>
      </c>
      <c r="N305">
        <v>184</v>
      </c>
      <c r="O305">
        <v>0.97872340425531912</v>
      </c>
      <c r="P305">
        <v>9.4</v>
      </c>
      <c r="Q305" s="16">
        <v>790</v>
      </c>
      <c r="R305" s="16">
        <v>577.83333333333337</v>
      </c>
    </row>
    <row r="306" spans="1:18" x14ac:dyDescent="0.2">
      <c r="A306" s="1">
        <v>1067</v>
      </c>
      <c r="B306" s="32">
        <v>45281</v>
      </c>
      <c r="C306" s="8" t="s">
        <v>46</v>
      </c>
      <c r="D306" s="8">
        <v>6</v>
      </c>
      <c r="E306" s="8" t="s">
        <v>40</v>
      </c>
      <c r="F306" s="8" t="s">
        <v>11</v>
      </c>
      <c r="G306" s="8" t="s">
        <v>10</v>
      </c>
      <c r="H306" t="s">
        <v>47</v>
      </c>
      <c r="I306" t="s">
        <v>13</v>
      </c>
      <c r="J306" t="s">
        <v>52</v>
      </c>
      <c r="K306">
        <v>23</v>
      </c>
      <c r="L306">
        <v>237</v>
      </c>
      <c r="M306">
        <v>44</v>
      </c>
      <c r="N306">
        <v>193</v>
      </c>
      <c r="O306">
        <v>0.81434599156118148</v>
      </c>
      <c r="P306">
        <v>10.304347826086957</v>
      </c>
      <c r="Q306" s="16">
        <v>988</v>
      </c>
      <c r="R306" s="16">
        <v>639.83333333333337</v>
      </c>
    </row>
    <row r="307" spans="1:18" x14ac:dyDescent="0.2">
      <c r="A307" s="1">
        <v>1071</v>
      </c>
      <c r="B307" s="32">
        <v>45282</v>
      </c>
      <c r="C307" s="8" t="s">
        <v>46</v>
      </c>
      <c r="D307" s="8">
        <v>7</v>
      </c>
      <c r="E307" s="8" t="s">
        <v>40</v>
      </c>
      <c r="F307" s="8" t="s">
        <v>11</v>
      </c>
      <c r="G307" s="8" t="s">
        <v>10</v>
      </c>
      <c r="H307" t="s">
        <v>47</v>
      </c>
      <c r="I307" t="s">
        <v>13</v>
      </c>
      <c r="J307" t="s">
        <v>56</v>
      </c>
      <c r="K307">
        <v>22</v>
      </c>
      <c r="L307">
        <v>218</v>
      </c>
      <c r="M307">
        <v>40</v>
      </c>
      <c r="N307">
        <v>178</v>
      </c>
      <c r="O307">
        <v>0.8165137614678899</v>
      </c>
      <c r="P307">
        <v>9.9090909090909083</v>
      </c>
      <c r="Q307" s="16">
        <v>218</v>
      </c>
      <c r="R307" s="16">
        <v>641.33333333333337</v>
      </c>
    </row>
    <row r="308" spans="1:18" x14ac:dyDescent="0.2">
      <c r="A308" s="1">
        <v>1072</v>
      </c>
      <c r="B308" s="32">
        <v>45284</v>
      </c>
      <c r="C308" s="8" t="s">
        <v>46</v>
      </c>
      <c r="D308" s="8">
        <v>2</v>
      </c>
      <c r="E308" s="8" t="s">
        <v>40</v>
      </c>
      <c r="F308" s="8" t="s">
        <v>10</v>
      </c>
      <c r="G308" s="8" t="s">
        <v>11</v>
      </c>
      <c r="H308" t="s">
        <v>48</v>
      </c>
      <c r="I308" t="s">
        <v>13</v>
      </c>
      <c r="J308" t="s">
        <v>14</v>
      </c>
      <c r="K308">
        <v>0</v>
      </c>
      <c r="L308">
        <v>0</v>
      </c>
      <c r="M308">
        <v>10</v>
      </c>
      <c r="N308">
        <v>-10</v>
      </c>
      <c r="O308">
        <v>0</v>
      </c>
      <c r="P308">
        <v>0</v>
      </c>
      <c r="Q308" s="16">
        <v>0</v>
      </c>
      <c r="R308" s="16">
        <v>538.66666666666663</v>
      </c>
    </row>
    <row r="309" spans="1:18" x14ac:dyDescent="0.2">
      <c r="A309" s="1">
        <v>1076</v>
      </c>
      <c r="B309" s="32">
        <v>45285</v>
      </c>
      <c r="C309" s="8" t="s">
        <v>46</v>
      </c>
      <c r="D309" s="8">
        <v>3</v>
      </c>
      <c r="E309" s="8" t="s">
        <v>40</v>
      </c>
      <c r="F309" s="8" t="s">
        <v>10</v>
      </c>
      <c r="G309" s="8" t="s">
        <v>11</v>
      </c>
      <c r="H309" t="s">
        <v>49</v>
      </c>
      <c r="I309" t="s">
        <v>13</v>
      </c>
      <c r="J309" t="s">
        <v>14</v>
      </c>
      <c r="K309">
        <v>0</v>
      </c>
      <c r="L309">
        <v>0</v>
      </c>
      <c r="M309">
        <v>10</v>
      </c>
      <c r="N309">
        <v>-10</v>
      </c>
      <c r="O309">
        <v>0</v>
      </c>
      <c r="P309">
        <v>0</v>
      </c>
      <c r="Q309" s="16">
        <v>0</v>
      </c>
      <c r="R309" s="16">
        <v>463.5</v>
      </c>
    </row>
    <row r="310" spans="1:18" x14ac:dyDescent="0.2">
      <c r="A310" s="1">
        <v>1080</v>
      </c>
      <c r="B310" s="32">
        <v>45286</v>
      </c>
      <c r="C310" s="8" t="s">
        <v>46</v>
      </c>
      <c r="D310" s="8">
        <v>4</v>
      </c>
      <c r="E310" s="8" t="s">
        <v>40</v>
      </c>
      <c r="F310" s="8" t="s">
        <v>11</v>
      </c>
      <c r="G310" s="8" t="s">
        <v>11</v>
      </c>
      <c r="H310" t="s">
        <v>14</v>
      </c>
      <c r="I310" t="s">
        <v>13</v>
      </c>
      <c r="J310" t="s">
        <v>52</v>
      </c>
      <c r="K310">
        <v>15</v>
      </c>
      <c r="L310">
        <v>165</v>
      </c>
      <c r="M310">
        <v>34</v>
      </c>
      <c r="N310">
        <v>131</v>
      </c>
      <c r="O310">
        <v>0.79393939393939394</v>
      </c>
      <c r="P310">
        <v>11</v>
      </c>
      <c r="Q310" s="16">
        <v>429</v>
      </c>
      <c r="R310" s="16">
        <v>404.16666666666669</v>
      </c>
    </row>
    <row r="311" spans="1:18" x14ac:dyDescent="0.2">
      <c r="A311" s="1">
        <v>1084</v>
      </c>
      <c r="B311" s="32">
        <v>45287</v>
      </c>
      <c r="C311" s="8" t="s">
        <v>46</v>
      </c>
      <c r="D311" s="8">
        <v>5</v>
      </c>
      <c r="E311" s="8" t="s">
        <v>40</v>
      </c>
      <c r="F311" s="8" t="s">
        <v>11</v>
      </c>
      <c r="G311" s="8" t="s">
        <v>11</v>
      </c>
      <c r="H311" t="s">
        <v>14</v>
      </c>
      <c r="I311" t="s">
        <v>13</v>
      </c>
      <c r="J311" t="s">
        <v>56</v>
      </c>
      <c r="K311">
        <v>18</v>
      </c>
      <c r="L311">
        <v>198</v>
      </c>
      <c r="M311">
        <v>32</v>
      </c>
      <c r="N311">
        <v>166</v>
      </c>
      <c r="O311">
        <v>0.83838383838383834</v>
      </c>
      <c r="P311">
        <v>11</v>
      </c>
      <c r="Q311" s="16">
        <v>517</v>
      </c>
      <c r="R311" s="16">
        <v>358.66666666666669</v>
      </c>
    </row>
    <row r="312" spans="1:18" x14ac:dyDescent="0.2">
      <c r="A312" s="1">
        <v>1088</v>
      </c>
      <c r="B312" s="32">
        <v>45288</v>
      </c>
      <c r="C312" s="8" t="s">
        <v>46</v>
      </c>
      <c r="D312" s="8">
        <v>6</v>
      </c>
      <c r="E312" s="8" t="s">
        <v>40</v>
      </c>
      <c r="F312" s="8" t="s">
        <v>11</v>
      </c>
      <c r="G312" s="8" t="s">
        <v>11</v>
      </c>
      <c r="H312" t="s">
        <v>14</v>
      </c>
      <c r="I312" t="s">
        <v>13</v>
      </c>
      <c r="J312" t="s">
        <v>52</v>
      </c>
      <c r="K312">
        <v>19</v>
      </c>
      <c r="L312">
        <v>209</v>
      </c>
      <c r="M312">
        <v>17</v>
      </c>
      <c r="N312">
        <v>192</v>
      </c>
      <c r="O312">
        <v>0.91866028708133973</v>
      </c>
      <c r="P312">
        <v>11</v>
      </c>
      <c r="Q312" s="16">
        <v>594</v>
      </c>
      <c r="R312" s="16">
        <v>293</v>
      </c>
    </row>
    <row r="313" spans="1:18" x14ac:dyDescent="0.2">
      <c r="A313" s="1">
        <v>1092</v>
      </c>
      <c r="B313" s="32">
        <v>45289</v>
      </c>
      <c r="C313" s="8" t="s">
        <v>46</v>
      </c>
      <c r="D313" s="8">
        <v>7</v>
      </c>
      <c r="E313" s="8" t="s">
        <v>40</v>
      </c>
      <c r="F313" s="8" t="s">
        <v>11</v>
      </c>
      <c r="G313" s="8" t="s">
        <v>11</v>
      </c>
      <c r="H313" t="s">
        <v>14</v>
      </c>
      <c r="I313" t="s">
        <v>13</v>
      </c>
      <c r="J313" t="s">
        <v>56</v>
      </c>
      <c r="K313">
        <v>22</v>
      </c>
      <c r="L313">
        <v>242</v>
      </c>
      <c r="M313">
        <v>11</v>
      </c>
      <c r="N313">
        <v>231</v>
      </c>
      <c r="O313">
        <v>0.95454545454545459</v>
      </c>
      <c r="P313">
        <v>11</v>
      </c>
      <c r="Q313" s="16">
        <v>242</v>
      </c>
      <c r="R313" s="16">
        <v>297</v>
      </c>
    </row>
    <row r="314" spans="1:18" x14ac:dyDescent="0.2">
      <c r="A314" s="1">
        <v>1093</v>
      </c>
      <c r="B314" s="32">
        <v>45291</v>
      </c>
      <c r="C314" s="8" t="s">
        <v>46</v>
      </c>
      <c r="D314" s="8">
        <v>2</v>
      </c>
      <c r="E314" s="8" t="s">
        <v>40</v>
      </c>
      <c r="F314" s="8" t="s">
        <v>10</v>
      </c>
      <c r="G314" s="8" t="s">
        <v>11</v>
      </c>
      <c r="H314" t="s">
        <v>50</v>
      </c>
      <c r="I314" t="s">
        <v>13</v>
      </c>
      <c r="J314" t="s">
        <v>14</v>
      </c>
      <c r="K314">
        <v>0</v>
      </c>
      <c r="L314">
        <v>0</v>
      </c>
      <c r="M314">
        <v>10</v>
      </c>
      <c r="N314">
        <v>-10</v>
      </c>
      <c r="O314">
        <v>0</v>
      </c>
      <c r="P314">
        <v>0</v>
      </c>
      <c r="Q314" s="16">
        <v>0</v>
      </c>
      <c r="R314" s="16">
        <v>297</v>
      </c>
    </row>
    <row r="315" spans="1:18" x14ac:dyDescent="0.2">
      <c r="A315" s="1"/>
      <c r="B315" s="32"/>
      <c r="C315" s="8"/>
      <c r="D315" s="8"/>
      <c r="E315" s="8"/>
      <c r="F315" s="8"/>
      <c r="G315" s="8"/>
    </row>
    <row r="316" spans="1:18" x14ac:dyDescent="0.2">
      <c r="A316" s="1"/>
      <c r="B316" s="32"/>
      <c r="C316" s="8"/>
      <c r="D316" s="8"/>
      <c r="E316" s="8"/>
      <c r="F316" s="8"/>
      <c r="G316" s="8"/>
    </row>
    <row r="317" spans="1:18" x14ac:dyDescent="0.2">
      <c r="A317" s="1"/>
      <c r="B317" s="32"/>
      <c r="C317" s="8"/>
      <c r="D317" s="8"/>
      <c r="E317" s="8"/>
      <c r="F317" s="8"/>
      <c r="G317" s="8"/>
    </row>
    <row r="318" spans="1:18" x14ac:dyDescent="0.2">
      <c r="A318" s="1"/>
      <c r="B318" s="32"/>
      <c r="C318" s="8"/>
      <c r="D318" s="8"/>
      <c r="E318" s="8"/>
      <c r="F318" s="8"/>
      <c r="G318" s="8"/>
    </row>
    <row r="319" spans="1:18" x14ac:dyDescent="0.2">
      <c r="A319" s="1"/>
      <c r="B319" s="32"/>
      <c r="C319" s="8"/>
      <c r="D319" s="8"/>
      <c r="E319" s="8"/>
      <c r="F319" s="8"/>
      <c r="G319" s="8"/>
    </row>
    <row r="320" spans="1:18" x14ac:dyDescent="0.2">
      <c r="A320" s="1"/>
      <c r="B320" s="32"/>
      <c r="C320" s="8"/>
      <c r="D320" s="8"/>
      <c r="E320" s="8"/>
      <c r="F320" s="8"/>
      <c r="G320" s="8"/>
    </row>
    <row r="321" spans="1:7" x14ac:dyDescent="0.2">
      <c r="A321" s="1"/>
      <c r="B321" s="32"/>
      <c r="C321" s="8"/>
      <c r="D321" s="8"/>
      <c r="E321" s="8"/>
      <c r="F321" s="8"/>
      <c r="G321" s="8"/>
    </row>
    <row r="322" spans="1:7" x14ac:dyDescent="0.2">
      <c r="A322" s="1"/>
      <c r="B322" s="32"/>
      <c r="C322" s="8"/>
      <c r="D322" s="8"/>
      <c r="E322" s="8"/>
      <c r="F322" s="8"/>
      <c r="G322" s="8"/>
    </row>
    <row r="323" spans="1:7" x14ac:dyDescent="0.2">
      <c r="A323" s="1"/>
      <c r="B323" s="32"/>
      <c r="C323" s="8"/>
      <c r="D323" s="8"/>
      <c r="E323" s="8"/>
      <c r="F323" s="8"/>
      <c r="G323" s="8"/>
    </row>
    <row r="324" spans="1:7" x14ac:dyDescent="0.2">
      <c r="A324" s="1"/>
      <c r="B324" s="32"/>
      <c r="C324" s="8"/>
      <c r="D324" s="8"/>
      <c r="E324" s="8"/>
      <c r="F324" s="8"/>
      <c r="G324" s="8"/>
    </row>
    <row r="325" spans="1:7" x14ac:dyDescent="0.2">
      <c r="A325" s="1"/>
      <c r="B325" s="32"/>
      <c r="C325" s="8"/>
      <c r="D325" s="8"/>
      <c r="E325" s="8"/>
      <c r="F325" s="8"/>
      <c r="G325" s="8"/>
    </row>
    <row r="326" spans="1:7" x14ac:dyDescent="0.2">
      <c r="A326" s="1"/>
      <c r="B326" s="32"/>
      <c r="C326" s="8"/>
      <c r="D326" s="8"/>
      <c r="E326" s="8"/>
      <c r="F326" s="8"/>
      <c r="G326" s="8"/>
    </row>
    <row r="327" spans="1:7" x14ac:dyDescent="0.2">
      <c r="A327" s="1"/>
      <c r="B327" s="32"/>
      <c r="C327" s="8"/>
      <c r="D327" s="8"/>
      <c r="E327" s="8"/>
      <c r="F327" s="8"/>
      <c r="G327" s="8"/>
    </row>
    <row r="328" spans="1:7" x14ac:dyDescent="0.2">
      <c r="A328" s="1"/>
      <c r="B328" s="32"/>
      <c r="C328" s="8"/>
      <c r="D328" s="8"/>
      <c r="E328" s="8"/>
      <c r="F328" s="8"/>
      <c r="G328" s="8"/>
    </row>
    <row r="329" spans="1:7" x14ac:dyDescent="0.2">
      <c r="A329" s="1"/>
      <c r="B329" s="32"/>
      <c r="C329" s="8"/>
      <c r="D329" s="8"/>
      <c r="E329" s="8"/>
      <c r="F329" s="8"/>
      <c r="G329" s="8"/>
    </row>
    <row r="330" spans="1:7" x14ac:dyDescent="0.2">
      <c r="A330" s="1"/>
      <c r="B330" s="32"/>
      <c r="C330" s="8"/>
      <c r="D330" s="8"/>
      <c r="E330" s="8"/>
      <c r="F330" s="8"/>
      <c r="G330" s="8"/>
    </row>
    <row r="331" spans="1:7" x14ac:dyDescent="0.2">
      <c r="A331" s="1"/>
      <c r="B331" s="32"/>
      <c r="C331" s="8"/>
      <c r="D331" s="8"/>
      <c r="E331" s="8"/>
      <c r="F331" s="8"/>
      <c r="G331" s="8"/>
    </row>
    <row r="332" spans="1:7" x14ac:dyDescent="0.2">
      <c r="A332" s="1"/>
      <c r="B332" s="32"/>
      <c r="C332" s="8"/>
      <c r="D332" s="8"/>
      <c r="E332" s="8"/>
      <c r="F332" s="8"/>
      <c r="G332" s="8"/>
    </row>
    <row r="333" spans="1:7" x14ac:dyDescent="0.2">
      <c r="A333" s="1"/>
      <c r="B333" s="32"/>
      <c r="C333" s="8"/>
      <c r="D333" s="8"/>
      <c r="E333" s="8"/>
      <c r="F333" s="8"/>
      <c r="G333" s="8"/>
    </row>
    <row r="334" spans="1:7" x14ac:dyDescent="0.2">
      <c r="A334" s="1"/>
      <c r="B334" s="32"/>
      <c r="C334" s="8"/>
      <c r="D334" s="8"/>
      <c r="E334" s="8"/>
      <c r="F334" s="8"/>
      <c r="G334" s="8"/>
    </row>
    <row r="335" spans="1:7" x14ac:dyDescent="0.2">
      <c r="A335" s="1"/>
      <c r="B335" s="32"/>
      <c r="C335" s="8"/>
      <c r="D335" s="8"/>
      <c r="E335" s="8"/>
      <c r="F335" s="8"/>
      <c r="G335" s="8"/>
    </row>
    <row r="336" spans="1:7" x14ac:dyDescent="0.2">
      <c r="A336" s="1"/>
      <c r="B336" s="32"/>
      <c r="C336" s="8"/>
      <c r="D336" s="8"/>
      <c r="E336" s="8"/>
      <c r="F336" s="8"/>
      <c r="G336" s="8"/>
    </row>
    <row r="337" spans="1:7" x14ac:dyDescent="0.2">
      <c r="A337" s="1"/>
      <c r="B337" s="32"/>
      <c r="C337" s="8"/>
      <c r="D337" s="8"/>
      <c r="E337" s="8"/>
      <c r="F337" s="8"/>
      <c r="G337" s="8"/>
    </row>
    <row r="338" spans="1:7" x14ac:dyDescent="0.2">
      <c r="A338" s="1"/>
      <c r="B338" s="32"/>
      <c r="C338" s="8"/>
      <c r="D338" s="8"/>
      <c r="E338" s="8"/>
      <c r="F338" s="8"/>
      <c r="G338" s="8"/>
    </row>
    <row r="339" spans="1:7" x14ac:dyDescent="0.2">
      <c r="A339" s="1"/>
      <c r="B339" s="32"/>
      <c r="C339" s="8"/>
      <c r="D339" s="8"/>
      <c r="E339" s="8"/>
      <c r="F339" s="8"/>
      <c r="G339" s="8"/>
    </row>
    <row r="340" spans="1:7" x14ac:dyDescent="0.2">
      <c r="A340" s="1"/>
      <c r="B340" s="32"/>
      <c r="C340" s="8"/>
      <c r="D340" s="8"/>
      <c r="E340" s="8"/>
      <c r="F340" s="8"/>
      <c r="G340" s="8"/>
    </row>
    <row r="341" spans="1:7" x14ac:dyDescent="0.2">
      <c r="A341" s="1"/>
      <c r="B341" s="32"/>
      <c r="C341" s="8"/>
      <c r="D341" s="8"/>
      <c r="E341" s="8"/>
      <c r="F341" s="8"/>
      <c r="G341" s="8"/>
    </row>
    <row r="342" spans="1:7" x14ac:dyDescent="0.2">
      <c r="A342" s="1"/>
      <c r="B342" s="32"/>
      <c r="C342" s="8"/>
      <c r="D342" s="8"/>
      <c r="E342" s="8"/>
      <c r="F342" s="8"/>
      <c r="G342" s="8"/>
    </row>
    <row r="343" spans="1:7" x14ac:dyDescent="0.2">
      <c r="A343" s="1"/>
      <c r="B343" s="32"/>
      <c r="C343" s="8"/>
      <c r="D343" s="8"/>
      <c r="E343" s="8"/>
      <c r="F343" s="8"/>
      <c r="G343" s="8"/>
    </row>
    <row r="344" spans="1:7" x14ac:dyDescent="0.2">
      <c r="A344" s="1"/>
      <c r="B344" s="32"/>
      <c r="C344" s="8"/>
      <c r="D344" s="8"/>
      <c r="E344" s="8"/>
      <c r="F344" s="8"/>
      <c r="G344" s="8"/>
    </row>
    <row r="345" spans="1:7" x14ac:dyDescent="0.2">
      <c r="A345" s="1"/>
      <c r="B345" s="32"/>
      <c r="C345" s="8"/>
      <c r="D345" s="8"/>
      <c r="E345" s="8"/>
      <c r="F345" s="8"/>
      <c r="G345" s="8"/>
    </row>
    <row r="346" spans="1:7" x14ac:dyDescent="0.2">
      <c r="A346" s="1"/>
      <c r="B346" s="32"/>
      <c r="C346" s="8"/>
      <c r="D346" s="8"/>
      <c r="E346" s="8"/>
      <c r="F346" s="8"/>
      <c r="G346" s="8"/>
    </row>
    <row r="347" spans="1:7" x14ac:dyDescent="0.2">
      <c r="A347" s="1"/>
      <c r="B347" s="32"/>
      <c r="C347" s="8"/>
      <c r="D347" s="8"/>
      <c r="E347" s="8"/>
      <c r="F347" s="8"/>
      <c r="G347" s="8"/>
    </row>
    <row r="348" spans="1:7" x14ac:dyDescent="0.2">
      <c r="A348" s="1"/>
      <c r="B348" s="32"/>
      <c r="C348" s="8"/>
      <c r="D348" s="8"/>
      <c r="E348" s="8"/>
      <c r="F348" s="8"/>
      <c r="G348" s="8"/>
    </row>
    <row r="349" spans="1:7" x14ac:dyDescent="0.2">
      <c r="A349" s="1"/>
      <c r="B349" s="32"/>
      <c r="C349" s="8"/>
      <c r="D349" s="8"/>
      <c r="E349" s="8"/>
      <c r="F349" s="8"/>
      <c r="G349" s="8"/>
    </row>
    <row r="350" spans="1:7" x14ac:dyDescent="0.2">
      <c r="A350" s="1"/>
      <c r="B350" s="32"/>
      <c r="C350" s="8"/>
      <c r="D350" s="8"/>
      <c r="E350" s="8"/>
      <c r="F350" s="8"/>
      <c r="G350" s="8"/>
    </row>
    <row r="351" spans="1:7" x14ac:dyDescent="0.2">
      <c r="A351" s="1"/>
      <c r="B351" s="32"/>
      <c r="C351" s="8"/>
      <c r="D351" s="8"/>
      <c r="E351" s="8"/>
      <c r="F351" s="8"/>
      <c r="G351" s="8"/>
    </row>
    <row r="352" spans="1:7" x14ac:dyDescent="0.2">
      <c r="A352" s="1"/>
      <c r="B352" s="32"/>
      <c r="C352" s="8"/>
      <c r="D352" s="8"/>
      <c r="E352" s="8"/>
      <c r="F352" s="8"/>
      <c r="G352" s="8"/>
    </row>
    <row r="353" spans="1:7" x14ac:dyDescent="0.2">
      <c r="A353" s="1"/>
      <c r="B353" s="32"/>
      <c r="C353" s="8"/>
      <c r="D353" s="8"/>
      <c r="E353" s="8"/>
      <c r="F353" s="8"/>
      <c r="G353" s="8"/>
    </row>
    <row r="354" spans="1:7" x14ac:dyDescent="0.2">
      <c r="A354" s="1"/>
      <c r="B354" s="32"/>
      <c r="C354" s="8"/>
      <c r="D354" s="8"/>
      <c r="E354" s="8"/>
      <c r="F354" s="8"/>
      <c r="G354" s="8"/>
    </row>
    <row r="355" spans="1:7" x14ac:dyDescent="0.2">
      <c r="A355" s="1"/>
      <c r="B355" s="32"/>
      <c r="C355" s="8"/>
      <c r="D355" s="8"/>
      <c r="E355" s="8"/>
      <c r="F355" s="8"/>
      <c r="G355" s="8"/>
    </row>
    <row r="356" spans="1:7" x14ac:dyDescent="0.2">
      <c r="A356" s="1"/>
      <c r="B356" s="32"/>
      <c r="C356" s="8"/>
      <c r="D356" s="8"/>
      <c r="E356" s="8"/>
      <c r="F356" s="8"/>
      <c r="G356" s="8"/>
    </row>
    <row r="357" spans="1:7" x14ac:dyDescent="0.2">
      <c r="A357" s="1"/>
      <c r="B357" s="32"/>
      <c r="C357" s="8"/>
      <c r="D357" s="8"/>
      <c r="E357" s="8"/>
      <c r="F357" s="8"/>
      <c r="G357" s="8"/>
    </row>
    <row r="358" spans="1:7" x14ac:dyDescent="0.2">
      <c r="A358" s="1"/>
      <c r="B358" s="32"/>
      <c r="C358" s="8"/>
      <c r="D358" s="8"/>
      <c r="E358" s="8"/>
      <c r="F358" s="8"/>
      <c r="G358" s="8"/>
    </row>
    <row r="359" spans="1:7" x14ac:dyDescent="0.2">
      <c r="A359" s="1"/>
      <c r="B359" s="32"/>
      <c r="C359" s="8"/>
      <c r="D359" s="8"/>
      <c r="E359" s="8"/>
      <c r="F359" s="8"/>
      <c r="G359" s="8"/>
    </row>
    <row r="360" spans="1:7" x14ac:dyDescent="0.2">
      <c r="A360" s="1"/>
      <c r="B360" s="32"/>
      <c r="C360" s="8"/>
      <c r="D360" s="8"/>
      <c r="E360" s="8"/>
      <c r="F360" s="8"/>
      <c r="G360" s="8"/>
    </row>
    <row r="361" spans="1:7" x14ac:dyDescent="0.2">
      <c r="A361" s="1"/>
      <c r="B361" s="32"/>
      <c r="C361" s="8"/>
      <c r="D361" s="8"/>
      <c r="E361" s="8"/>
      <c r="F361" s="8"/>
      <c r="G361" s="8"/>
    </row>
    <row r="362" spans="1:7" x14ac:dyDescent="0.2">
      <c r="A362" s="1"/>
      <c r="B362" s="32"/>
      <c r="C362" s="8"/>
      <c r="D362" s="8"/>
      <c r="E362" s="8"/>
      <c r="F362" s="8"/>
      <c r="G362" s="8"/>
    </row>
    <row r="363" spans="1:7" x14ac:dyDescent="0.2">
      <c r="A363" s="1"/>
      <c r="B363" s="32"/>
      <c r="C363" s="8"/>
      <c r="D363" s="8"/>
      <c r="E363" s="8"/>
      <c r="F363" s="8"/>
      <c r="G363" s="8"/>
    </row>
    <row r="364" spans="1:7" x14ac:dyDescent="0.2">
      <c r="A364" s="1"/>
      <c r="B364" s="32"/>
      <c r="C364" s="8"/>
      <c r="D364" s="8"/>
      <c r="E364" s="8"/>
      <c r="F364" s="8"/>
      <c r="G364" s="8"/>
    </row>
    <row r="365" spans="1:7" x14ac:dyDescent="0.2">
      <c r="A365" s="1"/>
      <c r="B365" s="32"/>
      <c r="C365" s="8"/>
      <c r="D365" s="8"/>
      <c r="E365" s="8"/>
      <c r="F365" s="8"/>
      <c r="G365" s="8"/>
    </row>
    <row r="366" spans="1:7" x14ac:dyDescent="0.2">
      <c r="A366" s="1"/>
      <c r="B366" s="32"/>
      <c r="C366" s="8"/>
      <c r="D366" s="8"/>
      <c r="E366" s="8"/>
      <c r="F366" s="8"/>
      <c r="G366" s="8"/>
    </row>
    <row r="367" spans="1:7" x14ac:dyDescent="0.2">
      <c r="A367" s="1"/>
      <c r="B367" s="32"/>
      <c r="C367" s="8"/>
      <c r="D367" s="8"/>
      <c r="E367" s="8"/>
      <c r="F367" s="8"/>
      <c r="G367" s="8"/>
    </row>
    <row r="368" spans="1:7" x14ac:dyDescent="0.2">
      <c r="A368" s="1"/>
      <c r="B368" s="32"/>
      <c r="C368" s="8"/>
      <c r="D368" s="8"/>
      <c r="E368" s="8"/>
      <c r="F368" s="8"/>
      <c r="G368" s="8"/>
    </row>
    <row r="369" spans="1:7" x14ac:dyDescent="0.2">
      <c r="A369" s="1"/>
      <c r="B369" s="32"/>
      <c r="C369" s="8"/>
      <c r="D369" s="8"/>
      <c r="E369" s="8"/>
      <c r="F369" s="8"/>
      <c r="G369" s="8"/>
    </row>
    <row r="370" spans="1:7" x14ac:dyDescent="0.2">
      <c r="A370" s="1"/>
      <c r="B370" s="32"/>
      <c r="C370" s="8"/>
      <c r="D370" s="8"/>
      <c r="E370" s="8"/>
      <c r="F370" s="8"/>
      <c r="G370" s="8"/>
    </row>
    <row r="371" spans="1:7" x14ac:dyDescent="0.2">
      <c r="A371" s="1"/>
      <c r="B371" s="32"/>
      <c r="C371" s="8"/>
      <c r="D371" s="8"/>
      <c r="E371" s="8"/>
      <c r="F371" s="8"/>
      <c r="G371" s="8"/>
    </row>
    <row r="372" spans="1:7" x14ac:dyDescent="0.2">
      <c r="A372" s="1"/>
      <c r="B372" s="32"/>
      <c r="C372" s="8"/>
      <c r="D372" s="8"/>
      <c r="E372" s="8"/>
      <c r="F372" s="8"/>
      <c r="G372" s="8"/>
    </row>
    <row r="373" spans="1:7" x14ac:dyDescent="0.2">
      <c r="A373" s="1"/>
      <c r="B373" s="32"/>
      <c r="C373" s="8"/>
      <c r="D373" s="8"/>
      <c r="E373" s="8"/>
      <c r="F373" s="8"/>
      <c r="G373" s="8"/>
    </row>
    <row r="374" spans="1:7" x14ac:dyDescent="0.2">
      <c r="A374" s="1"/>
      <c r="B374" s="32"/>
      <c r="C374" s="8"/>
      <c r="D374" s="8"/>
      <c r="E374" s="8"/>
      <c r="F374" s="8"/>
      <c r="G374" s="8"/>
    </row>
    <row r="375" spans="1:7" x14ac:dyDescent="0.2">
      <c r="A375" s="1"/>
      <c r="B375" s="32"/>
      <c r="C375" s="8"/>
      <c r="D375" s="8"/>
      <c r="E375" s="8"/>
      <c r="F375" s="8"/>
      <c r="G375" s="8"/>
    </row>
    <row r="376" spans="1:7" x14ac:dyDescent="0.2">
      <c r="A376" s="1"/>
      <c r="B376" s="32"/>
      <c r="C376" s="8"/>
      <c r="D376" s="8"/>
      <c r="E376" s="8"/>
      <c r="F376" s="8"/>
      <c r="G376" s="8"/>
    </row>
    <row r="377" spans="1:7" x14ac:dyDescent="0.2">
      <c r="A377" s="1"/>
      <c r="B377" s="32"/>
      <c r="C377" s="8"/>
      <c r="D377" s="8"/>
      <c r="E377" s="8"/>
      <c r="F377" s="8"/>
      <c r="G377" s="8"/>
    </row>
    <row r="378" spans="1:7" x14ac:dyDescent="0.2">
      <c r="A378" s="1"/>
      <c r="B378" s="32"/>
      <c r="C378" s="8"/>
      <c r="D378" s="8"/>
      <c r="E378" s="8"/>
      <c r="F378" s="8"/>
      <c r="G378" s="8"/>
    </row>
    <row r="379" spans="1:7" x14ac:dyDescent="0.2">
      <c r="A379" s="1"/>
      <c r="B379" s="32"/>
      <c r="C379" s="8"/>
      <c r="D379" s="8"/>
      <c r="E379" s="8"/>
      <c r="F379" s="8"/>
      <c r="G379" s="8"/>
    </row>
    <row r="380" spans="1:7" x14ac:dyDescent="0.2">
      <c r="A380" s="1"/>
      <c r="B380" s="32"/>
      <c r="C380" s="8"/>
      <c r="D380" s="8"/>
      <c r="E380" s="8"/>
      <c r="F380" s="8"/>
      <c r="G380" s="8"/>
    </row>
    <row r="381" spans="1:7" x14ac:dyDescent="0.2">
      <c r="A381" s="1"/>
      <c r="B381" s="32"/>
      <c r="C381" s="8"/>
      <c r="D381" s="8"/>
      <c r="E381" s="8"/>
      <c r="F381" s="8"/>
      <c r="G381" s="8"/>
    </row>
    <row r="382" spans="1:7" x14ac:dyDescent="0.2">
      <c r="A382" s="1"/>
      <c r="B382" s="32"/>
      <c r="C382" s="8"/>
      <c r="D382" s="8"/>
      <c r="E382" s="8"/>
      <c r="F382" s="8"/>
      <c r="G382" s="8"/>
    </row>
    <row r="383" spans="1:7" x14ac:dyDescent="0.2">
      <c r="A383" s="1"/>
      <c r="B383" s="32"/>
      <c r="C383" s="8"/>
      <c r="D383" s="8"/>
      <c r="E383" s="8"/>
      <c r="F383" s="8"/>
      <c r="G383" s="8"/>
    </row>
    <row r="384" spans="1:7" x14ac:dyDescent="0.2">
      <c r="A384" s="1"/>
      <c r="B384" s="32"/>
      <c r="C384" s="8"/>
      <c r="D384" s="8"/>
      <c r="E384" s="8"/>
      <c r="F384" s="8"/>
      <c r="G384" s="8"/>
    </row>
    <row r="385" spans="1:7" x14ac:dyDescent="0.2">
      <c r="A385" s="1"/>
      <c r="B385" s="32"/>
      <c r="C385" s="8"/>
      <c r="D385" s="8"/>
      <c r="E385" s="8"/>
      <c r="F385" s="8"/>
      <c r="G385" s="8"/>
    </row>
    <row r="386" spans="1:7" x14ac:dyDescent="0.2">
      <c r="A386" s="1"/>
      <c r="B386" s="32"/>
      <c r="C386" s="8"/>
      <c r="D386" s="8"/>
      <c r="E386" s="8"/>
      <c r="F386" s="8"/>
      <c r="G386" s="8"/>
    </row>
    <row r="387" spans="1:7" x14ac:dyDescent="0.2">
      <c r="A387" s="1"/>
      <c r="B387" s="32"/>
      <c r="C387" s="8"/>
      <c r="D387" s="8"/>
      <c r="E387" s="8"/>
      <c r="F387" s="8"/>
      <c r="G387" s="8"/>
    </row>
    <row r="388" spans="1:7" x14ac:dyDescent="0.2">
      <c r="A388" s="1"/>
      <c r="B388" s="32"/>
      <c r="C388" s="8"/>
      <c r="D388" s="8"/>
      <c r="E388" s="8"/>
      <c r="F388" s="8"/>
      <c r="G388" s="8"/>
    </row>
    <row r="389" spans="1:7" x14ac:dyDescent="0.2">
      <c r="A389" s="1"/>
      <c r="B389" s="32"/>
      <c r="C389" s="8"/>
      <c r="D389" s="8"/>
      <c r="E389" s="8"/>
      <c r="F389" s="8"/>
      <c r="G389" s="8"/>
    </row>
    <row r="390" spans="1:7" x14ac:dyDescent="0.2">
      <c r="A390" s="1"/>
      <c r="B390" s="32"/>
      <c r="C390" s="8"/>
      <c r="D390" s="8"/>
      <c r="E390" s="8"/>
      <c r="F390" s="8"/>
      <c r="G390" s="8"/>
    </row>
    <row r="391" spans="1:7" x14ac:dyDescent="0.2">
      <c r="A391" s="1"/>
      <c r="B391" s="32"/>
      <c r="C391" s="8"/>
      <c r="D391" s="8"/>
      <c r="E391" s="8"/>
      <c r="F391" s="8"/>
      <c r="G391" s="8"/>
    </row>
    <row r="392" spans="1:7" x14ac:dyDescent="0.2">
      <c r="A392" s="1"/>
      <c r="B392" s="32"/>
      <c r="C392" s="8"/>
      <c r="D392" s="8"/>
      <c r="E392" s="8"/>
      <c r="F392" s="8"/>
      <c r="G392" s="8"/>
    </row>
    <row r="393" spans="1:7" x14ac:dyDescent="0.2">
      <c r="A393" s="1"/>
      <c r="B393" s="32"/>
      <c r="C393" s="8"/>
      <c r="D393" s="8"/>
      <c r="E393" s="8"/>
      <c r="F393" s="8"/>
      <c r="G393" s="8"/>
    </row>
    <row r="394" spans="1:7" x14ac:dyDescent="0.2">
      <c r="A394" s="1"/>
      <c r="B394" s="32"/>
      <c r="C394" s="8"/>
      <c r="D394" s="8"/>
      <c r="E394" s="8"/>
      <c r="F394" s="8"/>
      <c r="G394" s="8"/>
    </row>
    <row r="395" spans="1:7" x14ac:dyDescent="0.2">
      <c r="A395" s="1"/>
      <c r="B395" s="32"/>
      <c r="C395" s="8"/>
      <c r="D395" s="8"/>
      <c r="E395" s="8"/>
      <c r="F395" s="8"/>
      <c r="G395" s="8"/>
    </row>
    <row r="396" spans="1:7" x14ac:dyDescent="0.2">
      <c r="A396" s="1"/>
      <c r="B396" s="32"/>
      <c r="C396" s="8"/>
      <c r="D396" s="8"/>
      <c r="E396" s="8"/>
      <c r="F396" s="8"/>
      <c r="G396" s="8"/>
    </row>
    <row r="397" spans="1:7" x14ac:dyDescent="0.2">
      <c r="A397" s="1"/>
      <c r="B397" s="32"/>
      <c r="C397" s="8"/>
      <c r="D397" s="8"/>
      <c r="E397" s="8"/>
      <c r="F397" s="8"/>
      <c r="G397" s="8"/>
    </row>
    <row r="398" spans="1:7" x14ac:dyDescent="0.2">
      <c r="A398" s="1"/>
      <c r="B398" s="32"/>
      <c r="C398" s="8"/>
      <c r="D398" s="8"/>
      <c r="E398" s="8"/>
      <c r="F398" s="8"/>
      <c r="G398" s="8"/>
    </row>
    <row r="399" spans="1:7" x14ac:dyDescent="0.2">
      <c r="A399" s="1"/>
      <c r="B399" s="32"/>
      <c r="C399" s="8"/>
      <c r="D399" s="8"/>
      <c r="E399" s="8"/>
      <c r="F399" s="8"/>
      <c r="G399" s="8"/>
    </row>
    <row r="400" spans="1:7" x14ac:dyDescent="0.2">
      <c r="A400" s="1"/>
      <c r="B400" s="32"/>
      <c r="C400" s="8"/>
      <c r="D400" s="8"/>
      <c r="E400" s="8"/>
      <c r="F400" s="8"/>
      <c r="G400" s="8"/>
    </row>
    <row r="401" spans="1:7" x14ac:dyDescent="0.2">
      <c r="A401" s="1"/>
      <c r="B401" s="32"/>
      <c r="C401" s="8"/>
      <c r="D401" s="8"/>
      <c r="E401" s="8"/>
      <c r="F401" s="8"/>
      <c r="G401" s="8"/>
    </row>
    <row r="402" spans="1:7" x14ac:dyDescent="0.2">
      <c r="A402" s="1"/>
      <c r="B402" s="32"/>
      <c r="C402" s="8"/>
      <c r="D402" s="8"/>
      <c r="E402" s="8"/>
      <c r="F402" s="8"/>
      <c r="G402" s="8"/>
    </row>
    <row r="403" spans="1:7" x14ac:dyDescent="0.2">
      <c r="A403" s="1"/>
      <c r="B403" s="32"/>
      <c r="C403" s="8"/>
      <c r="D403" s="8"/>
      <c r="E403" s="8"/>
      <c r="F403" s="8"/>
      <c r="G403" s="8"/>
    </row>
    <row r="404" spans="1:7" x14ac:dyDescent="0.2">
      <c r="A404" s="1"/>
      <c r="B404" s="32"/>
      <c r="C404" s="8"/>
      <c r="D404" s="8"/>
      <c r="E404" s="8"/>
      <c r="F404" s="8"/>
      <c r="G404" s="8"/>
    </row>
    <row r="405" spans="1:7" x14ac:dyDescent="0.2">
      <c r="A405" s="1"/>
      <c r="B405" s="32"/>
      <c r="C405" s="8"/>
      <c r="D405" s="8"/>
      <c r="E405" s="8"/>
      <c r="F405" s="8"/>
      <c r="G405" s="8"/>
    </row>
    <row r="406" spans="1:7" x14ac:dyDescent="0.2">
      <c r="A406" s="1"/>
      <c r="B406" s="32"/>
      <c r="C406" s="8"/>
      <c r="D406" s="8"/>
      <c r="E406" s="8"/>
      <c r="F406" s="8"/>
      <c r="G406" s="8"/>
    </row>
    <row r="407" spans="1:7" x14ac:dyDescent="0.2">
      <c r="A407" s="1"/>
      <c r="B407" s="32"/>
      <c r="C407" s="8"/>
      <c r="D407" s="8"/>
      <c r="E407" s="8"/>
      <c r="F407" s="8"/>
      <c r="G407" s="8"/>
    </row>
    <row r="408" spans="1:7" x14ac:dyDescent="0.2">
      <c r="A408" s="1"/>
      <c r="B408" s="32"/>
      <c r="C408" s="8"/>
      <c r="D408" s="8"/>
      <c r="E408" s="8"/>
      <c r="F408" s="8"/>
      <c r="G408" s="8"/>
    </row>
    <row r="409" spans="1:7" x14ac:dyDescent="0.2">
      <c r="A409" s="1"/>
      <c r="B409" s="32"/>
      <c r="C409" s="8"/>
      <c r="D409" s="8"/>
      <c r="E409" s="8"/>
      <c r="F409" s="8"/>
      <c r="G409" s="8"/>
    </row>
    <row r="410" spans="1:7" x14ac:dyDescent="0.2">
      <c r="A410" s="1"/>
      <c r="B410" s="32"/>
      <c r="C410" s="8"/>
      <c r="D410" s="8"/>
      <c r="E410" s="8"/>
      <c r="F410" s="8"/>
      <c r="G410" s="8"/>
    </row>
    <row r="411" spans="1:7" x14ac:dyDescent="0.2">
      <c r="A411" s="1"/>
      <c r="B411" s="32"/>
      <c r="C411" s="8"/>
      <c r="D411" s="8"/>
      <c r="E411" s="8"/>
      <c r="F411" s="8"/>
      <c r="G411" s="8"/>
    </row>
    <row r="412" spans="1:7" x14ac:dyDescent="0.2">
      <c r="A412" s="1"/>
      <c r="B412" s="32"/>
      <c r="C412" s="8"/>
      <c r="D412" s="8"/>
      <c r="E412" s="8"/>
      <c r="F412" s="8"/>
      <c r="G412" s="8"/>
    </row>
    <row r="413" spans="1:7" x14ac:dyDescent="0.2">
      <c r="A413" s="1"/>
      <c r="B413" s="32"/>
      <c r="C413" s="8"/>
      <c r="D413" s="8"/>
      <c r="E413" s="8"/>
      <c r="F413" s="8"/>
      <c r="G413" s="8"/>
    </row>
    <row r="414" spans="1:7" x14ac:dyDescent="0.2">
      <c r="A414" s="1"/>
      <c r="B414" s="32"/>
      <c r="C414" s="8"/>
      <c r="D414" s="8"/>
      <c r="E414" s="8"/>
      <c r="F414" s="8"/>
      <c r="G414" s="8"/>
    </row>
    <row r="415" spans="1:7" x14ac:dyDescent="0.2">
      <c r="A415" s="1"/>
      <c r="B415" s="32"/>
      <c r="C415" s="8"/>
      <c r="D415" s="8"/>
      <c r="E415" s="8"/>
      <c r="F415" s="8"/>
      <c r="G415" s="8"/>
    </row>
    <row r="416" spans="1:7" x14ac:dyDescent="0.2">
      <c r="A416" s="1"/>
      <c r="B416" s="32"/>
      <c r="C416" s="8"/>
      <c r="D416" s="8"/>
      <c r="E416" s="8"/>
      <c r="F416" s="8"/>
      <c r="G416" s="8"/>
    </row>
    <row r="417" spans="1:7" x14ac:dyDescent="0.2">
      <c r="A417" s="1"/>
      <c r="B417" s="32"/>
      <c r="C417" s="8"/>
      <c r="D417" s="8"/>
      <c r="E417" s="8"/>
      <c r="F417" s="8"/>
      <c r="G417" s="8"/>
    </row>
    <row r="418" spans="1:7" x14ac:dyDescent="0.2">
      <c r="A418" s="1"/>
      <c r="B418" s="32"/>
      <c r="C418" s="8"/>
      <c r="D418" s="8"/>
      <c r="E418" s="8"/>
      <c r="F418" s="8"/>
      <c r="G418" s="8"/>
    </row>
    <row r="419" spans="1:7" x14ac:dyDescent="0.2">
      <c r="A419" s="1"/>
      <c r="B419" s="32"/>
      <c r="C419" s="8"/>
      <c r="D419" s="8"/>
      <c r="E419" s="8"/>
      <c r="F419" s="8"/>
      <c r="G419" s="8"/>
    </row>
    <row r="420" spans="1:7" x14ac:dyDescent="0.2">
      <c r="A420" s="1"/>
      <c r="B420" s="32"/>
      <c r="C420" s="8"/>
      <c r="D420" s="8"/>
      <c r="E420" s="8"/>
      <c r="F420" s="8"/>
      <c r="G420" s="8"/>
    </row>
    <row r="421" spans="1:7" x14ac:dyDescent="0.2">
      <c r="A421" s="1"/>
      <c r="B421" s="32"/>
      <c r="C421" s="8"/>
      <c r="D421" s="8"/>
      <c r="E421" s="8"/>
      <c r="F421" s="8"/>
      <c r="G421" s="8"/>
    </row>
    <row r="422" spans="1:7" x14ac:dyDescent="0.2">
      <c r="A422" s="1"/>
      <c r="B422" s="32"/>
      <c r="C422" s="8"/>
      <c r="D422" s="8"/>
      <c r="E422" s="8"/>
      <c r="F422" s="8"/>
      <c r="G422" s="8"/>
    </row>
    <row r="423" spans="1:7" x14ac:dyDescent="0.2">
      <c r="A423" s="1"/>
      <c r="B423" s="32"/>
      <c r="C423" s="8"/>
      <c r="D423" s="8"/>
      <c r="E423" s="8"/>
      <c r="F423" s="8"/>
      <c r="G423" s="8"/>
    </row>
    <row r="424" spans="1:7" x14ac:dyDescent="0.2">
      <c r="A424" s="1"/>
      <c r="B424" s="32"/>
      <c r="C424" s="8"/>
      <c r="D424" s="8"/>
      <c r="E424" s="8"/>
      <c r="F424" s="8"/>
      <c r="G424" s="8"/>
    </row>
    <row r="425" spans="1:7" x14ac:dyDescent="0.2">
      <c r="A425" s="1"/>
      <c r="B425" s="32"/>
      <c r="C425" s="8"/>
      <c r="D425" s="8"/>
      <c r="E425" s="8"/>
      <c r="F425" s="8"/>
      <c r="G425" s="8"/>
    </row>
    <row r="426" spans="1:7" x14ac:dyDescent="0.2">
      <c r="A426" s="1"/>
      <c r="B426" s="32"/>
      <c r="C426" s="8"/>
      <c r="D426" s="8"/>
      <c r="E426" s="8"/>
      <c r="F426" s="8"/>
      <c r="G426" s="8"/>
    </row>
    <row r="427" spans="1:7" x14ac:dyDescent="0.2">
      <c r="A427" s="1"/>
      <c r="B427" s="32"/>
      <c r="C427" s="8"/>
      <c r="D427" s="8"/>
      <c r="E427" s="8"/>
      <c r="F427" s="8"/>
      <c r="G427" s="8"/>
    </row>
    <row r="428" spans="1:7" x14ac:dyDescent="0.2">
      <c r="A428" s="1"/>
      <c r="B428" s="32"/>
      <c r="C428" s="8"/>
      <c r="D428" s="8"/>
      <c r="E428" s="8"/>
      <c r="F428" s="8"/>
      <c r="G428" s="8"/>
    </row>
    <row r="429" spans="1:7" x14ac:dyDescent="0.2">
      <c r="A429" s="1"/>
      <c r="B429" s="32"/>
      <c r="C429" s="8"/>
      <c r="D429" s="8"/>
      <c r="E429" s="8"/>
      <c r="F429" s="8"/>
      <c r="G429" s="8"/>
    </row>
    <row r="430" spans="1:7" x14ac:dyDescent="0.2">
      <c r="A430" s="1"/>
      <c r="B430" s="32"/>
      <c r="C430" s="8"/>
      <c r="D430" s="8"/>
      <c r="E430" s="8"/>
      <c r="F430" s="8"/>
      <c r="G430" s="8"/>
    </row>
    <row r="431" spans="1:7" x14ac:dyDescent="0.2">
      <c r="A431" s="1"/>
      <c r="B431" s="32"/>
      <c r="C431" s="8"/>
      <c r="D431" s="8"/>
      <c r="E431" s="8"/>
      <c r="F431" s="8"/>
      <c r="G431" s="8"/>
    </row>
    <row r="432" spans="1:7" x14ac:dyDescent="0.2">
      <c r="A432" s="1"/>
      <c r="B432" s="32"/>
      <c r="C432" s="8"/>
      <c r="D432" s="8"/>
      <c r="E432" s="8"/>
      <c r="F432" s="8"/>
      <c r="G432" s="8"/>
    </row>
    <row r="433" spans="1:7" x14ac:dyDescent="0.2">
      <c r="A433" s="1"/>
      <c r="B433" s="32"/>
      <c r="C433" s="8"/>
      <c r="D433" s="8"/>
      <c r="E433" s="8"/>
      <c r="F433" s="8"/>
      <c r="G433" s="8"/>
    </row>
    <row r="434" spans="1:7" x14ac:dyDescent="0.2">
      <c r="A434" s="1"/>
      <c r="B434" s="32"/>
      <c r="C434" s="8"/>
      <c r="D434" s="8"/>
      <c r="E434" s="8"/>
      <c r="F434" s="8"/>
      <c r="G434" s="8"/>
    </row>
    <row r="435" spans="1:7" x14ac:dyDescent="0.2">
      <c r="A435" s="1"/>
      <c r="B435" s="32"/>
      <c r="C435" s="8"/>
      <c r="D435" s="8"/>
      <c r="E435" s="8"/>
      <c r="F435" s="8"/>
      <c r="G435" s="8"/>
    </row>
    <row r="436" spans="1:7" x14ac:dyDescent="0.2">
      <c r="A436" s="1"/>
      <c r="B436" s="32"/>
      <c r="C436" s="8"/>
      <c r="D436" s="8"/>
      <c r="E436" s="8"/>
      <c r="F436" s="8"/>
      <c r="G436" s="8"/>
    </row>
    <row r="437" spans="1:7" x14ac:dyDescent="0.2">
      <c r="A437" s="1"/>
      <c r="B437" s="32"/>
      <c r="C437" s="8"/>
      <c r="D437" s="8"/>
      <c r="E437" s="8"/>
      <c r="F437" s="8"/>
      <c r="G437" s="8"/>
    </row>
    <row r="438" spans="1:7" x14ac:dyDescent="0.2">
      <c r="A438" s="1"/>
      <c r="B438" s="32"/>
      <c r="C438" s="8"/>
      <c r="D438" s="8"/>
      <c r="E438" s="8"/>
      <c r="F438" s="8"/>
      <c r="G438" s="8"/>
    </row>
    <row r="439" spans="1:7" x14ac:dyDescent="0.2">
      <c r="A439" s="1"/>
      <c r="B439" s="32"/>
      <c r="C439" s="8"/>
      <c r="D439" s="8"/>
      <c r="E439" s="8"/>
      <c r="F439" s="8"/>
      <c r="G439" s="8"/>
    </row>
    <row r="440" spans="1:7" x14ac:dyDescent="0.2">
      <c r="A440" s="1"/>
      <c r="B440" s="32"/>
      <c r="C440" s="8"/>
      <c r="D440" s="8"/>
      <c r="E440" s="8"/>
      <c r="F440" s="8"/>
      <c r="G440" s="8"/>
    </row>
    <row r="441" spans="1:7" x14ac:dyDescent="0.2">
      <c r="A441" s="1"/>
      <c r="B441" s="32"/>
      <c r="C441" s="8"/>
      <c r="D441" s="8"/>
      <c r="E441" s="8"/>
      <c r="F441" s="8"/>
      <c r="G441" s="8"/>
    </row>
    <row r="442" spans="1:7" x14ac:dyDescent="0.2">
      <c r="A442" s="1"/>
      <c r="B442" s="32"/>
      <c r="C442" s="8"/>
      <c r="D442" s="8"/>
      <c r="E442" s="8"/>
      <c r="F442" s="8"/>
      <c r="G442" s="8"/>
    </row>
    <row r="443" spans="1:7" x14ac:dyDescent="0.2">
      <c r="A443" s="1"/>
      <c r="B443" s="32"/>
      <c r="C443" s="8"/>
      <c r="D443" s="8"/>
      <c r="E443" s="8"/>
      <c r="F443" s="8"/>
      <c r="G443" s="8"/>
    </row>
    <row r="444" spans="1:7" x14ac:dyDescent="0.2">
      <c r="A444" s="1"/>
      <c r="B444" s="32"/>
      <c r="C444" s="8"/>
      <c r="D444" s="8"/>
      <c r="E444" s="8"/>
      <c r="F444" s="8"/>
      <c r="G444" s="8"/>
    </row>
    <row r="445" spans="1:7" x14ac:dyDescent="0.2">
      <c r="A445" s="1"/>
      <c r="B445" s="32"/>
      <c r="C445" s="8"/>
      <c r="D445" s="8"/>
      <c r="E445" s="8"/>
      <c r="F445" s="8"/>
      <c r="G445" s="8"/>
    </row>
    <row r="446" spans="1:7" x14ac:dyDescent="0.2">
      <c r="A446" s="1"/>
      <c r="B446" s="32"/>
      <c r="C446" s="8"/>
      <c r="D446" s="8"/>
      <c r="E446" s="8"/>
      <c r="F446" s="8"/>
      <c r="G446" s="8"/>
    </row>
    <row r="447" spans="1:7" x14ac:dyDescent="0.2">
      <c r="A447" s="1"/>
      <c r="B447" s="32"/>
      <c r="C447" s="8"/>
      <c r="D447" s="8"/>
      <c r="E447" s="8"/>
      <c r="F447" s="8"/>
      <c r="G447" s="8"/>
    </row>
    <row r="448" spans="1:7" x14ac:dyDescent="0.2">
      <c r="A448" s="1"/>
      <c r="B448" s="32"/>
      <c r="C448" s="8"/>
      <c r="D448" s="8"/>
      <c r="E448" s="8"/>
      <c r="F448" s="8"/>
      <c r="G448" s="8"/>
    </row>
    <row r="449" spans="1:7" x14ac:dyDescent="0.2">
      <c r="A449" s="1"/>
      <c r="B449" s="32"/>
      <c r="C449" s="8"/>
      <c r="D449" s="8"/>
      <c r="E449" s="8"/>
      <c r="F449" s="8"/>
      <c r="G449" s="8"/>
    </row>
    <row r="450" spans="1:7" x14ac:dyDescent="0.2">
      <c r="A450" s="1"/>
      <c r="B450" s="32"/>
      <c r="C450" s="8"/>
      <c r="D450" s="8"/>
      <c r="E450" s="8"/>
      <c r="F450" s="8"/>
      <c r="G450" s="8"/>
    </row>
    <row r="451" spans="1:7" x14ac:dyDescent="0.2">
      <c r="A451" s="1"/>
      <c r="B451" s="32"/>
      <c r="C451" s="8"/>
      <c r="D451" s="8"/>
      <c r="E451" s="8"/>
      <c r="F451" s="8"/>
      <c r="G451" s="8"/>
    </row>
    <row r="452" spans="1:7" x14ac:dyDescent="0.2">
      <c r="A452" s="1"/>
      <c r="B452" s="32"/>
      <c r="C452" s="8"/>
      <c r="D452" s="8"/>
      <c r="E452" s="8"/>
      <c r="F452" s="8"/>
      <c r="G452" s="8"/>
    </row>
    <row r="453" spans="1:7" x14ac:dyDescent="0.2">
      <c r="A453" s="1"/>
      <c r="B453" s="32"/>
      <c r="C453" s="8"/>
      <c r="D453" s="8"/>
      <c r="E453" s="8"/>
      <c r="F453" s="8"/>
      <c r="G453" s="8"/>
    </row>
    <row r="454" spans="1:7" x14ac:dyDescent="0.2">
      <c r="A454" s="1"/>
      <c r="B454" s="32"/>
      <c r="C454" s="8"/>
      <c r="D454" s="8"/>
      <c r="E454" s="8"/>
      <c r="F454" s="8"/>
      <c r="G454" s="8"/>
    </row>
    <row r="455" spans="1:7" x14ac:dyDescent="0.2">
      <c r="A455" s="1"/>
      <c r="B455" s="32"/>
      <c r="C455" s="8"/>
      <c r="D455" s="8"/>
      <c r="E455" s="8"/>
      <c r="F455" s="8"/>
      <c r="G455" s="8"/>
    </row>
    <row r="456" spans="1:7" x14ac:dyDescent="0.2">
      <c r="A456" s="1"/>
      <c r="B456" s="32"/>
      <c r="C456" s="8"/>
      <c r="D456" s="8"/>
      <c r="E456" s="8"/>
      <c r="F456" s="8"/>
      <c r="G456" s="8"/>
    </row>
    <row r="457" spans="1:7" x14ac:dyDescent="0.2">
      <c r="A457" s="1"/>
      <c r="B457" s="32"/>
      <c r="C457" s="8"/>
      <c r="D457" s="8"/>
      <c r="E457" s="8"/>
      <c r="F457" s="8"/>
      <c r="G457" s="8"/>
    </row>
    <row r="458" spans="1:7" x14ac:dyDescent="0.2">
      <c r="A458" s="1"/>
      <c r="B458" s="32"/>
      <c r="C458" s="8"/>
      <c r="D458" s="8"/>
      <c r="E458" s="8"/>
      <c r="F458" s="8"/>
      <c r="G458" s="8"/>
    </row>
    <row r="459" spans="1:7" x14ac:dyDescent="0.2">
      <c r="A459" s="1"/>
      <c r="B459" s="32"/>
      <c r="C459" s="8"/>
      <c r="D459" s="8"/>
      <c r="E459" s="8"/>
      <c r="F459" s="8"/>
      <c r="G459" s="8"/>
    </row>
    <row r="460" spans="1:7" x14ac:dyDescent="0.2">
      <c r="A460" s="1"/>
      <c r="B460" s="32"/>
      <c r="C460" s="8"/>
      <c r="D460" s="8"/>
      <c r="E460" s="8"/>
      <c r="F460" s="8"/>
      <c r="G460" s="8"/>
    </row>
    <row r="461" spans="1:7" x14ac:dyDescent="0.2">
      <c r="A461" s="1"/>
      <c r="B461" s="32"/>
      <c r="C461" s="8"/>
      <c r="D461" s="8"/>
      <c r="E461" s="8"/>
      <c r="F461" s="8"/>
      <c r="G461" s="8"/>
    </row>
    <row r="462" spans="1:7" x14ac:dyDescent="0.2">
      <c r="A462" s="1"/>
      <c r="B462" s="32"/>
      <c r="C462" s="8"/>
      <c r="D462" s="8"/>
      <c r="E462" s="8"/>
      <c r="F462" s="8"/>
      <c r="G462" s="8"/>
    </row>
    <row r="463" spans="1:7" x14ac:dyDescent="0.2">
      <c r="A463" s="1"/>
      <c r="B463" s="32"/>
      <c r="C463" s="8"/>
      <c r="D463" s="8"/>
      <c r="E463" s="8"/>
      <c r="F463" s="8"/>
      <c r="G463" s="8"/>
    </row>
    <row r="464" spans="1:7" x14ac:dyDescent="0.2">
      <c r="A464" s="1"/>
      <c r="B464" s="32"/>
      <c r="C464" s="8"/>
      <c r="D464" s="8"/>
      <c r="E464" s="8"/>
      <c r="F464" s="8"/>
      <c r="G464" s="8"/>
    </row>
    <row r="465" spans="1:7" x14ac:dyDescent="0.2">
      <c r="A465" s="1"/>
      <c r="B465" s="32"/>
      <c r="C465" s="8"/>
      <c r="D465" s="8"/>
      <c r="E465" s="8"/>
      <c r="F465" s="8"/>
      <c r="G465" s="8"/>
    </row>
    <row r="466" spans="1:7" x14ac:dyDescent="0.2">
      <c r="A466" s="1"/>
      <c r="B466" s="32"/>
      <c r="C466" s="8"/>
      <c r="D466" s="8"/>
      <c r="E466" s="8"/>
      <c r="F466" s="8"/>
      <c r="G466" s="8"/>
    </row>
    <row r="467" spans="1:7" x14ac:dyDescent="0.2">
      <c r="A467" s="1"/>
      <c r="B467" s="32"/>
      <c r="C467" s="8"/>
      <c r="D467" s="8"/>
      <c r="E467" s="8"/>
      <c r="F467" s="8"/>
      <c r="G467" s="8"/>
    </row>
    <row r="468" spans="1:7" x14ac:dyDescent="0.2">
      <c r="A468" s="1"/>
      <c r="B468" s="32"/>
      <c r="C468" s="8"/>
      <c r="D468" s="8"/>
      <c r="E468" s="8"/>
      <c r="F468" s="8"/>
      <c r="G468" s="8"/>
    </row>
    <row r="469" spans="1:7" x14ac:dyDescent="0.2">
      <c r="A469" s="1"/>
      <c r="B469" s="32"/>
      <c r="C469" s="8"/>
      <c r="D469" s="8"/>
      <c r="E469" s="8"/>
      <c r="F469" s="8"/>
      <c r="G469" s="8"/>
    </row>
    <row r="470" spans="1:7" x14ac:dyDescent="0.2">
      <c r="A470" s="1"/>
      <c r="B470" s="32"/>
      <c r="C470" s="8"/>
      <c r="D470" s="8"/>
      <c r="E470" s="8"/>
      <c r="F470" s="8"/>
      <c r="G470" s="8"/>
    </row>
    <row r="471" spans="1:7" x14ac:dyDescent="0.2">
      <c r="A471" s="1"/>
      <c r="B471" s="32"/>
      <c r="C471" s="8"/>
      <c r="D471" s="8"/>
      <c r="E471" s="8"/>
      <c r="F471" s="8"/>
      <c r="G471" s="8"/>
    </row>
    <row r="472" spans="1:7" x14ac:dyDescent="0.2">
      <c r="A472" s="1"/>
      <c r="B472" s="32"/>
      <c r="C472" s="8"/>
      <c r="D472" s="8"/>
      <c r="E472" s="8"/>
      <c r="F472" s="8"/>
      <c r="G472" s="8"/>
    </row>
    <row r="473" spans="1:7" x14ac:dyDescent="0.2">
      <c r="A473" s="1"/>
      <c r="B473" s="32"/>
      <c r="C473" s="8"/>
      <c r="D473" s="8"/>
      <c r="E473" s="8"/>
      <c r="F473" s="8"/>
      <c r="G473" s="8"/>
    </row>
    <row r="474" spans="1:7" x14ac:dyDescent="0.2">
      <c r="A474" s="1"/>
      <c r="B474" s="32"/>
      <c r="C474" s="8"/>
      <c r="D474" s="8"/>
      <c r="E474" s="8"/>
      <c r="F474" s="8"/>
      <c r="G474" s="8"/>
    </row>
    <row r="475" spans="1:7" x14ac:dyDescent="0.2">
      <c r="A475" s="1"/>
      <c r="B475" s="32"/>
      <c r="C475" s="8"/>
      <c r="D475" s="8"/>
      <c r="E475" s="8"/>
      <c r="F475" s="8"/>
      <c r="G475" s="8"/>
    </row>
    <row r="476" spans="1:7" x14ac:dyDescent="0.2">
      <c r="A476" s="1"/>
      <c r="B476" s="32"/>
      <c r="C476" s="8"/>
      <c r="D476" s="8"/>
      <c r="E476" s="8"/>
      <c r="F476" s="8"/>
      <c r="G476" s="8"/>
    </row>
    <row r="477" spans="1:7" x14ac:dyDescent="0.2">
      <c r="A477" s="1"/>
      <c r="B477" s="32"/>
      <c r="C477" s="8"/>
      <c r="D477" s="8"/>
      <c r="E477" s="8"/>
      <c r="F477" s="8"/>
      <c r="G477" s="8"/>
    </row>
    <row r="478" spans="1:7" x14ac:dyDescent="0.2">
      <c r="A478" s="1"/>
      <c r="B478" s="32"/>
      <c r="C478" s="8"/>
      <c r="D478" s="8"/>
      <c r="E478" s="8"/>
      <c r="F478" s="8"/>
      <c r="G478" s="8"/>
    </row>
    <row r="479" spans="1:7" x14ac:dyDescent="0.2">
      <c r="A479" s="1"/>
      <c r="B479" s="32"/>
      <c r="C479" s="8"/>
      <c r="D479" s="8"/>
      <c r="E479" s="8"/>
      <c r="F479" s="8"/>
      <c r="G479" s="8"/>
    </row>
    <row r="480" spans="1:7" x14ac:dyDescent="0.2">
      <c r="A480" s="1"/>
      <c r="B480" s="32"/>
      <c r="C480" s="8"/>
      <c r="D480" s="8"/>
      <c r="E480" s="8"/>
      <c r="F480" s="8"/>
      <c r="G480" s="8"/>
    </row>
    <row r="481" spans="1:7" x14ac:dyDescent="0.2">
      <c r="A481" s="1"/>
      <c r="B481" s="32"/>
      <c r="C481" s="8"/>
      <c r="D481" s="8"/>
      <c r="E481" s="8"/>
      <c r="F481" s="8"/>
      <c r="G481" s="8"/>
    </row>
    <row r="482" spans="1:7" x14ac:dyDescent="0.2">
      <c r="A482" s="1"/>
      <c r="B482" s="32"/>
      <c r="C482" s="8"/>
      <c r="D482" s="8"/>
      <c r="E482" s="8"/>
      <c r="F482" s="8"/>
      <c r="G482" s="8"/>
    </row>
    <row r="483" spans="1:7" x14ac:dyDescent="0.2">
      <c r="A483" s="1"/>
      <c r="B483" s="32"/>
      <c r="C483" s="8"/>
      <c r="D483" s="8"/>
      <c r="E483" s="8"/>
      <c r="F483" s="8"/>
      <c r="G483" s="8"/>
    </row>
    <row r="484" spans="1:7" x14ac:dyDescent="0.2">
      <c r="A484" s="1"/>
      <c r="B484" s="32"/>
      <c r="C484" s="8"/>
      <c r="D484" s="8"/>
      <c r="E484" s="8"/>
      <c r="F484" s="8"/>
      <c r="G484" s="8"/>
    </row>
    <row r="485" spans="1:7" x14ac:dyDescent="0.2">
      <c r="A485" s="1"/>
      <c r="B485" s="32"/>
      <c r="C485" s="8"/>
      <c r="D485" s="8"/>
      <c r="E485" s="8"/>
      <c r="F485" s="8"/>
      <c r="G485" s="8"/>
    </row>
    <row r="486" spans="1:7" x14ac:dyDescent="0.2">
      <c r="A486" s="1"/>
      <c r="B486" s="32"/>
      <c r="C486" s="8"/>
      <c r="D486" s="8"/>
      <c r="E486" s="8"/>
      <c r="F486" s="8"/>
      <c r="G486" s="8"/>
    </row>
    <row r="487" spans="1:7" x14ac:dyDescent="0.2">
      <c r="A487" s="1"/>
      <c r="B487" s="32"/>
      <c r="C487" s="8"/>
      <c r="D487" s="8"/>
      <c r="E487" s="8"/>
      <c r="F487" s="8"/>
      <c r="G487" s="8"/>
    </row>
    <row r="488" spans="1:7" x14ac:dyDescent="0.2">
      <c r="A488" s="1"/>
      <c r="B488" s="32"/>
      <c r="C488" s="8"/>
      <c r="D488" s="8"/>
      <c r="E488" s="8"/>
      <c r="F488" s="8"/>
      <c r="G488" s="8"/>
    </row>
    <row r="489" spans="1:7" x14ac:dyDescent="0.2">
      <c r="A489" s="1"/>
      <c r="B489" s="32"/>
      <c r="C489" s="8"/>
      <c r="D489" s="8"/>
      <c r="E489" s="8"/>
      <c r="F489" s="8"/>
      <c r="G489" s="8"/>
    </row>
    <row r="490" spans="1:7" x14ac:dyDescent="0.2">
      <c r="A490" s="1"/>
      <c r="B490" s="32"/>
      <c r="C490" s="8"/>
      <c r="D490" s="8"/>
      <c r="E490" s="8"/>
      <c r="F490" s="8"/>
      <c r="G490" s="8"/>
    </row>
    <row r="491" spans="1:7" x14ac:dyDescent="0.2">
      <c r="A491" s="1"/>
      <c r="B491" s="32"/>
      <c r="C491" s="8"/>
      <c r="D491" s="8"/>
      <c r="E491" s="8"/>
      <c r="F491" s="8"/>
      <c r="G491" s="8"/>
    </row>
    <row r="492" spans="1:7" x14ac:dyDescent="0.2">
      <c r="A492" s="1"/>
      <c r="B492" s="32"/>
      <c r="C492" s="8"/>
      <c r="D492" s="8"/>
      <c r="E492" s="8"/>
      <c r="F492" s="8"/>
      <c r="G492" s="8"/>
    </row>
    <row r="493" spans="1:7" x14ac:dyDescent="0.2">
      <c r="A493" s="1"/>
      <c r="B493" s="32"/>
      <c r="C493" s="8"/>
      <c r="D493" s="8"/>
      <c r="E493" s="8"/>
      <c r="F493" s="8"/>
      <c r="G493" s="8"/>
    </row>
    <row r="494" spans="1:7" x14ac:dyDescent="0.2">
      <c r="A494" s="1"/>
      <c r="B494" s="32"/>
      <c r="C494" s="8"/>
      <c r="D494" s="8"/>
      <c r="E494" s="8"/>
      <c r="F494" s="8"/>
      <c r="G494" s="8"/>
    </row>
    <row r="495" spans="1:7" x14ac:dyDescent="0.2">
      <c r="A495" s="1"/>
      <c r="B495" s="32"/>
      <c r="C495" s="8"/>
      <c r="D495" s="8"/>
      <c r="E495" s="8"/>
      <c r="F495" s="8"/>
      <c r="G495" s="8"/>
    </row>
    <row r="496" spans="1:7" x14ac:dyDescent="0.2">
      <c r="A496" s="1"/>
      <c r="B496" s="32"/>
      <c r="C496" s="8"/>
      <c r="D496" s="8"/>
      <c r="E496" s="8"/>
      <c r="F496" s="8"/>
      <c r="G496" s="8"/>
    </row>
    <row r="497" spans="1:7" x14ac:dyDescent="0.2">
      <c r="A497" s="1"/>
      <c r="B497" s="32"/>
      <c r="C497" s="8"/>
      <c r="D497" s="8"/>
      <c r="E497" s="8"/>
      <c r="F497" s="8"/>
      <c r="G497" s="8"/>
    </row>
    <row r="498" spans="1:7" x14ac:dyDescent="0.2">
      <c r="A498" s="1"/>
      <c r="B498" s="32"/>
      <c r="C498" s="8"/>
      <c r="D498" s="8"/>
      <c r="E498" s="8"/>
      <c r="F498" s="8"/>
      <c r="G498" s="8"/>
    </row>
    <row r="499" spans="1:7" x14ac:dyDescent="0.2">
      <c r="A499" s="1"/>
      <c r="B499" s="32"/>
      <c r="C499" s="8"/>
      <c r="D499" s="8"/>
      <c r="E499" s="8"/>
      <c r="F499" s="8"/>
      <c r="G499" s="8"/>
    </row>
    <row r="500" spans="1:7" x14ac:dyDescent="0.2">
      <c r="A500" s="1"/>
      <c r="B500" s="32"/>
      <c r="C500" s="8"/>
      <c r="D500" s="8"/>
      <c r="E500" s="8"/>
      <c r="F500" s="8"/>
      <c r="G500" s="8"/>
    </row>
    <row r="501" spans="1:7" x14ac:dyDescent="0.2">
      <c r="A501" s="1"/>
      <c r="B501" s="32"/>
      <c r="C501" s="8"/>
      <c r="D501" s="8"/>
      <c r="E501" s="8"/>
      <c r="F501" s="8"/>
      <c r="G501" s="8"/>
    </row>
    <row r="502" spans="1:7" x14ac:dyDescent="0.2">
      <c r="A502" s="1"/>
      <c r="B502" s="32"/>
      <c r="C502" s="8"/>
      <c r="D502" s="8"/>
      <c r="E502" s="8"/>
      <c r="F502" s="8"/>
      <c r="G502" s="8"/>
    </row>
    <row r="503" spans="1:7" x14ac:dyDescent="0.2">
      <c r="A503" s="1"/>
      <c r="B503" s="32"/>
      <c r="C503" s="8"/>
      <c r="D503" s="8"/>
      <c r="E503" s="8"/>
      <c r="F503" s="8"/>
      <c r="G503" s="8"/>
    </row>
    <row r="504" spans="1:7" x14ac:dyDescent="0.2">
      <c r="A504" s="1"/>
      <c r="B504" s="32"/>
      <c r="C504" s="8"/>
      <c r="D504" s="8"/>
      <c r="E504" s="8"/>
      <c r="F504" s="8"/>
      <c r="G504" s="8"/>
    </row>
    <row r="505" spans="1:7" x14ac:dyDescent="0.2">
      <c r="A505" s="1"/>
      <c r="B505" s="32"/>
      <c r="C505" s="8"/>
      <c r="D505" s="8"/>
      <c r="E505" s="8"/>
      <c r="F505" s="8"/>
      <c r="G505" s="8"/>
    </row>
    <row r="506" spans="1:7" x14ac:dyDescent="0.2">
      <c r="A506" s="1"/>
      <c r="B506" s="32"/>
      <c r="C506" s="8"/>
      <c r="D506" s="8"/>
      <c r="E506" s="8"/>
      <c r="F506" s="8"/>
      <c r="G506" s="8"/>
    </row>
    <row r="507" spans="1:7" x14ac:dyDescent="0.2">
      <c r="A507" s="1"/>
      <c r="B507" s="32"/>
      <c r="C507" s="8"/>
      <c r="D507" s="8"/>
      <c r="E507" s="8"/>
      <c r="F507" s="8"/>
      <c r="G507" s="8"/>
    </row>
    <row r="508" spans="1:7" x14ac:dyDescent="0.2">
      <c r="A508" s="1"/>
      <c r="B508" s="32"/>
      <c r="C508" s="8"/>
      <c r="D508" s="8"/>
      <c r="E508" s="8"/>
      <c r="F508" s="8"/>
      <c r="G508" s="8"/>
    </row>
    <row r="509" spans="1:7" x14ac:dyDescent="0.2">
      <c r="A509" s="1"/>
      <c r="B509" s="32"/>
      <c r="C509" s="8"/>
      <c r="D509" s="8"/>
      <c r="E509" s="8"/>
      <c r="F509" s="8"/>
      <c r="G509" s="8"/>
    </row>
    <row r="510" spans="1:7" x14ac:dyDescent="0.2">
      <c r="A510" s="1"/>
      <c r="B510" s="32"/>
      <c r="C510" s="8"/>
      <c r="D510" s="8"/>
      <c r="E510" s="8"/>
      <c r="F510" s="8"/>
      <c r="G510" s="8"/>
    </row>
    <row r="511" spans="1:7" x14ac:dyDescent="0.2">
      <c r="A511" s="1"/>
      <c r="B511" s="32"/>
      <c r="C511" s="8"/>
      <c r="D511" s="8"/>
      <c r="E511" s="8"/>
      <c r="F511" s="8"/>
      <c r="G511" s="8"/>
    </row>
    <row r="512" spans="1:7" x14ac:dyDescent="0.2">
      <c r="A512" s="1"/>
      <c r="B512" s="32"/>
      <c r="C512" s="8"/>
      <c r="D512" s="8"/>
      <c r="E512" s="8"/>
      <c r="F512" s="8"/>
      <c r="G512" s="8"/>
    </row>
    <row r="513" spans="1:7" x14ac:dyDescent="0.2">
      <c r="A513" s="1"/>
      <c r="B513" s="32"/>
      <c r="C513" s="8"/>
      <c r="D513" s="8"/>
      <c r="E513" s="8"/>
      <c r="F513" s="8"/>
      <c r="G513" s="8"/>
    </row>
    <row r="514" spans="1:7" x14ac:dyDescent="0.2">
      <c r="A514" s="1"/>
      <c r="B514" s="32"/>
      <c r="C514" s="8"/>
      <c r="D514" s="8"/>
      <c r="E514" s="8"/>
      <c r="F514" s="8"/>
      <c r="G514" s="8"/>
    </row>
    <row r="515" spans="1:7" x14ac:dyDescent="0.2">
      <c r="A515" s="1"/>
      <c r="B515" s="32"/>
      <c r="C515" s="8"/>
      <c r="D515" s="8"/>
      <c r="E515" s="8"/>
      <c r="F515" s="8"/>
      <c r="G515" s="8"/>
    </row>
    <row r="516" spans="1:7" x14ac:dyDescent="0.2">
      <c r="A516" s="1"/>
      <c r="B516" s="32"/>
      <c r="C516" s="8"/>
      <c r="D516" s="8"/>
      <c r="E516" s="8"/>
      <c r="F516" s="8"/>
      <c r="G516" s="8"/>
    </row>
    <row r="517" spans="1:7" x14ac:dyDescent="0.2">
      <c r="A517" s="1"/>
      <c r="B517" s="32"/>
      <c r="C517" s="8"/>
      <c r="D517" s="8"/>
      <c r="E517" s="8"/>
      <c r="F517" s="8"/>
      <c r="G517" s="8"/>
    </row>
    <row r="518" spans="1:7" x14ac:dyDescent="0.2">
      <c r="A518" s="1"/>
      <c r="B518" s="32"/>
      <c r="C518" s="8"/>
      <c r="D518" s="8"/>
      <c r="E518" s="8"/>
      <c r="F518" s="8"/>
      <c r="G518" s="8"/>
    </row>
    <row r="519" spans="1:7" x14ac:dyDescent="0.2">
      <c r="A519" s="1"/>
      <c r="B519" s="32"/>
      <c r="C519" s="8"/>
      <c r="D519" s="8"/>
      <c r="E519" s="8"/>
      <c r="F519" s="8"/>
      <c r="G519" s="8"/>
    </row>
    <row r="520" spans="1:7" x14ac:dyDescent="0.2">
      <c r="A520" s="1"/>
      <c r="B520" s="32"/>
      <c r="C520" s="8"/>
      <c r="D520" s="8"/>
      <c r="E520" s="8"/>
      <c r="F520" s="8"/>
      <c r="G520" s="8"/>
    </row>
    <row r="521" spans="1:7" x14ac:dyDescent="0.2">
      <c r="A521" s="1"/>
      <c r="B521" s="32"/>
      <c r="C521" s="8"/>
      <c r="D521" s="8"/>
      <c r="E521" s="8"/>
      <c r="F521" s="8"/>
      <c r="G521" s="8"/>
    </row>
    <row r="522" spans="1:7" x14ac:dyDescent="0.2">
      <c r="A522" s="1"/>
      <c r="B522" s="32"/>
      <c r="C522" s="8"/>
      <c r="D522" s="8"/>
      <c r="E522" s="8"/>
      <c r="F522" s="8"/>
      <c r="G522" s="8"/>
    </row>
    <row r="523" spans="1:7" x14ac:dyDescent="0.2">
      <c r="A523" s="1"/>
      <c r="B523" s="32"/>
      <c r="C523" s="8"/>
      <c r="D523" s="8"/>
      <c r="E523" s="8"/>
      <c r="F523" s="8"/>
      <c r="G523" s="8"/>
    </row>
    <row r="524" spans="1:7" x14ac:dyDescent="0.2">
      <c r="A524" s="1"/>
      <c r="B524" s="32"/>
      <c r="C524" s="8"/>
      <c r="D524" s="8"/>
      <c r="E524" s="8"/>
      <c r="F524" s="8"/>
      <c r="G524" s="8"/>
    </row>
    <row r="525" spans="1:7" x14ac:dyDescent="0.2">
      <c r="A525" s="1"/>
      <c r="B525" s="32"/>
      <c r="C525" s="8"/>
      <c r="D525" s="8"/>
      <c r="E525" s="8"/>
      <c r="F525" s="8"/>
      <c r="G525" s="8"/>
    </row>
    <row r="526" spans="1:7" x14ac:dyDescent="0.2">
      <c r="A526" s="1"/>
      <c r="B526" s="32"/>
      <c r="C526" s="8"/>
      <c r="D526" s="8"/>
      <c r="E526" s="8"/>
      <c r="F526" s="8"/>
      <c r="G526" s="8"/>
    </row>
    <row r="527" spans="1:7" x14ac:dyDescent="0.2">
      <c r="A527" s="1"/>
      <c r="B527" s="32"/>
      <c r="C527" s="8"/>
      <c r="D527" s="8"/>
      <c r="E527" s="8"/>
      <c r="F527" s="8"/>
      <c r="G527" s="8"/>
    </row>
    <row r="528" spans="1:7" x14ac:dyDescent="0.2">
      <c r="A528" s="1"/>
      <c r="B528" s="32"/>
      <c r="C528" s="8"/>
      <c r="D528" s="8"/>
      <c r="E528" s="8"/>
      <c r="F528" s="8"/>
      <c r="G528" s="8"/>
    </row>
    <row r="529" spans="1:7" x14ac:dyDescent="0.2">
      <c r="A529" s="1"/>
      <c r="B529" s="32"/>
      <c r="C529" s="8"/>
      <c r="D529" s="8"/>
      <c r="E529" s="8"/>
      <c r="F529" s="8"/>
      <c r="G529" s="8"/>
    </row>
    <row r="530" spans="1:7" x14ac:dyDescent="0.2">
      <c r="A530" s="1"/>
      <c r="B530" s="32"/>
      <c r="C530" s="8"/>
      <c r="D530" s="8"/>
      <c r="E530" s="8"/>
      <c r="F530" s="8"/>
      <c r="G530" s="8"/>
    </row>
    <row r="531" spans="1:7" x14ac:dyDescent="0.2">
      <c r="A531" s="1"/>
      <c r="B531" s="32"/>
      <c r="C531" s="8"/>
      <c r="D531" s="8"/>
      <c r="E531" s="8"/>
      <c r="F531" s="8"/>
      <c r="G531" s="8"/>
    </row>
    <row r="532" spans="1:7" x14ac:dyDescent="0.2">
      <c r="A532" s="1"/>
      <c r="B532" s="32"/>
      <c r="C532" s="8"/>
      <c r="D532" s="8"/>
      <c r="E532" s="8"/>
      <c r="F532" s="8"/>
      <c r="G532" s="8"/>
    </row>
    <row r="533" spans="1:7" x14ac:dyDescent="0.2">
      <c r="A533" s="1"/>
      <c r="B533" s="32"/>
      <c r="C533" s="8"/>
      <c r="D533" s="8"/>
      <c r="E533" s="8"/>
      <c r="F533" s="8"/>
      <c r="G533" s="8"/>
    </row>
    <row r="534" spans="1:7" x14ac:dyDescent="0.2">
      <c r="A534" s="1"/>
      <c r="B534" s="32"/>
      <c r="C534" s="8"/>
      <c r="D534" s="8"/>
      <c r="E534" s="8"/>
      <c r="F534" s="8"/>
      <c r="G534" s="8"/>
    </row>
    <row r="535" spans="1:7" x14ac:dyDescent="0.2">
      <c r="A535" s="1"/>
      <c r="B535" s="32"/>
      <c r="C535" s="8"/>
      <c r="D535" s="8"/>
      <c r="E535" s="8"/>
      <c r="F535" s="8"/>
      <c r="G535" s="8"/>
    </row>
    <row r="536" spans="1:7" x14ac:dyDescent="0.2">
      <c r="A536" s="1"/>
      <c r="B536" s="32"/>
      <c r="C536" s="8"/>
      <c r="D536" s="8"/>
      <c r="E536" s="8"/>
      <c r="F536" s="8"/>
      <c r="G536" s="8"/>
    </row>
    <row r="537" spans="1:7" x14ac:dyDescent="0.2">
      <c r="A537" s="1"/>
      <c r="B537" s="32"/>
      <c r="C537" s="8"/>
      <c r="D537" s="8"/>
      <c r="E537" s="8"/>
      <c r="F537" s="8"/>
      <c r="G537" s="8"/>
    </row>
    <row r="538" spans="1:7" x14ac:dyDescent="0.2">
      <c r="A538" s="1"/>
      <c r="B538" s="32"/>
      <c r="C538" s="8"/>
      <c r="D538" s="8"/>
      <c r="E538" s="8"/>
      <c r="F538" s="8"/>
      <c r="G538" s="8"/>
    </row>
    <row r="539" spans="1:7" x14ac:dyDescent="0.2">
      <c r="A539" s="1"/>
      <c r="B539" s="32"/>
      <c r="C539" s="8"/>
      <c r="D539" s="8"/>
      <c r="E539" s="8"/>
      <c r="F539" s="8"/>
      <c r="G539" s="8"/>
    </row>
    <row r="540" spans="1:7" x14ac:dyDescent="0.2">
      <c r="A540" s="1"/>
      <c r="B540" s="32"/>
      <c r="C540" s="8"/>
      <c r="D540" s="8"/>
      <c r="E540" s="8"/>
      <c r="F540" s="8"/>
      <c r="G540" s="8"/>
    </row>
    <row r="541" spans="1:7" x14ac:dyDescent="0.2">
      <c r="A541" s="1"/>
      <c r="B541" s="32"/>
      <c r="C541" s="8"/>
      <c r="D541" s="8"/>
      <c r="E541" s="8"/>
      <c r="F541" s="8"/>
      <c r="G541" s="8"/>
    </row>
    <row r="542" spans="1:7" x14ac:dyDescent="0.2">
      <c r="A542" s="1"/>
      <c r="B542" s="32"/>
      <c r="C542" s="8"/>
      <c r="D542" s="8"/>
      <c r="E542" s="8"/>
      <c r="F542" s="8"/>
      <c r="G542" s="8"/>
    </row>
    <row r="543" spans="1:7" x14ac:dyDescent="0.2">
      <c r="A543" s="1"/>
      <c r="B543" s="32"/>
      <c r="C543" s="8"/>
      <c r="D543" s="8"/>
      <c r="E543" s="8"/>
      <c r="F543" s="8"/>
      <c r="G543" s="8"/>
    </row>
    <row r="544" spans="1:7" x14ac:dyDescent="0.2">
      <c r="A544" s="1"/>
      <c r="B544" s="32"/>
      <c r="C544" s="8"/>
      <c r="D544" s="8"/>
      <c r="E544" s="8"/>
      <c r="F544" s="8"/>
      <c r="G544" s="8"/>
    </row>
    <row r="545" spans="1:7" x14ac:dyDescent="0.2">
      <c r="A545" s="1"/>
      <c r="B545" s="32"/>
      <c r="C545" s="8"/>
      <c r="D545" s="8"/>
      <c r="E545" s="8"/>
      <c r="F545" s="8"/>
      <c r="G545" s="8"/>
    </row>
    <row r="546" spans="1:7" x14ac:dyDescent="0.2">
      <c r="A546" s="1"/>
      <c r="B546" s="32"/>
      <c r="C546" s="8"/>
      <c r="D546" s="8"/>
      <c r="E546" s="8"/>
      <c r="F546" s="8"/>
      <c r="G546" s="8"/>
    </row>
    <row r="547" spans="1:7" x14ac:dyDescent="0.2">
      <c r="A547" s="1"/>
      <c r="B547" s="32"/>
      <c r="C547" s="8"/>
      <c r="D547" s="8"/>
      <c r="E547" s="8"/>
      <c r="F547" s="8"/>
      <c r="G547" s="8"/>
    </row>
    <row r="548" spans="1:7" x14ac:dyDescent="0.2">
      <c r="A548" s="1"/>
      <c r="B548" s="32"/>
      <c r="C548" s="8"/>
      <c r="D548" s="8"/>
      <c r="E548" s="8"/>
      <c r="F548" s="8"/>
      <c r="G548" s="8"/>
    </row>
    <row r="549" spans="1:7" x14ac:dyDescent="0.2">
      <c r="A549" s="1"/>
      <c r="B549" s="32"/>
      <c r="C549" s="8"/>
      <c r="D549" s="8"/>
      <c r="E549" s="8"/>
      <c r="F549" s="8"/>
      <c r="G549" s="8"/>
    </row>
    <row r="550" spans="1:7" x14ac:dyDescent="0.2">
      <c r="A550" s="1"/>
      <c r="B550" s="32"/>
      <c r="C550" s="8"/>
      <c r="D550" s="8"/>
      <c r="E550" s="8"/>
      <c r="F550" s="8"/>
      <c r="G550" s="8"/>
    </row>
    <row r="551" spans="1:7" x14ac:dyDescent="0.2">
      <c r="A551" s="1"/>
      <c r="B551" s="32"/>
      <c r="C551" s="8"/>
      <c r="D551" s="8"/>
      <c r="E551" s="8"/>
      <c r="F551" s="8"/>
      <c r="G551" s="8"/>
    </row>
    <row r="552" spans="1:7" x14ac:dyDescent="0.2">
      <c r="A552" s="1"/>
      <c r="B552" s="32"/>
      <c r="C552" s="8"/>
      <c r="D552" s="8"/>
      <c r="E552" s="8"/>
      <c r="F552" s="8"/>
      <c r="G552" s="8"/>
    </row>
    <row r="553" spans="1:7" x14ac:dyDescent="0.2">
      <c r="A553" s="1"/>
      <c r="B553" s="32"/>
      <c r="C553" s="8"/>
      <c r="D553" s="8"/>
      <c r="E553" s="8"/>
      <c r="F553" s="8"/>
      <c r="G553" s="8"/>
    </row>
    <row r="554" spans="1:7" x14ac:dyDescent="0.2">
      <c r="A554" s="1"/>
      <c r="B554" s="32"/>
      <c r="C554" s="8"/>
      <c r="D554" s="8"/>
      <c r="E554" s="8"/>
      <c r="F554" s="8"/>
      <c r="G554" s="8"/>
    </row>
    <row r="555" spans="1:7" x14ac:dyDescent="0.2">
      <c r="A555" s="1"/>
      <c r="B555" s="32"/>
      <c r="C555" s="8"/>
      <c r="D555" s="8"/>
      <c r="E555" s="8"/>
      <c r="F555" s="8"/>
      <c r="G555" s="8"/>
    </row>
    <row r="556" spans="1:7" x14ac:dyDescent="0.2">
      <c r="A556" s="1"/>
      <c r="B556" s="32"/>
      <c r="C556" s="8"/>
      <c r="D556" s="8"/>
      <c r="E556" s="8"/>
      <c r="F556" s="8"/>
      <c r="G556" s="8"/>
    </row>
    <row r="557" spans="1:7" x14ac:dyDescent="0.2">
      <c r="A557" s="1"/>
      <c r="B557" s="32"/>
      <c r="C557" s="8"/>
      <c r="D557" s="8"/>
      <c r="E557" s="8"/>
      <c r="F557" s="8"/>
      <c r="G557" s="8"/>
    </row>
    <row r="558" spans="1:7" x14ac:dyDescent="0.2">
      <c r="A558" s="1"/>
      <c r="B558" s="32"/>
      <c r="C558" s="8"/>
      <c r="D558" s="8"/>
      <c r="E558" s="8"/>
      <c r="F558" s="8"/>
      <c r="G558" s="8"/>
    </row>
    <row r="559" spans="1:7" x14ac:dyDescent="0.2">
      <c r="A559" s="1"/>
      <c r="B559" s="32"/>
      <c r="C559" s="8"/>
      <c r="D559" s="8"/>
      <c r="E559" s="8"/>
      <c r="F559" s="8"/>
      <c r="G559" s="8"/>
    </row>
    <row r="560" spans="1:7" x14ac:dyDescent="0.2">
      <c r="A560" s="1"/>
      <c r="B560" s="32"/>
      <c r="C560" s="8"/>
      <c r="D560" s="8"/>
      <c r="E560" s="8"/>
      <c r="F560" s="8"/>
      <c r="G560" s="8"/>
    </row>
    <row r="561" spans="1:7" x14ac:dyDescent="0.2">
      <c r="A561" s="1"/>
      <c r="B561" s="32"/>
      <c r="C561" s="8"/>
      <c r="D561" s="8"/>
      <c r="E561" s="8"/>
      <c r="F561" s="8"/>
      <c r="G561" s="8"/>
    </row>
    <row r="562" spans="1:7" x14ac:dyDescent="0.2">
      <c r="A562" s="1"/>
      <c r="B562" s="32"/>
      <c r="C562" s="8"/>
      <c r="D562" s="8"/>
      <c r="E562" s="8"/>
      <c r="F562" s="8"/>
      <c r="G562" s="8"/>
    </row>
    <row r="563" spans="1:7" x14ac:dyDescent="0.2">
      <c r="A563" s="1"/>
      <c r="B563" s="32"/>
      <c r="C563" s="8"/>
      <c r="D563" s="8"/>
      <c r="E563" s="8"/>
      <c r="F563" s="8"/>
      <c r="G563" s="8"/>
    </row>
    <row r="564" spans="1:7" x14ac:dyDescent="0.2">
      <c r="A564" s="1"/>
      <c r="B564" s="32"/>
      <c r="C564" s="8"/>
      <c r="D564" s="8"/>
      <c r="E564" s="8"/>
      <c r="F564" s="8"/>
      <c r="G564" s="8"/>
    </row>
    <row r="565" spans="1:7" x14ac:dyDescent="0.2">
      <c r="A565" s="1"/>
      <c r="B565" s="32"/>
      <c r="C565" s="8"/>
      <c r="D565" s="8"/>
      <c r="E565" s="8"/>
      <c r="F565" s="8"/>
      <c r="G565" s="8"/>
    </row>
    <row r="566" spans="1:7" x14ac:dyDescent="0.2">
      <c r="A566" s="1"/>
      <c r="B566" s="32"/>
      <c r="C566" s="8"/>
      <c r="D566" s="8"/>
      <c r="E566" s="8"/>
      <c r="F566" s="8"/>
      <c r="G566" s="8"/>
    </row>
    <row r="567" spans="1:7" x14ac:dyDescent="0.2">
      <c r="A567" s="1"/>
      <c r="B567" s="32"/>
      <c r="C567" s="8"/>
      <c r="D567" s="8"/>
      <c r="E567" s="8"/>
      <c r="F567" s="8"/>
      <c r="G567" s="8"/>
    </row>
    <row r="568" spans="1:7" x14ac:dyDescent="0.2">
      <c r="A568" s="1"/>
      <c r="B568" s="32"/>
      <c r="C568" s="8"/>
      <c r="D568" s="8"/>
      <c r="E568" s="8"/>
      <c r="F568" s="8"/>
      <c r="G568" s="8"/>
    </row>
    <row r="569" spans="1:7" x14ac:dyDescent="0.2">
      <c r="A569" s="1"/>
      <c r="B569" s="32"/>
      <c r="C569" s="8"/>
      <c r="D569" s="8"/>
      <c r="E569" s="8"/>
      <c r="F569" s="8"/>
      <c r="G569" s="8"/>
    </row>
    <row r="570" spans="1:7" x14ac:dyDescent="0.2">
      <c r="A570" s="1"/>
      <c r="B570" s="32"/>
      <c r="C570" s="8"/>
      <c r="D570" s="8"/>
      <c r="E570" s="8"/>
      <c r="F570" s="8"/>
      <c r="G570" s="8"/>
    </row>
    <row r="571" spans="1:7" x14ac:dyDescent="0.2">
      <c r="A571" s="1"/>
      <c r="B571" s="32"/>
      <c r="C571" s="8"/>
      <c r="D571" s="8"/>
      <c r="E571" s="8"/>
      <c r="F571" s="8"/>
      <c r="G571" s="8"/>
    </row>
    <row r="572" spans="1:7" x14ac:dyDescent="0.2">
      <c r="A572" s="1"/>
      <c r="B572" s="32"/>
      <c r="C572" s="8"/>
      <c r="D572" s="8"/>
      <c r="E572" s="8"/>
      <c r="F572" s="8"/>
      <c r="G572" s="8"/>
    </row>
    <row r="573" spans="1:7" x14ac:dyDescent="0.2">
      <c r="A573" s="1"/>
      <c r="B573" s="32"/>
      <c r="C573" s="8"/>
      <c r="D573" s="8"/>
      <c r="E573" s="8"/>
      <c r="F573" s="8"/>
      <c r="G573" s="8"/>
    </row>
    <row r="574" spans="1:7" x14ac:dyDescent="0.2">
      <c r="A574" s="1"/>
      <c r="B574" s="32"/>
      <c r="C574" s="8"/>
      <c r="D574" s="8"/>
      <c r="E574" s="8"/>
      <c r="F574" s="8"/>
      <c r="G574" s="8"/>
    </row>
    <row r="575" spans="1:7" x14ac:dyDescent="0.2">
      <c r="A575" s="1"/>
      <c r="B575" s="32"/>
      <c r="C575" s="8"/>
      <c r="D575" s="8"/>
      <c r="E575" s="8"/>
      <c r="F575" s="8"/>
      <c r="G575" s="8"/>
    </row>
    <row r="576" spans="1:7" x14ac:dyDescent="0.2">
      <c r="A576" s="1"/>
      <c r="B576" s="32"/>
      <c r="C576" s="8"/>
      <c r="D576" s="8"/>
      <c r="E576" s="8"/>
      <c r="F576" s="8"/>
      <c r="G576" s="8"/>
    </row>
    <row r="577" spans="1:7" x14ac:dyDescent="0.2">
      <c r="A577" s="1"/>
      <c r="B577" s="32"/>
      <c r="C577" s="8"/>
      <c r="D577" s="8"/>
      <c r="E577" s="8"/>
      <c r="F577" s="8"/>
      <c r="G577" s="8"/>
    </row>
    <row r="578" spans="1:7" x14ac:dyDescent="0.2">
      <c r="A578" s="1"/>
      <c r="B578" s="32"/>
      <c r="C578" s="8"/>
      <c r="D578" s="8"/>
      <c r="E578" s="8"/>
      <c r="F578" s="8"/>
      <c r="G578" s="8"/>
    </row>
    <row r="579" spans="1:7" x14ac:dyDescent="0.2">
      <c r="A579" s="1"/>
      <c r="B579" s="32"/>
      <c r="C579" s="8"/>
      <c r="D579" s="8"/>
      <c r="E579" s="8"/>
      <c r="F579" s="8"/>
      <c r="G579" s="8"/>
    </row>
    <row r="580" spans="1:7" x14ac:dyDescent="0.2">
      <c r="A580" s="1"/>
      <c r="B580" s="32"/>
      <c r="C580" s="8"/>
      <c r="D580" s="8"/>
      <c r="E580" s="8"/>
      <c r="F580" s="8"/>
      <c r="G580" s="8"/>
    </row>
    <row r="581" spans="1:7" x14ac:dyDescent="0.2">
      <c r="A581" s="1"/>
      <c r="B581" s="32"/>
      <c r="C581" s="8"/>
      <c r="D581" s="8"/>
      <c r="E581" s="8"/>
      <c r="F581" s="8"/>
      <c r="G581" s="8"/>
    </row>
    <row r="582" spans="1:7" x14ac:dyDescent="0.2">
      <c r="A582" s="1"/>
      <c r="B582" s="32"/>
      <c r="C582" s="8"/>
      <c r="D582" s="8"/>
      <c r="E582" s="8"/>
      <c r="F582" s="8"/>
      <c r="G582" s="8"/>
    </row>
    <row r="583" spans="1:7" x14ac:dyDescent="0.2">
      <c r="A583" s="1"/>
      <c r="B583" s="32"/>
      <c r="C583" s="8"/>
      <c r="D583" s="8"/>
      <c r="E583" s="8"/>
      <c r="F583" s="8"/>
      <c r="G583" s="8"/>
    </row>
    <row r="584" spans="1:7" x14ac:dyDescent="0.2">
      <c r="A584" s="1"/>
      <c r="B584" s="32"/>
      <c r="C584" s="8"/>
      <c r="D584" s="8"/>
      <c r="E584" s="8"/>
      <c r="F584" s="8"/>
      <c r="G584" s="8"/>
    </row>
    <row r="585" spans="1:7" x14ac:dyDescent="0.2">
      <c r="A585" s="1"/>
      <c r="B585" s="32"/>
      <c r="C585" s="8"/>
      <c r="D585" s="8"/>
      <c r="E585" s="8"/>
      <c r="F585" s="8"/>
      <c r="G585" s="8"/>
    </row>
    <row r="586" spans="1:7" x14ac:dyDescent="0.2">
      <c r="A586" s="1"/>
      <c r="B586" s="32"/>
      <c r="C586" s="8"/>
      <c r="D586" s="8"/>
      <c r="E586" s="8"/>
      <c r="F586" s="8"/>
      <c r="G586" s="8"/>
    </row>
    <row r="587" spans="1:7" x14ac:dyDescent="0.2">
      <c r="A587" s="1"/>
      <c r="B587" s="32"/>
      <c r="C587" s="8"/>
      <c r="D587" s="8"/>
      <c r="E587" s="8"/>
      <c r="F587" s="8"/>
      <c r="G587" s="8"/>
    </row>
    <row r="588" spans="1:7" x14ac:dyDescent="0.2">
      <c r="A588" s="1"/>
      <c r="B588" s="32"/>
      <c r="C588" s="8"/>
      <c r="D588" s="8"/>
      <c r="E588" s="8"/>
      <c r="F588" s="8"/>
      <c r="G588" s="8"/>
    </row>
    <row r="589" spans="1:7" x14ac:dyDescent="0.2">
      <c r="A589" s="1"/>
      <c r="B589" s="32"/>
      <c r="C589" s="8"/>
      <c r="D589" s="8"/>
      <c r="E589" s="8"/>
      <c r="F589" s="8"/>
      <c r="G589" s="8"/>
    </row>
    <row r="590" spans="1:7" x14ac:dyDescent="0.2">
      <c r="A590" s="1"/>
      <c r="B590" s="32"/>
      <c r="C590" s="8"/>
      <c r="D590" s="8"/>
      <c r="E590" s="8"/>
      <c r="F590" s="8"/>
      <c r="G590" s="8"/>
    </row>
    <row r="591" spans="1:7" x14ac:dyDescent="0.2">
      <c r="A591" s="1"/>
      <c r="B591" s="32"/>
      <c r="C591" s="8"/>
      <c r="D591" s="8"/>
      <c r="E591" s="8"/>
      <c r="F591" s="8"/>
      <c r="G591" s="8"/>
    </row>
    <row r="592" spans="1:7" x14ac:dyDescent="0.2">
      <c r="A592" s="1"/>
      <c r="B592" s="32"/>
      <c r="C592" s="8"/>
      <c r="D592" s="8"/>
      <c r="E592" s="8"/>
      <c r="F592" s="8"/>
      <c r="G592" s="8"/>
    </row>
    <row r="593" spans="1:7" x14ac:dyDescent="0.2">
      <c r="A593" s="1"/>
      <c r="B593" s="32"/>
      <c r="C593" s="8"/>
      <c r="D593" s="8"/>
      <c r="E593" s="8"/>
      <c r="F593" s="8"/>
      <c r="G593" s="8"/>
    </row>
    <row r="594" spans="1:7" x14ac:dyDescent="0.2">
      <c r="A594" s="1"/>
      <c r="B594" s="32"/>
      <c r="C594" s="8"/>
      <c r="D594" s="8"/>
      <c r="E594" s="8"/>
      <c r="F594" s="8"/>
      <c r="G594" s="8"/>
    </row>
    <row r="595" spans="1:7" x14ac:dyDescent="0.2">
      <c r="A595" s="1"/>
      <c r="B595" s="32"/>
      <c r="C595" s="8"/>
      <c r="D595" s="8"/>
      <c r="E595" s="8"/>
      <c r="F595" s="8"/>
      <c r="G595" s="8"/>
    </row>
    <row r="596" spans="1:7" x14ac:dyDescent="0.2">
      <c r="A596" s="1"/>
      <c r="B596" s="32"/>
      <c r="C596" s="8"/>
      <c r="D596" s="8"/>
      <c r="E596" s="8"/>
      <c r="F596" s="8"/>
      <c r="G596" s="8"/>
    </row>
    <row r="597" spans="1:7" x14ac:dyDescent="0.2">
      <c r="A597" s="1"/>
      <c r="B597" s="32"/>
      <c r="C597" s="8"/>
      <c r="D597" s="8"/>
      <c r="E597" s="8"/>
      <c r="F597" s="8"/>
      <c r="G597" s="8"/>
    </row>
    <row r="598" spans="1:7" x14ac:dyDescent="0.2">
      <c r="A598" s="1"/>
      <c r="B598" s="32"/>
      <c r="C598" s="8"/>
      <c r="D598" s="8"/>
      <c r="E598" s="8"/>
      <c r="F598" s="8"/>
      <c r="G598" s="8"/>
    </row>
    <row r="599" spans="1:7" x14ac:dyDescent="0.2">
      <c r="A599" s="1"/>
      <c r="B599" s="32"/>
      <c r="C599" s="8"/>
      <c r="D599" s="8"/>
      <c r="E599" s="8"/>
      <c r="F599" s="8"/>
      <c r="G599" s="8"/>
    </row>
    <row r="600" spans="1:7" x14ac:dyDescent="0.2">
      <c r="A600" s="1"/>
      <c r="B600" s="32"/>
      <c r="C600" s="8"/>
      <c r="D600" s="8"/>
      <c r="E600" s="8"/>
      <c r="F600" s="8"/>
      <c r="G600" s="8"/>
    </row>
    <row r="601" spans="1:7" x14ac:dyDescent="0.2">
      <c r="A601" s="1"/>
      <c r="B601" s="32"/>
      <c r="C601" s="8"/>
      <c r="D601" s="8"/>
      <c r="E601" s="8"/>
      <c r="F601" s="8"/>
      <c r="G601" s="8"/>
    </row>
    <row r="602" spans="1:7" x14ac:dyDescent="0.2">
      <c r="A602" s="1"/>
      <c r="B602" s="32"/>
      <c r="C602" s="8"/>
      <c r="D602" s="8"/>
      <c r="E602" s="8"/>
      <c r="F602" s="8"/>
      <c r="G602" s="8"/>
    </row>
    <row r="603" spans="1:7" x14ac:dyDescent="0.2">
      <c r="A603" s="1"/>
      <c r="B603" s="32"/>
      <c r="C603" s="8"/>
      <c r="D603" s="8"/>
      <c r="E603" s="8"/>
      <c r="F603" s="8"/>
      <c r="G603" s="8"/>
    </row>
    <row r="604" spans="1:7" x14ac:dyDescent="0.2">
      <c r="A604" s="1"/>
      <c r="B604" s="32"/>
      <c r="C604" s="8"/>
      <c r="D604" s="8"/>
      <c r="E604" s="8"/>
      <c r="F604" s="8"/>
      <c r="G604" s="8"/>
    </row>
    <row r="605" spans="1:7" x14ac:dyDescent="0.2">
      <c r="A605" s="1"/>
      <c r="B605" s="32"/>
      <c r="C605" s="8"/>
      <c r="D605" s="8"/>
      <c r="E605" s="8"/>
      <c r="F605" s="8"/>
      <c r="G605" s="8"/>
    </row>
    <row r="606" spans="1:7" x14ac:dyDescent="0.2">
      <c r="A606" s="1"/>
      <c r="B606" s="32"/>
      <c r="C606" s="8"/>
      <c r="D606" s="8"/>
      <c r="E606" s="8"/>
      <c r="F606" s="8"/>
      <c r="G606" s="8"/>
    </row>
    <row r="607" spans="1:7" x14ac:dyDescent="0.2">
      <c r="A607" s="1"/>
      <c r="B607" s="32"/>
      <c r="C607" s="8"/>
      <c r="D607" s="8"/>
      <c r="E607" s="8"/>
      <c r="F607" s="8"/>
      <c r="G607" s="8"/>
    </row>
    <row r="608" spans="1:7" x14ac:dyDescent="0.2">
      <c r="A608" s="1"/>
      <c r="B608" s="32"/>
      <c r="C608" s="8"/>
      <c r="D608" s="8"/>
      <c r="E608" s="8"/>
      <c r="F608" s="8"/>
      <c r="G608" s="8"/>
    </row>
    <row r="609" spans="1:7" x14ac:dyDescent="0.2">
      <c r="A609" s="1"/>
      <c r="B609" s="32"/>
      <c r="C609" s="8"/>
      <c r="D609" s="8"/>
      <c r="E609" s="8"/>
      <c r="F609" s="8"/>
      <c r="G609" s="8"/>
    </row>
    <row r="610" spans="1:7" x14ac:dyDescent="0.2">
      <c r="A610" s="1"/>
      <c r="B610" s="32"/>
      <c r="C610" s="8"/>
      <c r="D610" s="8"/>
      <c r="E610" s="8"/>
      <c r="F610" s="8"/>
      <c r="G610" s="8"/>
    </row>
    <row r="611" spans="1:7" x14ac:dyDescent="0.2">
      <c r="A611" s="1"/>
      <c r="B611" s="32"/>
      <c r="C611" s="8"/>
      <c r="D611" s="8"/>
      <c r="E611" s="8"/>
      <c r="F611" s="8"/>
      <c r="G611" s="8"/>
    </row>
    <row r="612" spans="1:7" x14ac:dyDescent="0.2">
      <c r="A612" s="1"/>
      <c r="B612" s="32"/>
      <c r="C612" s="8"/>
      <c r="D612" s="8"/>
      <c r="E612" s="8"/>
      <c r="F612" s="8"/>
      <c r="G612" s="8"/>
    </row>
    <row r="613" spans="1:7" x14ac:dyDescent="0.2">
      <c r="A613" s="1"/>
      <c r="B613" s="32"/>
      <c r="C613" s="8"/>
      <c r="D613" s="8"/>
      <c r="E613" s="8"/>
      <c r="F613" s="8"/>
      <c r="G613" s="8"/>
    </row>
    <row r="614" spans="1:7" x14ac:dyDescent="0.2">
      <c r="A614" s="1"/>
      <c r="B614" s="32"/>
      <c r="C614" s="8"/>
      <c r="D614" s="8"/>
      <c r="E614" s="8"/>
      <c r="F614" s="8"/>
      <c r="G614" s="8"/>
    </row>
    <row r="615" spans="1:7" x14ac:dyDescent="0.2">
      <c r="A615" s="1"/>
      <c r="B615" s="32"/>
      <c r="C615" s="8"/>
      <c r="D615" s="8"/>
      <c r="E615" s="8"/>
      <c r="F615" s="8"/>
      <c r="G615" s="8"/>
    </row>
    <row r="616" spans="1:7" x14ac:dyDescent="0.2">
      <c r="A616" s="1"/>
      <c r="B616" s="32"/>
      <c r="C616" s="8"/>
      <c r="D616" s="8"/>
      <c r="E616" s="8"/>
      <c r="F616" s="8"/>
      <c r="G616" s="8"/>
    </row>
    <row r="617" spans="1:7" x14ac:dyDescent="0.2">
      <c r="A617" s="1"/>
      <c r="B617" s="32"/>
      <c r="C617" s="8"/>
      <c r="D617" s="8"/>
      <c r="E617" s="8"/>
      <c r="F617" s="8"/>
      <c r="G617" s="8"/>
    </row>
    <row r="618" spans="1:7" x14ac:dyDescent="0.2">
      <c r="A618" s="1"/>
      <c r="B618" s="32"/>
      <c r="C618" s="8"/>
      <c r="D618" s="8"/>
      <c r="E618" s="8"/>
      <c r="F618" s="8"/>
      <c r="G618" s="8"/>
    </row>
    <row r="619" spans="1:7" x14ac:dyDescent="0.2">
      <c r="A619" s="1"/>
      <c r="B619" s="32"/>
      <c r="C619" s="8"/>
      <c r="D619" s="8"/>
      <c r="E619" s="8"/>
      <c r="F619" s="8"/>
      <c r="G619" s="8"/>
    </row>
    <row r="620" spans="1:7" x14ac:dyDescent="0.2">
      <c r="A620" s="1"/>
      <c r="B620" s="32"/>
      <c r="C620" s="8"/>
      <c r="D620" s="8"/>
      <c r="E620" s="8"/>
      <c r="F620" s="8"/>
      <c r="G620" s="8"/>
    </row>
    <row r="621" spans="1:7" x14ac:dyDescent="0.2">
      <c r="A621" s="1"/>
      <c r="B621" s="32"/>
      <c r="C621" s="8"/>
      <c r="D621" s="8"/>
      <c r="E621" s="8"/>
      <c r="F621" s="8"/>
      <c r="G621" s="8"/>
    </row>
    <row r="622" spans="1:7" x14ac:dyDescent="0.2">
      <c r="A622" s="1"/>
      <c r="B622" s="32"/>
      <c r="C622" s="8"/>
      <c r="D622" s="8"/>
      <c r="E622" s="8"/>
      <c r="F622" s="8"/>
      <c r="G622" s="8"/>
    </row>
    <row r="623" spans="1:7" x14ac:dyDescent="0.2">
      <c r="A623" s="1"/>
      <c r="B623" s="32"/>
      <c r="C623" s="8"/>
      <c r="D623" s="8"/>
      <c r="E623" s="8"/>
      <c r="F623" s="8"/>
      <c r="G623" s="8"/>
    </row>
    <row r="624" spans="1:7" x14ac:dyDescent="0.2">
      <c r="A624" s="1"/>
      <c r="B624" s="32"/>
      <c r="C624" s="8"/>
      <c r="D624" s="8"/>
      <c r="E624" s="8"/>
      <c r="F624" s="8"/>
      <c r="G624" s="8"/>
    </row>
    <row r="625" spans="1:7" x14ac:dyDescent="0.2">
      <c r="A625" s="1"/>
      <c r="B625" s="32"/>
      <c r="C625" s="8"/>
      <c r="D625" s="8"/>
      <c r="E625" s="8"/>
      <c r="F625" s="8"/>
      <c r="G625" s="8"/>
    </row>
    <row r="626" spans="1:7" x14ac:dyDescent="0.2">
      <c r="A626" s="1"/>
      <c r="B626" s="32"/>
      <c r="C626" s="8"/>
      <c r="D626" s="8"/>
      <c r="E626" s="8"/>
      <c r="F626" s="8"/>
      <c r="G626" s="8"/>
    </row>
    <row r="627" spans="1:7" x14ac:dyDescent="0.2">
      <c r="A627" s="1"/>
      <c r="B627" s="32"/>
      <c r="C627" s="8"/>
      <c r="D627" s="8"/>
      <c r="E627" s="8"/>
      <c r="F627" s="8"/>
      <c r="G627" s="8"/>
    </row>
    <row r="628" spans="1:7" x14ac:dyDescent="0.2">
      <c r="A628" s="1"/>
      <c r="B628" s="32"/>
      <c r="C628" s="8"/>
      <c r="D628" s="8"/>
      <c r="E628" s="8"/>
      <c r="F628" s="8"/>
      <c r="G628" s="8"/>
    </row>
    <row r="629" spans="1:7" x14ac:dyDescent="0.2">
      <c r="A629" s="1"/>
      <c r="B629" s="32"/>
      <c r="C629" s="8"/>
      <c r="D629" s="8"/>
      <c r="E629" s="8"/>
      <c r="F629" s="8"/>
      <c r="G629" s="8"/>
    </row>
    <row r="630" spans="1:7" x14ac:dyDescent="0.2">
      <c r="A630" s="1"/>
      <c r="B630" s="32"/>
      <c r="C630" s="8"/>
      <c r="D630" s="8"/>
      <c r="E630" s="8"/>
      <c r="F630" s="8"/>
      <c r="G630" s="8"/>
    </row>
    <row r="631" spans="1:7" x14ac:dyDescent="0.2">
      <c r="A631" s="1"/>
      <c r="B631" s="32"/>
      <c r="C631" s="8"/>
      <c r="D631" s="8"/>
      <c r="E631" s="8"/>
      <c r="F631" s="8"/>
      <c r="G631" s="8"/>
    </row>
    <row r="632" spans="1:7" x14ac:dyDescent="0.2">
      <c r="A632" s="1"/>
      <c r="B632" s="32"/>
      <c r="C632" s="8"/>
      <c r="D632" s="8"/>
      <c r="E632" s="8"/>
      <c r="F632" s="8"/>
      <c r="G632" s="8"/>
    </row>
    <row r="633" spans="1:7" x14ac:dyDescent="0.2">
      <c r="A633" s="1"/>
      <c r="B633" s="32"/>
      <c r="C633" s="8"/>
      <c r="D633" s="8"/>
      <c r="E633" s="8"/>
      <c r="F633" s="8"/>
      <c r="G633" s="8"/>
    </row>
    <row r="634" spans="1:7" x14ac:dyDescent="0.2">
      <c r="A634" s="1"/>
      <c r="B634" s="32"/>
      <c r="C634" s="8"/>
      <c r="D634" s="8"/>
      <c r="E634" s="8"/>
      <c r="F634" s="8"/>
      <c r="G634" s="8"/>
    </row>
    <row r="635" spans="1:7" x14ac:dyDescent="0.2">
      <c r="A635" s="1"/>
      <c r="B635" s="32"/>
      <c r="C635" s="8"/>
      <c r="D635" s="8"/>
      <c r="E635" s="8"/>
      <c r="F635" s="8"/>
      <c r="G635" s="8"/>
    </row>
    <row r="636" spans="1:7" x14ac:dyDescent="0.2">
      <c r="A636" s="1"/>
      <c r="B636" s="32"/>
      <c r="C636" s="8"/>
      <c r="D636" s="8"/>
      <c r="E636" s="8"/>
      <c r="F636" s="8"/>
      <c r="G636" s="8"/>
    </row>
    <row r="637" spans="1:7" x14ac:dyDescent="0.2">
      <c r="A637" s="1"/>
      <c r="B637" s="32"/>
      <c r="C637" s="8"/>
      <c r="D637" s="8"/>
      <c r="E637" s="8"/>
      <c r="F637" s="8"/>
      <c r="G637" s="8"/>
    </row>
    <row r="638" spans="1:7" x14ac:dyDescent="0.2">
      <c r="A638" s="1"/>
      <c r="B638" s="32"/>
      <c r="C638" s="8"/>
      <c r="D638" s="8"/>
      <c r="E638" s="8"/>
      <c r="F638" s="8"/>
      <c r="G638" s="8"/>
    </row>
    <row r="639" spans="1:7" x14ac:dyDescent="0.2">
      <c r="A639" s="1"/>
      <c r="B639" s="32"/>
      <c r="C639" s="8"/>
      <c r="D639" s="8"/>
      <c r="E639" s="8"/>
      <c r="F639" s="8"/>
      <c r="G639" s="8"/>
    </row>
    <row r="640" spans="1:7" x14ac:dyDescent="0.2">
      <c r="A640" s="1"/>
      <c r="B640" s="32"/>
      <c r="C640" s="8"/>
      <c r="D640" s="8"/>
      <c r="E640" s="8"/>
      <c r="F640" s="8"/>
      <c r="G640" s="8"/>
    </row>
    <row r="641" spans="1:7" x14ac:dyDescent="0.2">
      <c r="A641" s="1"/>
      <c r="B641" s="32"/>
      <c r="C641" s="8"/>
      <c r="D641" s="8"/>
      <c r="E641" s="8"/>
      <c r="F641" s="8"/>
      <c r="G641" s="8"/>
    </row>
    <row r="642" spans="1:7" x14ac:dyDescent="0.2">
      <c r="A642" s="1"/>
      <c r="B642" s="32"/>
      <c r="C642" s="8"/>
      <c r="D642" s="8"/>
      <c r="E642" s="8"/>
      <c r="F642" s="8"/>
      <c r="G642" s="8"/>
    </row>
    <row r="643" spans="1:7" x14ac:dyDescent="0.2">
      <c r="A643" s="1"/>
      <c r="B643" s="32"/>
      <c r="C643" s="8"/>
      <c r="D643" s="8"/>
      <c r="E643" s="8"/>
      <c r="F643" s="8"/>
      <c r="G643" s="8"/>
    </row>
    <row r="644" spans="1:7" x14ac:dyDescent="0.2">
      <c r="A644" s="1"/>
      <c r="B644" s="32"/>
      <c r="C644" s="8"/>
      <c r="D644" s="8"/>
      <c r="E644" s="8"/>
      <c r="F644" s="8"/>
      <c r="G644" s="8"/>
    </row>
    <row r="645" spans="1:7" x14ac:dyDescent="0.2">
      <c r="A645" s="1"/>
      <c r="B645" s="32"/>
      <c r="C645" s="8"/>
      <c r="D645" s="8"/>
      <c r="E645" s="8"/>
      <c r="F645" s="8"/>
      <c r="G645" s="8"/>
    </row>
    <row r="646" spans="1:7" x14ac:dyDescent="0.2">
      <c r="A646" s="1"/>
      <c r="B646" s="32"/>
      <c r="C646" s="8"/>
      <c r="D646" s="8"/>
      <c r="E646" s="8"/>
      <c r="F646" s="8"/>
      <c r="G646" s="8"/>
    </row>
    <row r="647" spans="1:7" x14ac:dyDescent="0.2">
      <c r="A647" s="1"/>
      <c r="B647" s="32"/>
      <c r="C647" s="8"/>
      <c r="D647" s="8"/>
      <c r="E647" s="8"/>
      <c r="F647" s="8"/>
      <c r="G647" s="8"/>
    </row>
    <row r="648" spans="1:7" x14ac:dyDescent="0.2">
      <c r="A648" s="1"/>
      <c r="B648" s="32"/>
      <c r="C648" s="8"/>
      <c r="D648" s="8"/>
      <c r="E648" s="8"/>
      <c r="F648" s="8"/>
      <c r="G648" s="8"/>
    </row>
    <row r="649" spans="1:7" x14ac:dyDescent="0.2">
      <c r="A649" s="1"/>
      <c r="B649" s="32"/>
      <c r="C649" s="8"/>
      <c r="D649" s="8"/>
      <c r="E649" s="8"/>
      <c r="F649" s="8"/>
      <c r="G649" s="8"/>
    </row>
    <row r="650" spans="1:7" x14ac:dyDescent="0.2">
      <c r="A650" s="1"/>
      <c r="B650" s="32"/>
      <c r="C650" s="8"/>
      <c r="D650" s="8"/>
      <c r="E650" s="8"/>
      <c r="F650" s="8"/>
      <c r="G650" s="8"/>
    </row>
    <row r="651" spans="1:7" x14ac:dyDescent="0.2">
      <c r="A651" s="1"/>
      <c r="B651" s="32"/>
      <c r="C651" s="8"/>
      <c r="D651" s="8"/>
      <c r="E651" s="8"/>
      <c r="F651" s="8"/>
      <c r="G651" s="8"/>
    </row>
    <row r="652" spans="1:7" x14ac:dyDescent="0.2">
      <c r="A652" s="1"/>
      <c r="B652" s="32"/>
      <c r="C652" s="8"/>
      <c r="D652" s="8"/>
      <c r="E652" s="8"/>
      <c r="F652" s="8"/>
      <c r="G652" s="8"/>
    </row>
    <row r="653" spans="1:7" x14ac:dyDescent="0.2">
      <c r="A653" s="1"/>
      <c r="B653" s="32"/>
      <c r="C653" s="8"/>
      <c r="D653" s="8"/>
      <c r="E653" s="8"/>
      <c r="F653" s="8"/>
      <c r="G653" s="8"/>
    </row>
    <row r="654" spans="1:7" x14ac:dyDescent="0.2">
      <c r="A654" s="1"/>
      <c r="B654" s="32"/>
      <c r="C654" s="8"/>
      <c r="D654" s="8"/>
      <c r="E654" s="8"/>
      <c r="F654" s="8"/>
      <c r="G654" s="8"/>
    </row>
    <row r="655" spans="1:7" x14ac:dyDescent="0.2">
      <c r="A655" s="1"/>
      <c r="B655" s="32"/>
      <c r="C655" s="8"/>
      <c r="D655" s="8"/>
      <c r="E655" s="8"/>
      <c r="F655" s="8"/>
      <c r="G655" s="8"/>
    </row>
    <row r="656" spans="1:7" x14ac:dyDescent="0.2">
      <c r="A656" s="1"/>
      <c r="B656" s="32"/>
      <c r="C656" s="8"/>
      <c r="D656" s="8"/>
      <c r="E656" s="8"/>
      <c r="F656" s="8"/>
      <c r="G656" s="8"/>
    </row>
    <row r="657" spans="1:7" x14ac:dyDescent="0.2">
      <c r="A657" s="1"/>
      <c r="B657" s="32"/>
      <c r="C657" s="8"/>
      <c r="D657" s="8"/>
      <c r="E657" s="8"/>
      <c r="F657" s="8"/>
      <c r="G657" s="8"/>
    </row>
    <row r="658" spans="1:7" x14ac:dyDescent="0.2">
      <c r="A658" s="1"/>
      <c r="B658" s="32"/>
      <c r="C658" s="8"/>
      <c r="D658" s="8"/>
      <c r="E658" s="8"/>
      <c r="F658" s="8"/>
      <c r="G658" s="8"/>
    </row>
    <row r="659" spans="1:7" x14ac:dyDescent="0.2">
      <c r="A659" s="1"/>
      <c r="B659" s="32"/>
      <c r="C659" s="8"/>
      <c r="D659" s="8"/>
      <c r="E659" s="8"/>
      <c r="F659" s="8"/>
      <c r="G659" s="8"/>
    </row>
    <row r="660" spans="1:7" x14ac:dyDescent="0.2">
      <c r="A660" s="1"/>
      <c r="B660" s="32"/>
      <c r="C660" s="8"/>
      <c r="D660" s="8"/>
      <c r="E660" s="8"/>
      <c r="F660" s="8"/>
      <c r="G660" s="8"/>
    </row>
    <row r="661" spans="1:7" x14ac:dyDescent="0.2">
      <c r="A661" s="1"/>
      <c r="B661" s="32"/>
      <c r="C661" s="8"/>
      <c r="D661" s="8"/>
      <c r="E661" s="8"/>
      <c r="F661" s="8"/>
      <c r="G661" s="8"/>
    </row>
    <row r="662" spans="1:7" x14ac:dyDescent="0.2">
      <c r="A662" s="1"/>
      <c r="B662" s="32"/>
      <c r="C662" s="8"/>
      <c r="D662" s="8"/>
      <c r="E662" s="8"/>
      <c r="F662" s="8"/>
      <c r="G662" s="8"/>
    </row>
    <row r="663" spans="1:7" x14ac:dyDescent="0.2">
      <c r="A663" s="1"/>
      <c r="B663" s="32"/>
      <c r="C663" s="8"/>
      <c r="D663" s="8"/>
      <c r="E663" s="8"/>
      <c r="F663" s="8"/>
      <c r="G663" s="8"/>
    </row>
    <row r="664" spans="1:7" x14ac:dyDescent="0.2">
      <c r="A664" s="1"/>
      <c r="B664" s="32"/>
      <c r="C664" s="8"/>
      <c r="D664" s="8"/>
      <c r="E664" s="8"/>
      <c r="F664" s="8"/>
      <c r="G664" s="8"/>
    </row>
    <row r="665" spans="1:7" x14ac:dyDescent="0.2">
      <c r="A665" s="1"/>
      <c r="B665" s="32"/>
      <c r="C665" s="8"/>
      <c r="D665" s="8"/>
      <c r="E665" s="8"/>
      <c r="F665" s="8"/>
      <c r="G665" s="8"/>
    </row>
    <row r="666" spans="1:7" x14ac:dyDescent="0.2">
      <c r="A666" s="1"/>
      <c r="B666" s="32"/>
      <c r="C666" s="8"/>
      <c r="D666" s="8"/>
      <c r="E666" s="8"/>
      <c r="F666" s="8"/>
      <c r="G666" s="8"/>
    </row>
    <row r="667" spans="1:7" x14ac:dyDescent="0.2">
      <c r="A667" s="1"/>
      <c r="B667" s="32"/>
      <c r="C667" s="8"/>
      <c r="D667" s="8"/>
      <c r="E667" s="8"/>
      <c r="F667" s="8"/>
      <c r="G667" s="8"/>
    </row>
    <row r="668" spans="1:7" x14ac:dyDescent="0.2">
      <c r="A668" s="1"/>
      <c r="B668" s="32"/>
      <c r="C668" s="8"/>
      <c r="D668" s="8"/>
      <c r="E668" s="8"/>
      <c r="F668" s="8"/>
      <c r="G668" s="8"/>
    </row>
    <row r="669" spans="1:7" x14ac:dyDescent="0.2">
      <c r="A669" s="1"/>
      <c r="B669" s="32"/>
      <c r="C669" s="8"/>
      <c r="D669" s="8"/>
      <c r="E669" s="8"/>
      <c r="F669" s="8"/>
      <c r="G669" s="8"/>
    </row>
    <row r="670" spans="1:7" x14ac:dyDescent="0.2">
      <c r="A670" s="1"/>
      <c r="B670" s="32"/>
      <c r="C670" s="8"/>
      <c r="D670" s="8"/>
      <c r="E670" s="8"/>
      <c r="F670" s="8"/>
      <c r="G670" s="8"/>
    </row>
    <row r="671" spans="1:7" x14ac:dyDescent="0.2">
      <c r="A671" s="1"/>
      <c r="B671" s="32"/>
      <c r="C671" s="8"/>
      <c r="D671" s="8"/>
      <c r="E671" s="8"/>
      <c r="F671" s="8"/>
      <c r="G671" s="8"/>
    </row>
    <row r="672" spans="1:7" x14ac:dyDescent="0.2">
      <c r="A672" s="1"/>
      <c r="B672" s="32"/>
      <c r="C672" s="8"/>
      <c r="D672" s="8"/>
      <c r="E672" s="8"/>
      <c r="F672" s="8"/>
      <c r="G672" s="8"/>
    </row>
    <row r="673" spans="1:7" x14ac:dyDescent="0.2">
      <c r="A673" s="1"/>
      <c r="B673" s="32"/>
      <c r="C673" s="8"/>
      <c r="D673" s="8"/>
      <c r="E673" s="8"/>
      <c r="F673" s="8"/>
      <c r="G673" s="8"/>
    </row>
    <row r="674" spans="1:7" x14ac:dyDescent="0.2">
      <c r="A674" s="1"/>
      <c r="B674" s="32"/>
      <c r="C674" s="8"/>
      <c r="D674" s="8"/>
      <c r="E674" s="8"/>
      <c r="F674" s="8"/>
      <c r="G674" s="8"/>
    </row>
    <row r="675" spans="1:7" x14ac:dyDescent="0.2">
      <c r="A675" s="1"/>
      <c r="B675" s="32"/>
      <c r="C675" s="8"/>
      <c r="D675" s="8"/>
      <c r="E675" s="8"/>
      <c r="F675" s="8"/>
      <c r="G675" s="8"/>
    </row>
    <row r="676" spans="1:7" x14ac:dyDescent="0.2">
      <c r="A676" s="1"/>
      <c r="B676" s="32"/>
      <c r="C676" s="8"/>
      <c r="D676" s="8"/>
      <c r="E676" s="8"/>
      <c r="F676" s="8"/>
      <c r="G676" s="8"/>
    </row>
    <row r="677" spans="1:7" x14ac:dyDescent="0.2">
      <c r="A677" s="1"/>
      <c r="B677" s="32"/>
      <c r="C677" s="8"/>
      <c r="D677" s="8"/>
      <c r="E677" s="8"/>
      <c r="F677" s="8"/>
      <c r="G677" s="8"/>
    </row>
    <row r="678" spans="1:7" x14ac:dyDescent="0.2">
      <c r="A678" s="1"/>
      <c r="B678" s="32"/>
      <c r="C678" s="8"/>
      <c r="D678" s="8"/>
      <c r="E678" s="8"/>
      <c r="F678" s="8"/>
      <c r="G678" s="8"/>
    </row>
    <row r="679" spans="1:7" x14ac:dyDescent="0.2">
      <c r="A679" s="1"/>
      <c r="B679" s="32"/>
      <c r="C679" s="8"/>
      <c r="D679" s="8"/>
      <c r="E679" s="8"/>
      <c r="F679" s="8"/>
      <c r="G679" s="8"/>
    </row>
    <row r="680" spans="1:7" x14ac:dyDescent="0.2">
      <c r="A680" s="1"/>
      <c r="B680" s="32"/>
      <c r="C680" s="8"/>
      <c r="D680" s="8"/>
      <c r="E680" s="8"/>
      <c r="F680" s="8"/>
      <c r="G680" s="8"/>
    </row>
    <row r="681" spans="1:7" x14ac:dyDescent="0.2">
      <c r="A681" s="1"/>
      <c r="B681" s="32"/>
      <c r="C681" s="8"/>
      <c r="D681" s="8"/>
      <c r="E681" s="8"/>
      <c r="F681" s="8"/>
      <c r="G681" s="8"/>
    </row>
    <row r="682" spans="1:7" x14ac:dyDescent="0.2">
      <c r="A682" s="1"/>
      <c r="B682" s="32"/>
      <c r="C682" s="8"/>
      <c r="D682" s="8"/>
      <c r="E682" s="8"/>
      <c r="F682" s="8"/>
      <c r="G682" s="8"/>
    </row>
    <row r="683" spans="1:7" x14ac:dyDescent="0.2">
      <c r="A683" s="1"/>
      <c r="B683" s="32"/>
      <c r="C683" s="8"/>
      <c r="D683" s="8"/>
      <c r="E683" s="8"/>
      <c r="F683" s="8"/>
      <c r="G683" s="8"/>
    </row>
    <row r="684" spans="1:7" x14ac:dyDescent="0.2">
      <c r="A684" s="1"/>
      <c r="B684" s="32"/>
      <c r="C684" s="8"/>
      <c r="D684" s="8"/>
      <c r="E684" s="8"/>
      <c r="F684" s="8"/>
      <c r="G684" s="8"/>
    </row>
    <row r="685" spans="1:7" x14ac:dyDescent="0.2">
      <c r="A685" s="1"/>
      <c r="B685" s="32"/>
      <c r="C685" s="8"/>
      <c r="D685" s="8"/>
      <c r="E685" s="8"/>
      <c r="F685" s="8"/>
      <c r="G685" s="8"/>
    </row>
    <row r="686" spans="1:7" x14ac:dyDescent="0.2">
      <c r="A686" s="1"/>
      <c r="B686" s="32"/>
      <c r="C686" s="8"/>
      <c r="D686" s="8"/>
      <c r="E686" s="8"/>
      <c r="F686" s="8"/>
      <c r="G686" s="8"/>
    </row>
    <row r="687" spans="1:7" x14ac:dyDescent="0.2">
      <c r="A687" s="1"/>
      <c r="B687" s="32"/>
      <c r="C687" s="8"/>
      <c r="D687" s="8"/>
      <c r="E687" s="8"/>
      <c r="F687" s="8"/>
      <c r="G687" s="8"/>
    </row>
    <row r="688" spans="1:7" x14ac:dyDescent="0.2">
      <c r="A688" s="1"/>
      <c r="B688" s="32"/>
      <c r="C688" s="8"/>
      <c r="D688" s="8"/>
      <c r="E688" s="8"/>
      <c r="F688" s="8"/>
      <c r="G688" s="8"/>
    </row>
    <row r="689" spans="1:7" x14ac:dyDescent="0.2">
      <c r="A689" s="1"/>
      <c r="B689" s="32"/>
      <c r="C689" s="8"/>
      <c r="D689" s="8"/>
      <c r="E689" s="8"/>
      <c r="F689" s="8"/>
      <c r="G689" s="8"/>
    </row>
    <row r="690" spans="1:7" x14ac:dyDescent="0.2">
      <c r="A690" s="1"/>
      <c r="B690" s="32"/>
      <c r="C690" s="8"/>
      <c r="D690" s="8"/>
      <c r="E690" s="8"/>
      <c r="F690" s="8"/>
      <c r="G690" s="8"/>
    </row>
    <row r="691" spans="1:7" x14ac:dyDescent="0.2">
      <c r="A691" s="1"/>
      <c r="B691" s="32"/>
      <c r="C691" s="8"/>
      <c r="D691" s="8"/>
      <c r="E691" s="8"/>
      <c r="F691" s="8"/>
      <c r="G691" s="8"/>
    </row>
    <row r="692" spans="1:7" x14ac:dyDescent="0.2">
      <c r="A692" s="1"/>
      <c r="B692" s="32"/>
      <c r="C692" s="8"/>
      <c r="D692" s="8"/>
      <c r="E692" s="8"/>
      <c r="F692" s="8"/>
      <c r="G692" s="8"/>
    </row>
    <row r="693" spans="1:7" x14ac:dyDescent="0.2">
      <c r="A693" s="1"/>
      <c r="B693" s="32"/>
      <c r="C693" s="8"/>
      <c r="D693" s="8"/>
      <c r="E693" s="8"/>
      <c r="F693" s="8"/>
      <c r="G693" s="8"/>
    </row>
    <row r="694" spans="1:7" x14ac:dyDescent="0.2">
      <c r="A694" s="1"/>
      <c r="B694" s="32"/>
      <c r="C694" s="8"/>
      <c r="D694" s="8"/>
      <c r="E694" s="8"/>
      <c r="F694" s="8"/>
      <c r="G694" s="8"/>
    </row>
    <row r="695" spans="1:7" x14ac:dyDescent="0.2">
      <c r="A695" s="1"/>
      <c r="B695" s="32"/>
      <c r="C695" s="8"/>
      <c r="D695" s="8"/>
      <c r="E695" s="8"/>
      <c r="F695" s="8"/>
      <c r="G695" s="8"/>
    </row>
    <row r="696" spans="1:7" x14ac:dyDescent="0.2">
      <c r="A696" s="1"/>
      <c r="B696" s="32"/>
      <c r="C696" s="8"/>
      <c r="D696" s="8"/>
      <c r="E696" s="8"/>
      <c r="F696" s="8"/>
      <c r="G696" s="8"/>
    </row>
    <row r="697" spans="1:7" x14ac:dyDescent="0.2">
      <c r="A697" s="1"/>
      <c r="B697" s="32"/>
      <c r="C697" s="8"/>
      <c r="D697" s="8"/>
      <c r="E697" s="8"/>
      <c r="F697" s="8"/>
      <c r="G697" s="8"/>
    </row>
    <row r="698" spans="1:7" x14ac:dyDescent="0.2">
      <c r="A698" s="1"/>
      <c r="B698" s="32"/>
      <c r="C698" s="8"/>
      <c r="D698" s="8"/>
      <c r="E698" s="8"/>
      <c r="F698" s="8"/>
      <c r="G698" s="8"/>
    </row>
    <row r="699" spans="1:7" x14ac:dyDescent="0.2">
      <c r="A699" s="1"/>
      <c r="B699" s="32"/>
      <c r="C699" s="8"/>
      <c r="D699" s="8"/>
      <c r="E699" s="8"/>
      <c r="F699" s="8"/>
      <c r="G699" s="8"/>
    </row>
    <row r="700" spans="1:7" x14ac:dyDescent="0.2">
      <c r="A700" s="1"/>
      <c r="B700" s="32"/>
      <c r="C700" s="8"/>
      <c r="D700" s="8"/>
      <c r="E700" s="8"/>
      <c r="F700" s="8"/>
      <c r="G700" s="8"/>
    </row>
    <row r="701" spans="1:7" x14ac:dyDescent="0.2">
      <c r="A701" s="1"/>
      <c r="B701" s="32"/>
      <c r="C701" s="8"/>
      <c r="D701" s="8"/>
      <c r="E701" s="8"/>
      <c r="F701" s="8"/>
      <c r="G701" s="8"/>
    </row>
    <row r="702" spans="1:7" x14ac:dyDescent="0.2">
      <c r="A702" s="1"/>
      <c r="B702" s="32"/>
      <c r="C702" s="8"/>
      <c r="D702" s="8"/>
      <c r="E702" s="8"/>
      <c r="F702" s="8"/>
      <c r="G702" s="8"/>
    </row>
    <row r="703" spans="1:7" x14ac:dyDescent="0.2">
      <c r="A703" s="1"/>
      <c r="B703" s="32"/>
      <c r="C703" s="8"/>
      <c r="D703" s="8"/>
      <c r="E703" s="8"/>
      <c r="F703" s="8"/>
      <c r="G703" s="8"/>
    </row>
    <row r="704" spans="1:7" x14ac:dyDescent="0.2">
      <c r="A704" s="1"/>
      <c r="B704" s="32"/>
      <c r="C704" s="8"/>
      <c r="D704" s="8"/>
      <c r="E704" s="8"/>
      <c r="F704" s="8"/>
      <c r="G704" s="8"/>
    </row>
    <row r="705" spans="1:7" x14ac:dyDescent="0.2">
      <c r="A705" s="1"/>
      <c r="B705" s="32"/>
      <c r="C705" s="8"/>
      <c r="D705" s="8"/>
      <c r="E705" s="8"/>
      <c r="F705" s="8"/>
      <c r="G705" s="8"/>
    </row>
    <row r="706" spans="1:7" x14ac:dyDescent="0.2">
      <c r="A706" s="1"/>
      <c r="B706" s="32"/>
      <c r="C706" s="8"/>
      <c r="D706" s="8"/>
      <c r="E706" s="8"/>
      <c r="F706" s="8"/>
      <c r="G706" s="8"/>
    </row>
    <row r="707" spans="1:7" x14ac:dyDescent="0.2">
      <c r="A707" s="1"/>
      <c r="B707" s="32"/>
      <c r="C707" s="8"/>
      <c r="D707" s="8"/>
      <c r="E707" s="8"/>
      <c r="F707" s="8"/>
      <c r="G707" s="8"/>
    </row>
    <row r="708" spans="1:7" x14ac:dyDescent="0.2">
      <c r="A708" s="1"/>
      <c r="B708" s="32"/>
      <c r="C708" s="8"/>
      <c r="D708" s="8"/>
      <c r="E708" s="8"/>
      <c r="F708" s="8"/>
      <c r="G708" s="8"/>
    </row>
    <row r="709" spans="1:7" x14ac:dyDescent="0.2">
      <c r="A709" s="1"/>
      <c r="B709" s="32"/>
      <c r="C709" s="8"/>
      <c r="D709" s="8"/>
      <c r="E709" s="8"/>
      <c r="F709" s="8"/>
      <c r="G709" s="8"/>
    </row>
    <row r="710" spans="1:7" x14ac:dyDescent="0.2">
      <c r="A710" s="1"/>
      <c r="B710" s="32"/>
      <c r="C710" s="8"/>
      <c r="D710" s="8"/>
      <c r="E710" s="8"/>
      <c r="F710" s="8"/>
      <c r="G710" s="8"/>
    </row>
    <row r="711" spans="1:7" x14ac:dyDescent="0.2">
      <c r="A711" s="1"/>
      <c r="B711" s="32"/>
      <c r="C711" s="8"/>
      <c r="D711" s="8"/>
      <c r="E711" s="8"/>
      <c r="F711" s="8"/>
      <c r="G711" s="8"/>
    </row>
    <row r="712" spans="1:7" x14ac:dyDescent="0.2">
      <c r="A712" s="1"/>
      <c r="B712" s="32"/>
      <c r="C712" s="8"/>
      <c r="D712" s="8"/>
      <c r="E712" s="8"/>
      <c r="F712" s="8"/>
      <c r="G712" s="8"/>
    </row>
    <row r="713" spans="1:7" x14ac:dyDescent="0.2">
      <c r="A713" s="1"/>
      <c r="B713" s="32"/>
      <c r="C713" s="8"/>
      <c r="D713" s="8"/>
      <c r="E713" s="8"/>
      <c r="F713" s="8"/>
      <c r="G713" s="8"/>
    </row>
    <row r="714" spans="1:7" x14ac:dyDescent="0.2">
      <c r="A714" s="1"/>
      <c r="B714" s="32"/>
      <c r="C714" s="8"/>
      <c r="D714" s="8"/>
      <c r="E714" s="8"/>
      <c r="F714" s="8"/>
      <c r="G714" s="8"/>
    </row>
    <row r="715" spans="1:7" x14ac:dyDescent="0.2">
      <c r="A715" s="1"/>
      <c r="B715" s="32"/>
      <c r="C715" s="8"/>
      <c r="D715" s="8"/>
      <c r="E715" s="8"/>
      <c r="F715" s="8"/>
      <c r="G715" s="8"/>
    </row>
    <row r="716" spans="1:7" x14ac:dyDescent="0.2">
      <c r="A716" s="1"/>
      <c r="B716" s="32"/>
      <c r="C716" s="8"/>
      <c r="D716" s="8"/>
      <c r="E716" s="8"/>
      <c r="F716" s="8"/>
      <c r="G716" s="8"/>
    </row>
    <row r="717" spans="1:7" x14ac:dyDescent="0.2">
      <c r="A717" s="1"/>
      <c r="B717" s="32"/>
      <c r="C717" s="8"/>
      <c r="D717" s="8"/>
      <c r="E717" s="8"/>
      <c r="F717" s="8"/>
      <c r="G717" s="8"/>
    </row>
    <row r="718" spans="1:7" x14ac:dyDescent="0.2">
      <c r="A718" s="1"/>
      <c r="B718" s="32"/>
      <c r="C718" s="8"/>
      <c r="D718" s="8"/>
      <c r="E718" s="8"/>
      <c r="F718" s="8"/>
      <c r="G718" s="8"/>
    </row>
    <row r="719" spans="1:7" x14ac:dyDescent="0.2">
      <c r="A719" s="1"/>
      <c r="B719" s="32"/>
      <c r="C719" s="8"/>
      <c r="D719" s="8"/>
      <c r="E719" s="8"/>
      <c r="F719" s="8"/>
      <c r="G719" s="8"/>
    </row>
    <row r="720" spans="1:7" x14ac:dyDescent="0.2">
      <c r="A720" s="1"/>
      <c r="B720" s="32"/>
      <c r="C720" s="8"/>
      <c r="D720" s="8"/>
      <c r="E720" s="8"/>
      <c r="F720" s="8"/>
      <c r="G720" s="8"/>
    </row>
    <row r="721" spans="1:7" x14ac:dyDescent="0.2">
      <c r="A721" s="1"/>
      <c r="B721" s="32"/>
      <c r="C721" s="8"/>
      <c r="D721" s="8"/>
      <c r="E721" s="8"/>
      <c r="F721" s="8"/>
      <c r="G721" s="8"/>
    </row>
    <row r="722" spans="1:7" x14ac:dyDescent="0.2">
      <c r="A722" s="1"/>
      <c r="B722" s="32"/>
      <c r="C722" s="8"/>
      <c r="D722" s="8"/>
      <c r="E722" s="8"/>
      <c r="F722" s="8"/>
      <c r="G722" s="8"/>
    </row>
    <row r="723" spans="1:7" x14ac:dyDescent="0.2">
      <c r="A723" s="1"/>
      <c r="B723" s="32"/>
      <c r="C723" s="8"/>
      <c r="D723" s="8"/>
      <c r="E723" s="8"/>
      <c r="F723" s="8"/>
      <c r="G723" s="8"/>
    </row>
    <row r="724" spans="1:7" x14ac:dyDescent="0.2">
      <c r="A724" s="1"/>
      <c r="B724" s="32"/>
      <c r="C724" s="8"/>
      <c r="D724" s="8"/>
      <c r="E724" s="8"/>
      <c r="F724" s="8"/>
      <c r="G724" s="8"/>
    </row>
    <row r="725" spans="1:7" x14ac:dyDescent="0.2">
      <c r="A725" s="1"/>
      <c r="B725" s="32"/>
      <c r="C725" s="8"/>
      <c r="D725" s="8"/>
      <c r="E725" s="8"/>
      <c r="F725" s="8"/>
      <c r="G725" s="8"/>
    </row>
    <row r="726" spans="1:7" x14ac:dyDescent="0.2">
      <c r="A726" s="1"/>
      <c r="B726" s="32"/>
      <c r="C726" s="8"/>
      <c r="D726" s="8"/>
      <c r="E726" s="8"/>
      <c r="F726" s="8"/>
      <c r="G726" s="8"/>
    </row>
    <row r="727" spans="1:7" x14ac:dyDescent="0.2">
      <c r="A727" s="1"/>
      <c r="B727" s="32"/>
      <c r="C727" s="8"/>
      <c r="D727" s="8"/>
      <c r="E727" s="8"/>
      <c r="F727" s="8"/>
      <c r="G727" s="8"/>
    </row>
    <row r="728" spans="1:7" x14ac:dyDescent="0.2">
      <c r="A728" s="1"/>
      <c r="B728" s="32"/>
      <c r="C728" s="8"/>
      <c r="D728" s="8"/>
      <c r="E728" s="8"/>
      <c r="F728" s="8"/>
      <c r="G728" s="8"/>
    </row>
    <row r="729" spans="1:7" x14ac:dyDescent="0.2">
      <c r="A729" s="1"/>
      <c r="B729" s="32"/>
      <c r="C729" s="8"/>
      <c r="D729" s="8"/>
      <c r="E729" s="8"/>
      <c r="F729" s="8"/>
      <c r="G729" s="8"/>
    </row>
    <row r="730" spans="1:7" x14ac:dyDescent="0.2">
      <c r="A730" s="1"/>
      <c r="B730" s="32"/>
      <c r="C730" s="8"/>
      <c r="D730" s="8"/>
      <c r="E730" s="8"/>
      <c r="F730" s="8"/>
      <c r="G730" s="8"/>
    </row>
    <row r="731" spans="1:7" x14ac:dyDescent="0.2">
      <c r="A731" s="1"/>
      <c r="B731" s="32"/>
      <c r="C731" s="8"/>
      <c r="D731" s="8"/>
      <c r="E731" s="8"/>
      <c r="F731" s="8"/>
      <c r="G731" s="8"/>
    </row>
    <row r="732" spans="1:7" x14ac:dyDescent="0.2">
      <c r="A732" s="1"/>
      <c r="B732" s="32"/>
      <c r="C732" s="8"/>
      <c r="D732" s="8"/>
      <c r="E732" s="8"/>
      <c r="F732" s="8"/>
      <c r="G732" s="8"/>
    </row>
    <row r="733" spans="1:7" x14ac:dyDescent="0.2">
      <c r="A733" s="1"/>
      <c r="B733" s="32"/>
      <c r="C733" s="8"/>
      <c r="D733" s="8"/>
      <c r="E733" s="8"/>
      <c r="F733" s="8"/>
      <c r="G733" s="8"/>
    </row>
    <row r="734" spans="1:7" x14ac:dyDescent="0.2">
      <c r="A734" s="1"/>
      <c r="B734" s="32"/>
      <c r="C734" s="8"/>
      <c r="D734" s="8"/>
      <c r="E734" s="8"/>
      <c r="F734" s="8"/>
      <c r="G734" s="8"/>
    </row>
    <row r="735" spans="1:7" x14ac:dyDescent="0.2">
      <c r="A735" s="1"/>
      <c r="B735" s="32"/>
      <c r="C735" s="8"/>
      <c r="D735" s="8"/>
      <c r="E735" s="8"/>
      <c r="F735" s="8"/>
      <c r="G735" s="8"/>
    </row>
    <row r="736" spans="1:7" x14ac:dyDescent="0.2">
      <c r="A736" s="1"/>
      <c r="B736" s="32"/>
      <c r="C736" s="8"/>
      <c r="D736" s="8"/>
      <c r="E736" s="8"/>
      <c r="F736" s="8"/>
      <c r="G736" s="8"/>
    </row>
    <row r="737" spans="1:7" x14ac:dyDescent="0.2">
      <c r="A737" s="1"/>
      <c r="B737" s="32"/>
      <c r="C737" s="8"/>
      <c r="D737" s="8"/>
      <c r="E737" s="8"/>
      <c r="F737" s="8"/>
      <c r="G737" s="8"/>
    </row>
    <row r="738" spans="1:7" x14ac:dyDescent="0.2">
      <c r="A738" s="1"/>
      <c r="B738" s="32"/>
      <c r="C738" s="8"/>
      <c r="D738" s="8"/>
      <c r="E738" s="8"/>
      <c r="F738" s="8"/>
      <c r="G738" s="8"/>
    </row>
    <row r="739" spans="1:7" x14ac:dyDescent="0.2">
      <c r="A739" s="1"/>
      <c r="B739" s="32"/>
      <c r="C739" s="8"/>
      <c r="D739" s="8"/>
      <c r="E739" s="8"/>
      <c r="F739" s="8"/>
      <c r="G739" s="8"/>
    </row>
    <row r="740" spans="1:7" x14ac:dyDescent="0.2">
      <c r="A740" s="1"/>
      <c r="B740" s="32"/>
      <c r="C740" s="8"/>
      <c r="D740" s="8"/>
      <c r="E740" s="8"/>
      <c r="F740" s="8"/>
      <c r="G740" s="8"/>
    </row>
    <row r="741" spans="1:7" x14ac:dyDescent="0.2">
      <c r="A741" s="1"/>
      <c r="B741" s="32"/>
      <c r="C741" s="8"/>
      <c r="D741" s="8"/>
      <c r="E741" s="8"/>
      <c r="F741" s="8"/>
      <c r="G741" s="8"/>
    </row>
    <row r="742" spans="1:7" x14ac:dyDescent="0.2">
      <c r="A742" s="1"/>
      <c r="B742" s="32"/>
      <c r="C742" s="8"/>
      <c r="D742" s="8"/>
      <c r="E742" s="8"/>
      <c r="F742" s="8"/>
      <c r="G742" s="8"/>
    </row>
    <row r="743" spans="1:7" x14ac:dyDescent="0.2">
      <c r="A743" s="1"/>
      <c r="B743" s="32"/>
      <c r="C743" s="8"/>
      <c r="D743" s="8"/>
      <c r="E743" s="8"/>
      <c r="F743" s="8"/>
      <c r="G743" s="8"/>
    </row>
    <row r="744" spans="1:7" x14ac:dyDescent="0.2">
      <c r="A744" s="1"/>
      <c r="B744" s="32"/>
      <c r="C744" s="8"/>
      <c r="D744" s="8"/>
      <c r="E744" s="8"/>
      <c r="F744" s="8"/>
      <c r="G744" s="8"/>
    </row>
    <row r="745" spans="1:7" x14ac:dyDescent="0.2">
      <c r="A745" s="1"/>
      <c r="B745" s="32"/>
      <c r="C745" s="8"/>
      <c r="D745" s="8"/>
      <c r="E745" s="8"/>
      <c r="F745" s="8"/>
      <c r="G745" s="8"/>
    </row>
    <row r="746" spans="1:7" x14ac:dyDescent="0.2">
      <c r="A746" s="1"/>
      <c r="B746" s="32"/>
      <c r="C746" s="8"/>
      <c r="D746" s="8"/>
      <c r="E746" s="8"/>
      <c r="F746" s="8"/>
      <c r="G746" s="8"/>
    </row>
    <row r="747" spans="1:7" x14ac:dyDescent="0.2">
      <c r="A747" s="1"/>
      <c r="B747" s="32"/>
      <c r="C747" s="8"/>
      <c r="D747" s="8"/>
      <c r="E747" s="8"/>
      <c r="F747" s="8"/>
      <c r="G747" s="8"/>
    </row>
    <row r="748" spans="1:7" x14ac:dyDescent="0.2">
      <c r="A748" s="1"/>
      <c r="B748" s="32"/>
      <c r="C748" s="8"/>
      <c r="D748" s="8"/>
      <c r="E748" s="8"/>
      <c r="F748" s="8"/>
      <c r="G748" s="8"/>
    </row>
    <row r="749" spans="1:7" x14ac:dyDescent="0.2">
      <c r="A749" s="1"/>
      <c r="B749" s="32"/>
      <c r="C749" s="8"/>
      <c r="D749" s="8"/>
      <c r="E749" s="8"/>
      <c r="F749" s="8"/>
      <c r="G749" s="8"/>
    </row>
    <row r="750" spans="1:7" x14ac:dyDescent="0.2">
      <c r="A750" s="1"/>
      <c r="B750" s="32"/>
      <c r="C750" s="8"/>
      <c r="D750" s="8"/>
      <c r="E750" s="8"/>
      <c r="F750" s="8"/>
      <c r="G750" s="8"/>
    </row>
    <row r="751" spans="1:7" x14ac:dyDescent="0.2">
      <c r="A751" s="1"/>
      <c r="B751" s="32"/>
      <c r="C751" s="8"/>
      <c r="D751" s="8"/>
      <c r="E751" s="8"/>
      <c r="F751" s="8"/>
      <c r="G751" s="8"/>
    </row>
    <row r="752" spans="1:7" x14ac:dyDescent="0.2">
      <c r="A752" s="1"/>
      <c r="B752" s="32"/>
      <c r="C752" s="8"/>
      <c r="D752" s="8"/>
      <c r="E752" s="8"/>
      <c r="F752" s="8"/>
      <c r="G752" s="8"/>
    </row>
    <row r="753" spans="1:7" x14ac:dyDescent="0.2">
      <c r="A753" s="1"/>
      <c r="B753" s="32"/>
      <c r="C753" s="8"/>
      <c r="D753" s="8"/>
      <c r="E753" s="8"/>
      <c r="F753" s="8"/>
      <c r="G753" s="8"/>
    </row>
    <row r="754" spans="1:7" x14ac:dyDescent="0.2">
      <c r="A754" s="1"/>
      <c r="B754" s="32"/>
      <c r="C754" s="8"/>
      <c r="D754" s="8"/>
      <c r="E754" s="8"/>
      <c r="F754" s="8"/>
      <c r="G754" s="8"/>
    </row>
    <row r="755" spans="1:7" x14ac:dyDescent="0.2">
      <c r="A755" s="1"/>
      <c r="B755" s="32"/>
      <c r="C755" s="8"/>
      <c r="D755" s="8"/>
      <c r="E755" s="8"/>
      <c r="F755" s="8"/>
      <c r="G755" s="8"/>
    </row>
    <row r="756" spans="1:7" x14ac:dyDescent="0.2">
      <c r="A756" s="1"/>
      <c r="B756" s="32"/>
      <c r="C756" s="8"/>
      <c r="D756" s="8"/>
      <c r="E756" s="8"/>
      <c r="F756" s="8"/>
      <c r="G756" s="8"/>
    </row>
    <row r="757" spans="1:7" x14ac:dyDescent="0.2">
      <c r="A757" s="1"/>
      <c r="B757" s="32"/>
      <c r="C757" s="8"/>
      <c r="D757" s="8"/>
      <c r="E757" s="8"/>
      <c r="F757" s="8"/>
      <c r="G757" s="8"/>
    </row>
    <row r="758" spans="1:7" x14ac:dyDescent="0.2">
      <c r="A758" s="1"/>
      <c r="B758" s="32"/>
      <c r="C758" s="8"/>
      <c r="D758" s="8"/>
      <c r="E758" s="8"/>
      <c r="F758" s="8"/>
      <c r="G758" s="8"/>
    </row>
    <row r="759" spans="1:7" x14ac:dyDescent="0.2">
      <c r="A759" s="1"/>
      <c r="B759" s="32"/>
      <c r="C759" s="8"/>
      <c r="D759" s="8"/>
      <c r="E759" s="8"/>
      <c r="F759" s="8"/>
      <c r="G759" s="8"/>
    </row>
    <row r="760" spans="1:7" x14ac:dyDescent="0.2">
      <c r="A760" s="1"/>
      <c r="B760" s="32"/>
      <c r="C760" s="8"/>
      <c r="D760" s="8"/>
      <c r="E760" s="8"/>
      <c r="F760" s="8"/>
      <c r="G760" s="8"/>
    </row>
    <row r="761" spans="1:7" x14ac:dyDescent="0.2">
      <c r="A761" s="1"/>
      <c r="B761" s="32"/>
      <c r="C761" s="8"/>
      <c r="D761" s="8"/>
      <c r="E761" s="8"/>
      <c r="F761" s="8"/>
      <c r="G761" s="8"/>
    </row>
    <row r="762" spans="1:7" x14ac:dyDescent="0.2">
      <c r="A762" s="1"/>
      <c r="B762" s="32"/>
      <c r="C762" s="8"/>
      <c r="D762" s="8"/>
      <c r="E762" s="8"/>
      <c r="F762" s="8"/>
      <c r="G762" s="8"/>
    </row>
    <row r="763" spans="1:7" x14ac:dyDescent="0.2">
      <c r="A763" s="1"/>
      <c r="B763" s="32"/>
      <c r="C763" s="8"/>
      <c r="D763" s="8"/>
      <c r="E763" s="8"/>
      <c r="F763" s="8"/>
      <c r="G763" s="8"/>
    </row>
    <row r="764" spans="1:7" x14ac:dyDescent="0.2">
      <c r="A764" s="1"/>
      <c r="B764" s="32"/>
      <c r="C764" s="8"/>
      <c r="D764" s="8"/>
      <c r="E764" s="8"/>
      <c r="F764" s="8"/>
      <c r="G764" s="8"/>
    </row>
    <row r="765" spans="1:7" x14ac:dyDescent="0.2">
      <c r="A765" s="1"/>
      <c r="B765" s="32"/>
      <c r="C765" s="8"/>
      <c r="D765" s="8"/>
      <c r="E765" s="8"/>
      <c r="F765" s="8"/>
      <c r="G765" s="8"/>
    </row>
    <row r="766" spans="1:7" x14ac:dyDescent="0.2">
      <c r="A766" s="1"/>
      <c r="B766" s="32"/>
      <c r="C766" s="8"/>
      <c r="D766" s="8"/>
      <c r="E766" s="8"/>
      <c r="F766" s="8"/>
      <c r="G766" s="8"/>
    </row>
    <row r="767" spans="1:7" x14ac:dyDescent="0.2">
      <c r="A767" s="1"/>
      <c r="B767" s="32"/>
      <c r="C767" s="8"/>
      <c r="D767" s="8"/>
      <c r="E767" s="8"/>
      <c r="F767" s="8"/>
      <c r="G767" s="8"/>
    </row>
    <row r="768" spans="1:7" x14ac:dyDescent="0.2">
      <c r="A768" s="1"/>
      <c r="B768" s="32"/>
      <c r="C768" s="8"/>
      <c r="D768" s="8"/>
      <c r="E768" s="8"/>
      <c r="F768" s="8"/>
      <c r="G768" s="8"/>
    </row>
    <row r="769" spans="1:7" x14ac:dyDescent="0.2">
      <c r="A769" s="1"/>
      <c r="B769" s="32"/>
      <c r="C769" s="8"/>
      <c r="D769" s="8"/>
      <c r="E769" s="8"/>
      <c r="F769" s="8"/>
      <c r="G769" s="8"/>
    </row>
    <row r="770" spans="1:7" x14ac:dyDescent="0.2">
      <c r="A770" s="1"/>
      <c r="B770" s="32"/>
      <c r="C770" s="8"/>
      <c r="D770" s="8"/>
      <c r="E770" s="8"/>
      <c r="F770" s="8"/>
      <c r="G770" s="8"/>
    </row>
    <row r="771" spans="1:7" x14ac:dyDescent="0.2">
      <c r="A771" s="1"/>
      <c r="B771" s="32"/>
      <c r="C771" s="8"/>
      <c r="D771" s="8"/>
      <c r="E771" s="8"/>
      <c r="F771" s="8"/>
      <c r="G771" s="8"/>
    </row>
    <row r="772" spans="1:7" x14ac:dyDescent="0.2">
      <c r="A772" s="1"/>
      <c r="B772" s="32"/>
      <c r="C772" s="8"/>
      <c r="D772" s="8"/>
      <c r="E772" s="8"/>
      <c r="F772" s="8"/>
      <c r="G772" s="8"/>
    </row>
    <row r="773" spans="1:7" x14ac:dyDescent="0.2">
      <c r="A773" s="1"/>
      <c r="B773" s="32"/>
      <c r="C773" s="8"/>
      <c r="D773" s="8"/>
      <c r="E773" s="8"/>
      <c r="F773" s="8"/>
      <c r="G773" s="8"/>
    </row>
    <row r="774" spans="1:7" x14ac:dyDescent="0.2">
      <c r="A774" s="1"/>
      <c r="B774" s="32"/>
      <c r="C774" s="8"/>
      <c r="D774" s="8"/>
      <c r="E774" s="8"/>
      <c r="F774" s="8"/>
      <c r="G774" s="8"/>
    </row>
    <row r="775" spans="1:7" x14ac:dyDescent="0.2">
      <c r="A775" s="1"/>
      <c r="B775" s="32"/>
      <c r="C775" s="8"/>
      <c r="D775" s="8"/>
      <c r="E775" s="8"/>
      <c r="F775" s="8"/>
      <c r="G775" s="8"/>
    </row>
    <row r="776" spans="1:7" x14ac:dyDescent="0.2">
      <c r="A776" s="1"/>
      <c r="B776" s="32"/>
      <c r="C776" s="8"/>
      <c r="D776" s="8"/>
      <c r="E776" s="8"/>
      <c r="F776" s="8"/>
      <c r="G776" s="8"/>
    </row>
    <row r="777" spans="1:7" x14ac:dyDescent="0.2">
      <c r="A777" s="1"/>
      <c r="B777" s="32"/>
      <c r="C777" s="8"/>
      <c r="D777" s="8"/>
      <c r="E777" s="8"/>
      <c r="F777" s="8"/>
      <c r="G777" s="8"/>
    </row>
    <row r="778" spans="1:7" x14ac:dyDescent="0.2">
      <c r="A778" s="1"/>
      <c r="B778" s="32"/>
      <c r="C778" s="8"/>
      <c r="D778" s="8"/>
      <c r="E778" s="8"/>
      <c r="F778" s="8"/>
      <c r="G778" s="8"/>
    </row>
    <row r="779" spans="1:7" x14ac:dyDescent="0.2">
      <c r="A779" s="1"/>
      <c r="B779" s="32"/>
      <c r="C779" s="8"/>
      <c r="D779" s="8"/>
      <c r="E779" s="8"/>
      <c r="F779" s="8"/>
      <c r="G779" s="8"/>
    </row>
    <row r="780" spans="1:7" x14ac:dyDescent="0.2">
      <c r="A780" s="1"/>
      <c r="B780" s="32"/>
      <c r="C780" s="8"/>
      <c r="D780" s="8"/>
      <c r="E780" s="8"/>
      <c r="F780" s="8"/>
      <c r="G780" s="8"/>
    </row>
    <row r="781" spans="1:7" x14ac:dyDescent="0.2">
      <c r="A781" s="1"/>
      <c r="B781" s="32"/>
      <c r="C781" s="8"/>
      <c r="D781" s="8"/>
      <c r="E781" s="8"/>
      <c r="F781" s="8"/>
      <c r="G781" s="8"/>
    </row>
    <row r="782" spans="1:7" x14ac:dyDescent="0.2">
      <c r="A782" s="1"/>
      <c r="B782" s="32"/>
      <c r="C782" s="8"/>
      <c r="D782" s="8"/>
      <c r="E782" s="8"/>
      <c r="F782" s="8"/>
      <c r="G782" s="8"/>
    </row>
    <row r="783" spans="1:7" x14ac:dyDescent="0.2">
      <c r="A783" s="1"/>
      <c r="B783" s="32"/>
      <c r="C783" s="8"/>
      <c r="D783" s="8"/>
      <c r="E783" s="8"/>
      <c r="F783" s="8"/>
      <c r="G783" s="8"/>
    </row>
    <row r="784" spans="1:7" x14ac:dyDescent="0.2">
      <c r="A784" s="1"/>
      <c r="B784" s="32"/>
      <c r="C784" s="8"/>
      <c r="D784" s="8"/>
      <c r="E784" s="8"/>
      <c r="F784" s="8"/>
      <c r="G784" s="8"/>
    </row>
    <row r="785" spans="1:7" x14ac:dyDescent="0.2">
      <c r="A785" s="1"/>
      <c r="B785" s="32"/>
      <c r="C785" s="8"/>
      <c r="D785" s="8"/>
      <c r="E785" s="8"/>
      <c r="F785" s="8"/>
      <c r="G785" s="8"/>
    </row>
    <row r="786" spans="1:7" x14ac:dyDescent="0.2">
      <c r="A786" s="1"/>
      <c r="B786" s="32"/>
      <c r="C786" s="8"/>
      <c r="D786" s="8"/>
      <c r="E786" s="8"/>
      <c r="F786" s="8"/>
      <c r="G786" s="8"/>
    </row>
    <row r="787" spans="1:7" x14ac:dyDescent="0.2">
      <c r="A787" s="1"/>
      <c r="B787" s="32"/>
      <c r="C787" s="8"/>
      <c r="D787" s="8"/>
      <c r="E787" s="8"/>
      <c r="F787" s="8"/>
      <c r="G787" s="8"/>
    </row>
    <row r="788" spans="1:7" x14ac:dyDescent="0.2">
      <c r="A788" s="1"/>
      <c r="B788" s="32"/>
      <c r="C788" s="8"/>
      <c r="D788" s="8"/>
      <c r="E788" s="8"/>
      <c r="F788" s="8"/>
      <c r="G788" s="8"/>
    </row>
    <row r="789" spans="1:7" x14ac:dyDescent="0.2">
      <c r="A789" s="1"/>
      <c r="B789" s="32"/>
      <c r="C789" s="8"/>
      <c r="D789" s="8"/>
      <c r="E789" s="8"/>
      <c r="F789" s="8"/>
      <c r="G789" s="8"/>
    </row>
    <row r="790" spans="1:7" x14ac:dyDescent="0.2">
      <c r="A790" s="1"/>
      <c r="B790" s="32"/>
      <c r="C790" s="8"/>
      <c r="D790" s="8"/>
      <c r="E790" s="8"/>
      <c r="F790" s="8"/>
      <c r="G790" s="8"/>
    </row>
    <row r="791" spans="1:7" x14ac:dyDescent="0.2">
      <c r="A791" s="1"/>
      <c r="B791" s="32"/>
      <c r="C791" s="8"/>
      <c r="D791" s="8"/>
      <c r="E791" s="8"/>
      <c r="F791" s="8"/>
      <c r="G791" s="8"/>
    </row>
    <row r="792" spans="1:7" x14ac:dyDescent="0.2">
      <c r="A792" s="1"/>
      <c r="B792" s="32"/>
      <c r="C792" s="8"/>
      <c r="D792" s="8"/>
      <c r="E792" s="8"/>
      <c r="F792" s="8"/>
      <c r="G792" s="8"/>
    </row>
    <row r="793" spans="1:7" x14ac:dyDescent="0.2">
      <c r="A793" s="1"/>
      <c r="B793" s="32"/>
      <c r="C793" s="8"/>
      <c r="D793" s="8"/>
      <c r="E793" s="8"/>
      <c r="F793" s="8"/>
      <c r="G793" s="8"/>
    </row>
    <row r="794" spans="1:7" x14ac:dyDescent="0.2">
      <c r="A794" s="1"/>
      <c r="B794" s="32"/>
      <c r="C794" s="8"/>
      <c r="D794" s="8"/>
      <c r="E794" s="8"/>
      <c r="F794" s="8"/>
      <c r="G794" s="8"/>
    </row>
    <row r="795" spans="1:7" x14ac:dyDescent="0.2">
      <c r="A795" s="1"/>
      <c r="B795" s="32"/>
      <c r="C795" s="8"/>
      <c r="D795" s="8"/>
      <c r="E795" s="8"/>
      <c r="F795" s="8"/>
      <c r="G795" s="8"/>
    </row>
    <row r="796" spans="1:7" x14ac:dyDescent="0.2">
      <c r="A796" s="1"/>
      <c r="B796" s="32"/>
      <c r="C796" s="8"/>
      <c r="D796" s="8"/>
      <c r="E796" s="8"/>
      <c r="F796" s="8"/>
      <c r="G796" s="8"/>
    </row>
    <row r="797" spans="1:7" x14ac:dyDescent="0.2">
      <c r="A797" s="1"/>
      <c r="B797" s="32"/>
      <c r="C797" s="8"/>
      <c r="D797" s="8"/>
      <c r="E797" s="8"/>
      <c r="F797" s="8"/>
      <c r="G797" s="8"/>
    </row>
    <row r="798" spans="1:7" x14ac:dyDescent="0.2">
      <c r="A798" s="1"/>
      <c r="B798" s="32"/>
      <c r="C798" s="8"/>
      <c r="D798" s="8"/>
      <c r="E798" s="8"/>
      <c r="F798" s="8"/>
      <c r="G798" s="8"/>
    </row>
    <row r="799" spans="1:7" x14ac:dyDescent="0.2">
      <c r="A799" s="1"/>
      <c r="B799" s="32"/>
      <c r="C799" s="8"/>
      <c r="D799" s="8"/>
      <c r="E799" s="8"/>
      <c r="F799" s="8"/>
      <c r="G799" s="8"/>
    </row>
    <row r="800" spans="1:7" x14ac:dyDescent="0.2">
      <c r="A800" s="1"/>
      <c r="B800" s="32"/>
      <c r="C800" s="8"/>
      <c r="D800" s="8"/>
      <c r="E800" s="8"/>
      <c r="F800" s="8"/>
      <c r="G800" s="8"/>
    </row>
    <row r="801" spans="1:7" x14ac:dyDescent="0.2">
      <c r="A801" s="1"/>
      <c r="B801" s="32"/>
      <c r="C801" s="8"/>
      <c r="D801" s="8"/>
      <c r="E801" s="8"/>
      <c r="F801" s="8"/>
      <c r="G801" s="8"/>
    </row>
    <row r="802" spans="1:7" x14ac:dyDescent="0.2">
      <c r="A802" s="1"/>
      <c r="B802" s="32"/>
      <c r="C802" s="8"/>
      <c r="D802" s="8"/>
      <c r="E802" s="8"/>
      <c r="F802" s="8"/>
      <c r="G802" s="8"/>
    </row>
    <row r="803" spans="1:7" x14ac:dyDescent="0.2">
      <c r="A803" s="1"/>
      <c r="B803" s="32"/>
      <c r="C803" s="8"/>
      <c r="D803" s="8"/>
      <c r="E803" s="8"/>
      <c r="F803" s="8"/>
      <c r="G803" s="8"/>
    </row>
    <row r="804" spans="1:7" x14ac:dyDescent="0.2">
      <c r="A804" s="1"/>
      <c r="B804" s="32"/>
      <c r="C804" s="8"/>
      <c r="D804" s="8"/>
      <c r="E804" s="8"/>
      <c r="F804" s="8"/>
      <c r="G804" s="8"/>
    </row>
    <row r="805" spans="1:7" x14ac:dyDescent="0.2">
      <c r="A805" s="1"/>
      <c r="B805" s="32"/>
      <c r="C805" s="8"/>
      <c r="D805" s="8"/>
      <c r="E805" s="8"/>
      <c r="F805" s="8"/>
      <c r="G805" s="8"/>
    </row>
    <row r="806" spans="1:7" x14ac:dyDescent="0.2">
      <c r="A806" s="1"/>
      <c r="B806" s="32"/>
      <c r="C806" s="8"/>
      <c r="D806" s="8"/>
      <c r="E806" s="8"/>
      <c r="F806" s="8"/>
      <c r="G806" s="8"/>
    </row>
    <row r="807" spans="1:7" x14ac:dyDescent="0.2">
      <c r="A807" s="1"/>
      <c r="B807" s="32"/>
      <c r="C807" s="8"/>
      <c r="D807" s="8"/>
      <c r="E807" s="8"/>
      <c r="F807" s="8"/>
      <c r="G807" s="8"/>
    </row>
    <row r="808" spans="1:7" x14ac:dyDescent="0.2">
      <c r="A808" s="1"/>
      <c r="B808" s="32"/>
      <c r="C808" s="8"/>
      <c r="D808" s="8"/>
      <c r="E808" s="8"/>
      <c r="F808" s="8"/>
      <c r="G808" s="8"/>
    </row>
    <row r="809" spans="1:7" x14ac:dyDescent="0.2">
      <c r="A809" s="1"/>
      <c r="B809" s="32"/>
      <c r="C809" s="8"/>
      <c r="D809" s="8"/>
      <c r="E809" s="8"/>
      <c r="F809" s="8"/>
      <c r="G809" s="8"/>
    </row>
    <row r="810" spans="1:7" x14ac:dyDescent="0.2">
      <c r="A810" s="1"/>
      <c r="B810" s="32"/>
      <c r="C810" s="8"/>
      <c r="D810" s="8"/>
      <c r="E810" s="8"/>
      <c r="F810" s="8"/>
      <c r="G810" s="8"/>
    </row>
    <row r="811" spans="1:7" x14ac:dyDescent="0.2">
      <c r="A811" s="1"/>
      <c r="B811" s="32"/>
      <c r="C811" s="8"/>
      <c r="D811" s="8"/>
      <c r="E811" s="8"/>
      <c r="F811" s="8"/>
      <c r="G811" s="8"/>
    </row>
    <row r="812" spans="1:7" x14ac:dyDescent="0.2">
      <c r="A812" s="1"/>
      <c r="B812" s="32"/>
      <c r="C812" s="8"/>
      <c r="D812" s="8"/>
      <c r="E812" s="8"/>
      <c r="F812" s="8"/>
      <c r="G812" s="8"/>
    </row>
    <row r="813" spans="1:7" x14ac:dyDescent="0.2">
      <c r="A813" s="1"/>
      <c r="B813" s="32"/>
      <c r="C813" s="8"/>
      <c r="D813" s="8"/>
      <c r="E813" s="8"/>
      <c r="F813" s="8"/>
      <c r="G813" s="8"/>
    </row>
    <row r="814" spans="1:7" x14ac:dyDescent="0.2">
      <c r="A814" s="1"/>
      <c r="B814" s="32"/>
      <c r="C814" s="8"/>
      <c r="D814" s="8"/>
      <c r="E814" s="8"/>
      <c r="F814" s="8"/>
      <c r="G814" s="8"/>
    </row>
    <row r="815" spans="1:7" x14ac:dyDescent="0.2">
      <c r="A815" s="1"/>
      <c r="B815" s="32"/>
      <c r="C815" s="8"/>
      <c r="D815" s="8"/>
      <c r="E815" s="8"/>
      <c r="F815" s="8"/>
      <c r="G815" s="8"/>
    </row>
    <row r="816" spans="1:7" x14ac:dyDescent="0.2">
      <c r="A816" s="1"/>
      <c r="B816" s="32"/>
      <c r="C816" s="8"/>
      <c r="D816" s="8"/>
      <c r="E816" s="8"/>
      <c r="F816" s="8"/>
      <c r="G816" s="8"/>
    </row>
    <row r="817" spans="1:7" x14ac:dyDescent="0.2">
      <c r="A817" s="1"/>
      <c r="B817" s="32"/>
      <c r="C817" s="8"/>
      <c r="D817" s="8"/>
      <c r="E817" s="8"/>
      <c r="F817" s="8"/>
      <c r="G817" s="8"/>
    </row>
    <row r="818" spans="1:7" x14ac:dyDescent="0.2">
      <c r="A818" s="1"/>
      <c r="B818" s="32"/>
      <c r="C818" s="8"/>
      <c r="D818" s="8"/>
      <c r="E818" s="8"/>
      <c r="F818" s="8"/>
      <c r="G818" s="8"/>
    </row>
    <row r="819" spans="1:7" x14ac:dyDescent="0.2">
      <c r="A819" s="1"/>
      <c r="B819" s="32"/>
      <c r="C819" s="8"/>
      <c r="D819" s="8"/>
      <c r="E819" s="8"/>
      <c r="F819" s="8"/>
      <c r="G819" s="8"/>
    </row>
    <row r="820" spans="1:7" x14ac:dyDescent="0.2">
      <c r="A820" s="1"/>
      <c r="B820" s="32"/>
      <c r="C820" s="8"/>
      <c r="D820" s="8"/>
      <c r="E820" s="8"/>
      <c r="F820" s="8"/>
      <c r="G820" s="8"/>
    </row>
    <row r="821" spans="1:7" x14ac:dyDescent="0.2">
      <c r="A821" s="1"/>
      <c r="B821" s="32"/>
      <c r="C821" s="8"/>
      <c r="D821" s="8"/>
      <c r="E821" s="8"/>
      <c r="F821" s="8"/>
      <c r="G821" s="8"/>
    </row>
    <row r="822" spans="1:7" x14ac:dyDescent="0.2">
      <c r="A822" s="1"/>
      <c r="B822" s="32"/>
      <c r="C822" s="8"/>
      <c r="D822" s="8"/>
      <c r="E822" s="8"/>
      <c r="F822" s="8"/>
      <c r="G822" s="8"/>
    </row>
    <row r="823" spans="1:7" x14ac:dyDescent="0.2">
      <c r="A823" s="1"/>
      <c r="B823" s="32"/>
      <c r="C823" s="8"/>
      <c r="D823" s="8"/>
      <c r="E823" s="8"/>
      <c r="F823" s="8"/>
      <c r="G823" s="8"/>
    </row>
    <row r="824" spans="1:7" x14ac:dyDescent="0.2">
      <c r="A824" s="1"/>
      <c r="B824" s="32"/>
      <c r="C824" s="8"/>
      <c r="D824" s="8"/>
      <c r="E824" s="8"/>
      <c r="F824" s="8"/>
      <c r="G824" s="8"/>
    </row>
    <row r="825" spans="1:7" x14ac:dyDescent="0.2">
      <c r="A825" s="1"/>
      <c r="B825" s="32"/>
      <c r="C825" s="8"/>
      <c r="D825" s="8"/>
      <c r="E825" s="8"/>
      <c r="F825" s="8"/>
      <c r="G825" s="8"/>
    </row>
    <row r="826" spans="1:7" x14ac:dyDescent="0.2">
      <c r="A826" s="1"/>
      <c r="B826" s="32"/>
      <c r="C826" s="8"/>
      <c r="D826" s="8"/>
      <c r="E826" s="8"/>
      <c r="F826" s="8"/>
      <c r="G826" s="8"/>
    </row>
    <row r="827" spans="1:7" x14ac:dyDescent="0.2">
      <c r="A827" s="1"/>
      <c r="B827" s="32"/>
      <c r="C827" s="8"/>
      <c r="D827" s="8"/>
      <c r="E827" s="8"/>
      <c r="F827" s="8"/>
      <c r="G827" s="8"/>
    </row>
    <row r="828" spans="1:7" x14ac:dyDescent="0.2">
      <c r="A828" s="1"/>
      <c r="B828" s="32"/>
      <c r="C828" s="8"/>
      <c r="D828" s="8"/>
      <c r="E828" s="8"/>
      <c r="F828" s="8"/>
      <c r="G828" s="8"/>
    </row>
    <row r="829" spans="1:7" x14ac:dyDescent="0.2">
      <c r="A829" s="1"/>
      <c r="B829" s="32"/>
      <c r="C829" s="8"/>
      <c r="D829" s="8"/>
      <c r="E829" s="8"/>
      <c r="F829" s="8"/>
      <c r="G829" s="8"/>
    </row>
    <row r="830" spans="1:7" x14ac:dyDescent="0.2">
      <c r="A830" s="1"/>
      <c r="B830" s="32"/>
      <c r="C830" s="8"/>
      <c r="D830" s="8"/>
      <c r="E830" s="8"/>
      <c r="F830" s="8"/>
      <c r="G830" s="8"/>
    </row>
    <row r="831" spans="1:7" x14ac:dyDescent="0.2">
      <c r="A831" s="1"/>
      <c r="B831" s="32"/>
      <c r="C831" s="8"/>
      <c r="D831" s="8"/>
      <c r="E831" s="8"/>
      <c r="F831" s="8"/>
      <c r="G831" s="8"/>
    </row>
    <row r="832" spans="1:7" x14ac:dyDescent="0.2">
      <c r="A832" s="1"/>
      <c r="B832" s="32"/>
      <c r="C832" s="8"/>
      <c r="D832" s="8"/>
      <c r="E832" s="8"/>
      <c r="F832" s="8"/>
      <c r="G832" s="8"/>
    </row>
    <row r="833" spans="1:7" x14ac:dyDescent="0.2">
      <c r="A833" s="1"/>
      <c r="B833" s="32"/>
      <c r="C833" s="8"/>
      <c r="D833" s="8"/>
      <c r="E833" s="8"/>
      <c r="F833" s="8"/>
      <c r="G833" s="8"/>
    </row>
    <row r="834" spans="1:7" x14ac:dyDescent="0.2">
      <c r="A834" s="1"/>
      <c r="B834" s="32"/>
      <c r="C834" s="8"/>
      <c r="D834" s="8"/>
      <c r="E834" s="8"/>
      <c r="F834" s="8"/>
      <c r="G834" s="8"/>
    </row>
    <row r="835" spans="1:7" x14ac:dyDescent="0.2">
      <c r="A835" s="1"/>
      <c r="B835" s="32"/>
      <c r="C835" s="8"/>
      <c r="D835" s="8"/>
      <c r="E835" s="8"/>
      <c r="F835" s="8"/>
      <c r="G835" s="8"/>
    </row>
    <row r="836" spans="1:7" x14ac:dyDescent="0.2">
      <c r="A836" s="1"/>
      <c r="B836" s="32"/>
      <c r="C836" s="8"/>
      <c r="D836" s="8"/>
      <c r="E836" s="8"/>
      <c r="F836" s="8"/>
      <c r="G836" s="8"/>
    </row>
    <row r="837" spans="1:7" x14ac:dyDescent="0.2">
      <c r="A837" s="1"/>
      <c r="B837" s="32"/>
      <c r="C837" s="8"/>
      <c r="D837" s="8"/>
      <c r="E837" s="8"/>
      <c r="F837" s="8"/>
      <c r="G837" s="8"/>
    </row>
    <row r="838" spans="1:7" x14ac:dyDescent="0.2">
      <c r="A838" s="1"/>
      <c r="B838" s="32"/>
      <c r="C838" s="8"/>
      <c r="D838" s="8"/>
      <c r="E838" s="8"/>
      <c r="F838" s="8"/>
      <c r="G838" s="8"/>
    </row>
    <row r="839" spans="1:7" x14ac:dyDescent="0.2">
      <c r="A839" s="1"/>
      <c r="B839" s="32"/>
      <c r="C839" s="8"/>
      <c r="D839" s="8"/>
      <c r="E839" s="8"/>
      <c r="F839" s="8"/>
      <c r="G839" s="8"/>
    </row>
    <row r="840" spans="1:7" x14ac:dyDescent="0.2">
      <c r="A840" s="1"/>
      <c r="B840" s="32"/>
      <c r="C840" s="8"/>
      <c r="D840" s="8"/>
      <c r="E840" s="8"/>
      <c r="F840" s="8"/>
      <c r="G840" s="8"/>
    </row>
    <row r="841" spans="1:7" x14ac:dyDescent="0.2">
      <c r="A841" s="1"/>
      <c r="B841" s="32"/>
      <c r="C841" s="8"/>
      <c r="D841" s="8"/>
      <c r="E841" s="8"/>
      <c r="F841" s="8"/>
      <c r="G841" s="8"/>
    </row>
    <row r="842" spans="1:7" x14ac:dyDescent="0.2">
      <c r="A842" s="1"/>
      <c r="B842" s="32"/>
      <c r="C842" s="8"/>
      <c r="D842" s="8"/>
      <c r="E842" s="8"/>
      <c r="F842" s="8"/>
      <c r="G842" s="8"/>
    </row>
    <row r="843" spans="1:7" x14ac:dyDescent="0.2">
      <c r="A843" s="1"/>
      <c r="B843" s="32"/>
      <c r="C843" s="8"/>
      <c r="D843" s="8"/>
      <c r="E843" s="8"/>
      <c r="F843" s="8"/>
      <c r="G843" s="8"/>
    </row>
    <row r="844" spans="1:7" x14ac:dyDescent="0.2">
      <c r="A844" s="1"/>
      <c r="B844" s="32"/>
      <c r="C844" s="8"/>
      <c r="D844" s="8"/>
      <c r="E844" s="8"/>
      <c r="F844" s="8"/>
      <c r="G844" s="8"/>
    </row>
    <row r="845" spans="1:7" x14ac:dyDescent="0.2">
      <c r="A845" s="1"/>
      <c r="B845" s="32"/>
      <c r="C845" s="8"/>
      <c r="D845" s="8"/>
      <c r="E845" s="8"/>
      <c r="F845" s="8"/>
      <c r="G845" s="8"/>
    </row>
    <row r="846" spans="1:7" x14ac:dyDescent="0.2">
      <c r="A846" s="1"/>
      <c r="B846" s="32"/>
      <c r="C846" s="8"/>
      <c r="D846" s="8"/>
      <c r="E846" s="8"/>
      <c r="F846" s="8"/>
      <c r="G846" s="8"/>
    </row>
    <row r="847" spans="1:7" x14ac:dyDescent="0.2">
      <c r="A847" s="1"/>
      <c r="B847" s="32"/>
      <c r="C847" s="8"/>
      <c r="D847" s="8"/>
      <c r="E847" s="8"/>
      <c r="F847" s="8"/>
      <c r="G847" s="8"/>
    </row>
    <row r="848" spans="1:7" x14ac:dyDescent="0.2">
      <c r="A848" s="1"/>
      <c r="B848" s="32"/>
      <c r="C848" s="8"/>
      <c r="D848" s="8"/>
      <c r="E848" s="8"/>
      <c r="F848" s="8"/>
      <c r="G848" s="8"/>
    </row>
    <row r="849" spans="1:7" x14ac:dyDescent="0.2">
      <c r="A849" s="1"/>
      <c r="B849" s="32"/>
      <c r="C849" s="8"/>
      <c r="D849" s="8"/>
      <c r="E849" s="8"/>
      <c r="F849" s="8"/>
      <c r="G849" s="8"/>
    </row>
    <row r="850" spans="1:7" x14ac:dyDescent="0.2">
      <c r="A850" s="1"/>
      <c r="B850" s="32"/>
      <c r="C850" s="8"/>
      <c r="D850" s="8"/>
      <c r="E850" s="8"/>
      <c r="F850" s="8"/>
      <c r="G850" s="8"/>
    </row>
    <row r="851" spans="1:7" x14ac:dyDescent="0.2">
      <c r="A851" s="1"/>
      <c r="B851" s="32"/>
      <c r="C851" s="8"/>
      <c r="D851" s="8"/>
      <c r="E851" s="8"/>
      <c r="F851" s="8"/>
      <c r="G851" s="8"/>
    </row>
    <row r="852" spans="1:7" x14ac:dyDescent="0.2">
      <c r="A852" s="1"/>
      <c r="B852" s="32"/>
      <c r="C852" s="8"/>
      <c r="D852" s="8"/>
      <c r="E852" s="8"/>
      <c r="F852" s="8"/>
      <c r="G852" s="8"/>
    </row>
    <row r="853" spans="1:7" x14ac:dyDescent="0.2">
      <c r="A853" s="1"/>
      <c r="B853" s="32"/>
      <c r="C853" s="8"/>
      <c r="D853" s="8"/>
      <c r="E853" s="8"/>
      <c r="F853" s="8"/>
      <c r="G853" s="8"/>
    </row>
    <row r="854" spans="1:7" x14ac:dyDescent="0.2">
      <c r="A854" s="1"/>
      <c r="B854" s="32"/>
      <c r="C854" s="8"/>
      <c r="D854" s="8"/>
      <c r="E854" s="8"/>
      <c r="F854" s="8"/>
      <c r="G854" s="8"/>
    </row>
    <row r="855" spans="1:7" x14ac:dyDescent="0.2">
      <c r="A855" s="1"/>
      <c r="B855" s="32"/>
      <c r="C855" s="8"/>
      <c r="D855" s="8"/>
      <c r="E855" s="8"/>
      <c r="F855" s="8"/>
      <c r="G855" s="8"/>
    </row>
    <row r="856" spans="1:7" x14ac:dyDescent="0.2">
      <c r="A856" s="1"/>
      <c r="B856" s="32"/>
      <c r="C856" s="8"/>
      <c r="D856" s="8"/>
      <c r="E856" s="8"/>
      <c r="F856" s="8"/>
      <c r="G856" s="8"/>
    </row>
    <row r="857" spans="1:7" x14ac:dyDescent="0.2">
      <c r="A857" s="1"/>
      <c r="B857" s="32"/>
      <c r="C857" s="8"/>
      <c r="D857" s="8"/>
      <c r="E857" s="8"/>
      <c r="F857" s="8"/>
      <c r="G857" s="8"/>
    </row>
    <row r="858" spans="1:7" x14ac:dyDescent="0.2">
      <c r="A858" s="1"/>
      <c r="B858" s="32"/>
      <c r="C858" s="8"/>
      <c r="D858" s="8"/>
      <c r="E858" s="8"/>
      <c r="F858" s="8"/>
      <c r="G858" s="8"/>
    </row>
    <row r="859" spans="1:7" x14ac:dyDescent="0.2">
      <c r="A859" s="1"/>
      <c r="B859" s="32"/>
      <c r="C859" s="8"/>
      <c r="D859" s="8"/>
      <c r="E859" s="8"/>
      <c r="F859" s="8"/>
      <c r="G859" s="8"/>
    </row>
    <row r="860" spans="1:7" x14ac:dyDescent="0.2">
      <c r="A860" s="1"/>
      <c r="B860" s="32"/>
      <c r="C860" s="8"/>
      <c r="D860" s="8"/>
      <c r="E860" s="8"/>
      <c r="F860" s="8"/>
      <c r="G860" s="8"/>
    </row>
    <row r="861" spans="1:7" x14ac:dyDescent="0.2">
      <c r="A861" s="1"/>
      <c r="B861" s="32"/>
      <c r="C861" s="8"/>
      <c r="D861" s="8"/>
      <c r="E861" s="8"/>
      <c r="F861" s="8"/>
      <c r="G861" s="8"/>
    </row>
    <row r="862" spans="1:7" x14ac:dyDescent="0.2">
      <c r="A862" s="1"/>
      <c r="B862" s="32"/>
      <c r="C862" s="8"/>
      <c r="D862" s="8"/>
      <c r="E862" s="8"/>
      <c r="F862" s="8"/>
      <c r="G862" s="8"/>
    </row>
    <row r="863" spans="1:7" x14ac:dyDescent="0.2">
      <c r="A863" s="1"/>
      <c r="B863" s="32"/>
      <c r="C863" s="8"/>
      <c r="D863" s="8"/>
      <c r="E863" s="8"/>
      <c r="F863" s="8"/>
      <c r="G863" s="8"/>
    </row>
    <row r="864" spans="1:7" x14ac:dyDescent="0.2">
      <c r="A864" s="1"/>
      <c r="B864" s="32"/>
      <c r="C864" s="8"/>
      <c r="D864" s="8"/>
      <c r="E864" s="8"/>
      <c r="F864" s="8"/>
      <c r="G864" s="8"/>
    </row>
    <row r="865" spans="1:7" x14ac:dyDescent="0.2">
      <c r="A865" s="1"/>
      <c r="B865" s="32"/>
      <c r="C865" s="8"/>
      <c r="D865" s="8"/>
      <c r="E865" s="8"/>
      <c r="F865" s="8"/>
      <c r="G865" s="8"/>
    </row>
    <row r="866" spans="1:7" x14ac:dyDescent="0.2">
      <c r="A866" s="1"/>
      <c r="B866" s="32"/>
      <c r="C866" s="8"/>
      <c r="D866" s="8"/>
      <c r="E866" s="8"/>
      <c r="F866" s="8"/>
      <c r="G866" s="8"/>
    </row>
    <row r="867" spans="1:7" x14ac:dyDescent="0.2">
      <c r="A867" s="1"/>
      <c r="B867" s="32"/>
      <c r="C867" s="8"/>
      <c r="D867" s="8"/>
      <c r="E867" s="8"/>
      <c r="F867" s="8"/>
      <c r="G867" s="8"/>
    </row>
    <row r="868" spans="1:7" x14ac:dyDescent="0.2">
      <c r="A868" s="1"/>
      <c r="B868" s="32"/>
      <c r="C868" s="8"/>
      <c r="D868" s="8"/>
      <c r="E868" s="8"/>
      <c r="F868" s="8"/>
      <c r="G868" s="8"/>
    </row>
    <row r="869" spans="1:7" x14ac:dyDescent="0.2">
      <c r="A869" s="1"/>
      <c r="B869" s="32"/>
      <c r="C869" s="8"/>
      <c r="D869" s="8"/>
      <c r="E869" s="8"/>
      <c r="F869" s="8"/>
      <c r="G869" s="8"/>
    </row>
    <row r="870" spans="1:7" x14ac:dyDescent="0.2">
      <c r="A870" s="1"/>
      <c r="B870" s="32"/>
      <c r="C870" s="8"/>
      <c r="D870" s="8"/>
      <c r="E870" s="8"/>
      <c r="F870" s="8"/>
      <c r="G870" s="8"/>
    </row>
    <row r="871" spans="1:7" x14ac:dyDescent="0.2">
      <c r="A871" s="1"/>
      <c r="B871" s="32"/>
      <c r="C871" s="8"/>
      <c r="D871" s="8"/>
      <c r="E871" s="8"/>
      <c r="F871" s="8"/>
      <c r="G871" s="8"/>
    </row>
    <row r="872" spans="1:7" x14ac:dyDescent="0.2">
      <c r="A872" s="1"/>
      <c r="B872" s="32"/>
      <c r="C872" s="8"/>
      <c r="D872" s="8"/>
      <c r="E872" s="8"/>
      <c r="F872" s="8"/>
      <c r="G872" s="8"/>
    </row>
    <row r="873" spans="1:7" x14ac:dyDescent="0.2">
      <c r="A873" s="1"/>
      <c r="B873" s="32"/>
      <c r="C873" s="8"/>
      <c r="D873" s="8"/>
      <c r="E873" s="8"/>
      <c r="F873" s="8"/>
      <c r="G873" s="8"/>
    </row>
    <row r="874" spans="1:7" x14ac:dyDescent="0.2">
      <c r="A874" s="1"/>
      <c r="B874" s="32"/>
      <c r="C874" s="8"/>
      <c r="D874" s="8"/>
      <c r="E874" s="8"/>
      <c r="F874" s="8"/>
      <c r="G874" s="8"/>
    </row>
    <row r="875" spans="1:7" x14ac:dyDescent="0.2">
      <c r="A875" s="1"/>
      <c r="B875" s="32"/>
      <c r="C875" s="8"/>
      <c r="D875" s="8"/>
      <c r="E875" s="8"/>
      <c r="F875" s="8"/>
      <c r="G875" s="8"/>
    </row>
    <row r="876" spans="1:7" x14ac:dyDescent="0.2">
      <c r="A876" s="1"/>
      <c r="B876" s="32"/>
      <c r="C876" s="8"/>
      <c r="D876" s="8"/>
      <c r="E876" s="8"/>
      <c r="F876" s="8"/>
      <c r="G876" s="8"/>
    </row>
    <row r="877" spans="1:7" x14ac:dyDescent="0.2">
      <c r="A877" s="1"/>
      <c r="B877" s="32"/>
      <c r="C877" s="8"/>
      <c r="D877" s="8"/>
      <c r="E877" s="8"/>
      <c r="F877" s="8"/>
      <c r="G877" s="8"/>
    </row>
    <row r="878" spans="1:7" x14ac:dyDescent="0.2">
      <c r="A878" s="1"/>
      <c r="B878" s="32"/>
      <c r="C878" s="8"/>
      <c r="D878" s="8"/>
      <c r="E878" s="8"/>
      <c r="F878" s="8"/>
      <c r="G878" s="8"/>
    </row>
    <row r="879" spans="1:7" x14ac:dyDescent="0.2">
      <c r="A879" s="1"/>
      <c r="B879" s="32"/>
      <c r="C879" s="8"/>
      <c r="D879" s="8"/>
      <c r="E879" s="8"/>
      <c r="F879" s="8"/>
      <c r="G879" s="8"/>
    </row>
    <row r="880" spans="1:7" x14ac:dyDescent="0.2">
      <c r="A880" s="1"/>
      <c r="B880" s="32"/>
      <c r="C880" s="8"/>
      <c r="D880" s="8"/>
      <c r="E880" s="8"/>
      <c r="F880" s="8"/>
      <c r="G880" s="8"/>
    </row>
    <row r="881" spans="1:7" x14ac:dyDescent="0.2">
      <c r="A881" s="1"/>
      <c r="B881" s="32"/>
      <c r="C881" s="8"/>
      <c r="D881" s="8"/>
      <c r="E881" s="8"/>
      <c r="F881" s="8"/>
      <c r="G881" s="8"/>
    </row>
    <row r="882" spans="1:7" x14ac:dyDescent="0.2">
      <c r="A882" s="1"/>
      <c r="B882" s="32"/>
      <c r="C882" s="8"/>
      <c r="D882" s="8"/>
      <c r="E882" s="8"/>
      <c r="F882" s="8"/>
      <c r="G882" s="8"/>
    </row>
    <row r="883" spans="1:7" x14ac:dyDescent="0.2">
      <c r="A883" s="1"/>
      <c r="B883" s="32"/>
      <c r="C883" s="8"/>
      <c r="D883" s="8"/>
      <c r="E883" s="8"/>
      <c r="F883" s="8"/>
      <c r="G883" s="8"/>
    </row>
    <row r="884" spans="1:7" x14ac:dyDescent="0.2">
      <c r="A884" s="1"/>
      <c r="B884" s="32"/>
      <c r="C884" s="8"/>
      <c r="D884" s="8"/>
      <c r="E884" s="8"/>
      <c r="F884" s="8"/>
      <c r="G884" s="8"/>
    </row>
    <row r="885" spans="1:7" x14ac:dyDescent="0.2">
      <c r="A885" s="1"/>
      <c r="B885" s="32"/>
      <c r="C885" s="8"/>
      <c r="D885" s="8"/>
      <c r="E885" s="8"/>
      <c r="F885" s="8"/>
      <c r="G885" s="8"/>
    </row>
    <row r="886" spans="1:7" x14ac:dyDescent="0.2">
      <c r="A886" s="1"/>
      <c r="B886" s="32"/>
      <c r="C886" s="8"/>
      <c r="D886" s="8"/>
      <c r="E886" s="8"/>
      <c r="F886" s="8"/>
      <c r="G886" s="8"/>
    </row>
    <row r="887" spans="1:7" x14ac:dyDescent="0.2">
      <c r="A887" s="1"/>
      <c r="B887" s="32"/>
      <c r="C887" s="8"/>
      <c r="D887" s="8"/>
      <c r="E887" s="8"/>
      <c r="F887" s="8"/>
      <c r="G887" s="8"/>
    </row>
    <row r="888" spans="1:7" x14ac:dyDescent="0.2">
      <c r="A888" s="1"/>
      <c r="B888" s="32"/>
      <c r="C888" s="8"/>
      <c r="D888" s="8"/>
      <c r="E888" s="8"/>
      <c r="F888" s="8"/>
      <c r="G888" s="8"/>
    </row>
    <row r="889" spans="1:7" x14ac:dyDescent="0.2">
      <c r="A889" s="1"/>
      <c r="B889" s="32"/>
      <c r="C889" s="8"/>
      <c r="D889" s="8"/>
      <c r="E889" s="8"/>
      <c r="F889" s="8"/>
      <c r="G889" s="8"/>
    </row>
    <row r="890" spans="1:7" x14ac:dyDescent="0.2">
      <c r="A890" s="1"/>
      <c r="B890" s="32"/>
      <c r="C890" s="8"/>
      <c r="D890" s="8"/>
      <c r="E890" s="8"/>
      <c r="F890" s="8"/>
      <c r="G890" s="8"/>
    </row>
    <row r="891" spans="1:7" x14ac:dyDescent="0.2">
      <c r="A891" s="1"/>
      <c r="B891" s="32"/>
      <c r="C891" s="8"/>
      <c r="D891" s="8"/>
      <c r="E891" s="8"/>
      <c r="F891" s="8"/>
      <c r="G891" s="8"/>
    </row>
    <row r="892" spans="1:7" x14ac:dyDescent="0.2">
      <c r="A892" s="1"/>
      <c r="B892" s="32"/>
      <c r="C892" s="8"/>
      <c r="D892" s="8"/>
      <c r="E892" s="8"/>
      <c r="F892" s="8"/>
      <c r="G892" s="8"/>
    </row>
    <row r="893" spans="1:7" x14ac:dyDescent="0.2">
      <c r="A893" s="1"/>
      <c r="B893" s="32"/>
      <c r="C893" s="8"/>
      <c r="D893" s="8"/>
      <c r="E893" s="8"/>
      <c r="F893" s="8"/>
      <c r="G893" s="8"/>
    </row>
    <row r="894" spans="1:7" x14ac:dyDescent="0.2">
      <c r="A894" s="1"/>
      <c r="B894" s="32"/>
      <c r="C894" s="8"/>
      <c r="D894" s="8"/>
      <c r="E894" s="8"/>
      <c r="F894" s="8"/>
      <c r="G894" s="8"/>
    </row>
    <row r="895" spans="1:7" x14ac:dyDescent="0.2">
      <c r="A895" s="1"/>
      <c r="B895" s="32"/>
      <c r="C895" s="8"/>
      <c r="D895" s="8"/>
      <c r="E895" s="8"/>
      <c r="F895" s="8"/>
      <c r="G895" s="8"/>
    </row>
    <row r="896" spans="1:7" x14ac:dyDescent="0.2">
      <c r="A896" s="1"/>
      <c r="B896" s="32"/>
      <c r="C896" s="8"/>
      <c r="D896" s="8"/>
      <c r="E896" s="8"/>
      <c r="F896" s="8"/>
      <c r="G896" s="8"/>
    </row>
    <row r="897" spans="1:7" x14ac:dyDescent="0.2">
      <c r="A897" s="1"/>
      <c r="B897" s="32"/>
      <c r="C897" s="8"/>
      <c r="D897" s="8"/>
      <c r="E897" s="8"/>
      <c r="F897" s="8"/>
      <c r="G897" s="8"/>
    </row>
    <row r="898" spans="1:7" x14ac:dyDescent="0.2">
      <c r="A898" s="1"/>
      <c r="B898" s="32"/>
      <c r="C898" s="8"/>
      <c r="D898" s="8"/>
      <c r="E898" s="8"/>
      <c r="F898" s="8"/>
      <c r="G898" s="8"/>
    </row>
    <row r="899" spans="1:7" x14ac:dyDescent="0.2">
      <c r="A899" s="1"/>
      <c r="B899" s="32"/>
      <c r="C899" s="8"/>
      <c r="D899" s="8"/>
      <c r="E899" s="8"/>
      <c r="F899" s="8"/>
      <c r="G899" s="8"/>
    </row>
    <row r="900" spans="1:7" x14ac:dyDescent="0.2">
      <c r="A900" s="1"/>
      <c r="B900" s="32"/>
      <c r="C900" s="8"/>
      <c r="D900" s="8"/>
      <c r="E900" s="8"/>
      <c r="F900" s="8"/>
      <c r="G900" s="8"/>
    </row>
    <row r="901" spans="1:7" x14ac:dyDescent="0.2">
      <c r="A901" s="1"/>
      <c r="B901" s="32"/>
      <c r="C901" s="8"/>
      <c r="D901" s="8"/>
      <c r="E901" s="8"/>
      <c r="F901" s="8"/>
      <c r="G901" s="8"/>
    </row>
    <row r="902" spans="1:7" x14ac:dyDescent="0.2">
      <c r="A902" s="1"/>
      <c r="B902" s="32"/>
      <c r="C902" s="8"/>
      <c r="D902" s="8"/>
      <c r="E902" s="8"/>
      <c r="F902" s="8"/>
      <c r="G902" s="8"/>
    </row>
    <row r="903" spans="1:7" x14ac:dyDescent="0.2">
      <c r="A903" s="1"/>
      <c r="B903" s="32"/>
      <c r="C903" s="8"/>
      <c r="D903" s="8"/>
      <c r="E903" s="8"/>
      <c r="F903" s="8"/>
      <c r="G903" s="8"/>
    </row>
    <row r="904" spans="1:7" x14ac:dyDescent="0.2">
      <c r="A904" s="1"/>
      <c r="B904" s="32"/>
      <c r="C904" s="8"/>
      <c r="D904" s="8"/>
      <c r="E904" s="8"/>
      <c r="F904" s="8"/>
      <c r="G904" s="8"/>
    </row>
    <row r="905" spans="1:7" x14ac:dyDescent="0.2">
      <c r="A905" s="1"/>
      <c r="B905" s="32"/>
      <c r="C905" s="8"/>
      <c r="D905" s="8"/>
      <c r="E905" s="8"/>
      <c r="F905" s="8"/>
      <c r="G905" s="8"/>
    </row>
    <row r="906" spans="1:7" x14ac:dyDescent="0.2">
      <c r="A906" s="1"/>
      <c r="B906" s="32"/>
      <c r="C906" s="8"/>
      <c r="D906" s="8"/>
      <c r="E906" s="8"/>
      <c r="F906" s="8"/>
      <c r="G906" s="8"/>
    </row>
    <row r="907" spans="1:7" x14ac:dyDescent="0.2">
      <c r="A907" s="1"/>
      <c r="B907" s="32"/>
      <c r="C907" s="8"/>
      <c r="D907" s="8"/>
      <c r="E907" s="8"/>
      <c r="F907" s="8"/>
      <c r="G907" s="8"/>
    </row>
    <row r="908" spans="1:7" x14ac:dyDescent="0.2">
      <c r="A908" s="1"/>
      <c r="B908" s="32"/>
      <c r="C908" s="8"/>
      <c r="D908" s="8"/>
      <c r="E908" s="8"/>
      <c r="F908" s="8"/>
      <c r="G908" s="8"/>
    </row>
    <row r="909" spans="1:7" x14ac:dyDescent="0.2">
      <c r="A909" s="1"/>
      <c r="B909" s="32"/>
      <c r="C909" s="8"/>
      <c r="D909" s="8"/>
      <c r="E909" s="8"/>
      <c r="F909" s="8"/>
      <c r="G909" s="8"/>
    </row>
    <row r="910" spans="1:7" x14ac:dyDescent="0.2">
      <c r="A910" s="1"/>
      <c r="B910" s="32"/>
      <c r="C910" s="8"/>
      <c r="D910" s="8"/>
      <c r="E910" s="8"/>
      <c r="F910" s="8"/>
      <c r="G910" s="8"/>
    </row>
    <row r="911" spans="1:7" x14ac:dyDescent="0.2">
      <c r="A911" s="1"/>
      <c r="B911" s="32"/>
      <c r="C911" s="8"/>
      <c r="D911" s="8"/>
      <c r="E911" s="8"/>
      <c r="F911" s="8"/>
      <c r="G911" s="8"/>
    </row>
    <row r="912" spans="1:7" x14ac:dyDescent="0.2">
      <c r="A912" s="1"/>
      <c r="B912" s="32"/>
      <c r="C912" s="8"/>
      <c r="D912" s="8"/>
      <c r="E912" s="8"/>
      <c r="F912" s="8"/>
      <c r="G912" s="8"/>
    </row>
    <row r="913" spans="1:7" x14ac:dyDescent="0.2">
      <c r="A913" s="1"/>
      <c r="B913" s="32"/>
      <c r="C913" s="8"/>
      <c r="D913" s="8"/>
      <c r="E913" s="8"/>
      <c r="F913" s="8"/>
      <c r="G913" s="8"/>
    </row>
    <row r="914" spans="1:7" x14ac:dyDescent="0.2">
      <c r="A914" s="1"/>
      <c r="B914" s="32"/>
      <c r="C914" s="8"/>
      <c r="D914" s="8"/>
      <c r="E914" s="8"/>
      <c r="F914" s="8"/>
      <c r="G914" s="8"/>
    </row>
    <row r="915" spans="1:7" x14ac:dyDescent="0.2">
      <c r="A915" s="1"/>
      <c r="B915" s="32"/>
      <c r="C915" s="8"/>
      <c r="D915" s="8"/>
      <c r="E915" s="8"/>
      <c r="F915" s="8"/>
      <c r="G915" s="8"/>
    </row>
    <row r="916" spans="1:7" x14ac:dyDescent="0.2">
      <c r="A916" s="1"/>
      <c r="B916" s="32"/>
      <c r="C916" s="8"/>
      <c r="D916" s="8"/>
      <c r="E916" s="8"/>
      <c r="F916" s="8"/>
      <c r="G916" s="8"/>
    </row>
    <row r="917" spans="1:7" x14ac:dyDescent="0.2">
      <c r="A917" s="1"/>
      <c r="B917" s="32"/>
      <c r="C917" s="8"/>
      <c r="D917" s="8"/>
      <c r="E917" s="8"/>
      <c r="F917" s="8"/>
      <c r="G917" s="8"/>
    </row>
    <row r="918" spans="1:7" x14ac:dyDescent="0.2">
      <c r="A918" s="1"/>
      <c r="B918" s="32"/>
      <c r="C918" s="8"/>
      <c r="D918" s="8"/>
      <c r="E918" s="8"/>
      <c r="F918" s="8"/>
      <c r="G918" s="8"/>
    </row>
    <row r="919" spans="1:7" x14ac:dyDescent="0.2">
      <c r="A919" s="1"/>
      <c r="B919" s="32"/>
      <c r="C919" s="8"/>
      <c r="D919" s="8"/>
      <c r="E919" s="8"/>
      <c r="F919" s="8"/>
      <c r="G919" s="8"/>
    </row>
    <row r="920" spans="1:7" x14ac:dyDescent="0.2">
      <c r="A920" s="1"/>
      <c r="B920" s="32"/>
      <c r="C920" s="8"/>
      <c r="D920" s="8"/>
      <c r="E920" s="8"/>
      <c r="F920" s="8"/>
      <c r="G920" s="8"/>
    </row>
    <row r="921" spans="1:7" x14ac:dyDescent="0.2">
      <c r="A921" s="1"/>
      <c r="B921" s="32"/>
      <c r="C921" s="8"/>
      <c r="D921" s="8"/>
      <c r="E921" s="8"/>
      <c r="F921" s="8"/>
      <c r="G921" s="8"/>
    </row>
    <row r="922" spans="1:7" x14ac:dyDescent="0.2">
      <c r="A922" s="1"/>
      <c r="B922" s="32"/>
      <c r="C922" s="8"/>
      <c r="D922" s="8"/>
      <c r="E922" s="8"/>
      <c r="F922" s="8"/>
      <c r="G922" s="8"/>
    </row>
    <row r="923" spans="1:7" x14ac:dyDescent="0.2">
      <c r="A923" s="1"/>
      <c r="B923" s="32"/>
      <c r="C923" s="8"/>
      <c r="D923" s="8"/>
      <c r="E923" s="8"/>
      <c r="F923" s="8"/>
      <c r="G923" s="8"/>
    </row>
    <row r="924" spans="1:7" x14ac:dyDescent="0.2">
      <c r="A924" s="1"/>
      <c r="B924" s="32"/>
      <c r="C924" s="8"/>
      <c r="D924" s="8"/>
      <c r="E924" s="8"/>
      <c r="F924" s="8"/>
      <c r="G924" s="8"/>
    </row>
    <row r="925" spans="1:7" x14ac:dyDescent="0.2">
      <c r="A925" s="1"/>
      <c r="B925" s="32"/>
      <c r="C925" s="8"/>
      <c r="D925" s="8"/>
      <c r="E925" s="8"/>
      <c r="F925" s="8"/>
      <c r="G925" s="8"/>
    </row>
    <row r="926" spans="1:7" x14ac:dyDescent="0.2">
      <c r="A926" s="1"/>
      <c r="B926" s="32"/>
      <c r="C926" s="8"/>
      <c r="D926" s="8"/>
      <c r="E926" s="8"/>
      <c r="F926" s="8"/>
      <c r="G926" s="8"/>
    </row>
    <row r="927" spans="1:7" x14ac:dyDescent="0.2">
      <c r="A927" s="1"/>
      <c r="B927" s="32"/>
      <c r="C927" s="8"/>
      <c r="D927" s="8"/>
      <c r="E927" s="8"/>
      <c r="F927" s="8"/>
      <c r="G927" s="8"/>
    </row>
    <row r="928" spans="1:7" x14ac:dyDescent="0.2">
      <c r="A928" s="1"/>
      <c r="B928" s="32"/>
      <c r="C928" s="8"/>
      <c r="D928" s="8"/>
      <c r="E928" s="8"/>
      <c r="F928" s="8"/>
      <c r="G928" s="8"/>
    </row>
    <row r="929" spans="1:7" x14ac:dyDescent="0.2">
      <c r="A929" s="1"/>
      <c r="B929" s="32"/>
      <c r="C929" s="8"/>
      <c r="D929" s="8"/>
      <c r="E929" s="8"/>
      <c r="F929" s="8"/>
      <c r="G929" s="8"/>
    </row>
    <row r="930" spans="1:7" x14ac:dyDescent="0.2">
      <c r="A930" s="1"/>
      <c r="B930" s="32"/>
      <c r="C930" s="8"/>
      <c r="D930" s="8"/>
      <c r="E930" s="8"/>
      <c r="F930" s="8"/>
      <c r="G930" s="8"/>
    </row>
    <row r="931" spans="1:7" x14ac:dyDescent="0.2">
      <c r="A931" s="1"/>
      <c r="B931" s="32"/>
      <c r="C931" s="8"/>
      <c r="D931" s="8"/>
      <c r="E931" s="8"/>
      <c r="F931" s="8"/>
      <c r="G931" s="8"/>
    </row>
    <row r="932" spans="1:7" x14ac:dyDescent="0.2">
      <c r="A932" s="1"/>
      <c r="B932" s="32"/>
      <c r="C932" s="8"/>
      <c r="D932" s="8"/>
      <c r="E932" s="8"/>
      <c r="F932" s="8"/>
      <c r="G932" s="8"/>
    </row>
    <row r="933" spans="1:7" x14ac:dyDescent="0.2">
      <c r="A933" s="1"/>
      <c r="B933" s="32"/>
      <c r="C933" s="8"/>
      <c r="D933" s="8"/>
      <c r="E933" s="8"/>
      <c r="F933" s="8"/>
      <c r="G933" s="8"/>
    </row>
    <row r="934" spans="1:7" x14ac:dyDescent="0.2">
      <c r="A934" s="1"/>
      <c r="B934" s="32"/>
      <c r="C934" s="8"/>
      <c r="D934" s="8"/>
      <c r="E934" s="8"/>
      <c r="F934" s="8"/>
      <c r="G934" s="8"/>
    </row>
    <row r="935" spans="1:7" x14ac:dyDescent="0.2">
      <c r="A935" s="1"/>
      <c r="B935" s="32"/>
      <c r="C935" s="8"/>
      <c r="D935" s="8"/>
      <c r="E935" s="8"/>
      <c r="F935" s="8"/>
      <c r="G935" s="8"/>
    </row>
    <row r="936" spans="1:7" x14ac:dyDescent="0.2">
      <c r="A936" s="1"/>
      <c r="B936" s="32"/>
      <c r="C936" s="8"/>
      <c r="D936" s="8"/>
      <c r="E936" s="8"/>
      <c r="F936" s="8"/>
      <c r="G936" s="8"/>
    </row>
    <row r="937" spans="1:7" x14ac:dyDescent="0.2">
      <c r="A937" s="1"/>
      <c r="B937" s="32"/>
      <c r="C937" s="8"/>
      <c r="D937" s="8"/>
      <c r="E937" s="8"/>
      <c r="F937" s="8"/>
      <c r="G937" s="8"/>
    </row>
    <row r="938" spans="1:7" x14ac:dyDescent="0.2">
      <c r="A938" s="1"/>
      <c r="B938" s="32"/>
      <c r="C938" s="8"/>
      <c r="D938" s="8"/>
      <c r="E938" s="8"/>
      <c r="F938" s="8"/>
      <c r="G938" s="8"/>
    </row>
    <row r="939" spans="1:7" x14ac:dyDescent="0.2">
      <c r="A939" s="1"/>
      <c r="B939" s="32"/>
      <c r="C939" s="8"/>
      <c r="D939" s="8"/>
      <c r="E939" s="8"/>
      <c r="F939" s="8"/>
      <c r="G939" s="8"/>
    </row>
    <row r="940" spans="1:7" x14ac:dyDescent="0.2">
      <c r="A940" s="1"/>
      <c r="B940" s="32"/>
      <c r="C940" s="8"/>
      <c r="D940" s="8"/>
      <c r="E940" s="8"/>
      <c r="F940" s="8"/>
      <c r="G940" s="8"/>
    </row>
    <row r="941" spans="1:7" x14ac:dyDescent="0.2">
      <c r="A941" s="1"/>
      <c r="B941" s="32"/>
      <c r="C941" s="8"/>
      <c r="D941" s="8"/>
      <c r="E941" s="8"/>
      <c r="F941" s="8"/>
      <c r="G941" s="8"/>
    </row>
    <row r="942" spans="1:7" x14ac:dyDescent="0.2">
      <c r="A942" s="1"/>
      <c r="B942" s="32"/>
      <c r="C942" s="8"/>
      <c r="D942" s="8"/>
      <c r="E942" s="8"/>
      <c r="F942" s="8"/>
      <c r="G942" s="8"/>
    </row>
    <row r="943" spans="1:7" x14ac:dyDescent="0.2">
      <c r="A943" s="1"/>
      <c r="B943" s="32"/>
      <c r="C943" s="8"/>
      <c r="D943" s="8"/>
      <c r="E943" s="8"/>
      <c r="F943" s="8"/>
      <c r="G943" s="8"/>
    </row>
    <row r="944" spans="1:7" x14ac:dyDescent="0.2">
      <c r="A944" s="1"/>
      <c r="B944" s="32"/>
      <c r="C944" s="8"/>
      <c r="D944" s="8"/>
      <c r="E944" s="8"/>
      <c r="F944" s="8"/>
      <c r="G944" s="8"/>
    </row>
    <row r="945" spans="1:7" x14ac:dyDescent="0.2">
      <c r="A945" s="1"/>
      <c r="B945" s="32"/>
      <c r="C945" s="8"/>
      <c r="D945" s="8"/>
      <c r="E945" s="8"/>
      <c r="F945" s="8"/>
      <c r="G945" s="8"/>
    </row>
    <row r="946" spans="1:7" x14ac:dyDescent="0.2">
      <c r="A946" s="1"/>
      <c r="B946" s="32"/>
      <c r="C946" s="8"/>
      <c r="D946" s="8"/>
      <c r="E946" s="8"/>
      <c r="F946" s="8"/>
      <c r="G946" s="8"/>
    </row>
    <row r="947" spans="1:7" x14ac:dyDescent="0.2">
      <c r="A947" s="1"/>
      <c r="B947" s="32"/>
      <c r="C947" s="8"/>
      <c r="D947" s="8"/>
      <c r="E947" s="8"/>
      <c r="F947" s="8"/>
      <c r="G947" s="8"/>
    </row>
    <row r="948" spans="1:7" x14ac:dyDescent="0.2">
      <c r="A948" s="1"/>
      <c r="B948" s="32"/>
      <c r="C948" s="8"/>
      <c r="D948" s="8"/>
      <c r="E948" s="8"/>
      <c r="F948" s="8"/>
      <c r="G948" s="8"/>
    </row>
    <row r="949" spans="1:7" x14ac:dyDescent="0.2">
      <c r="A949" s="1"/>
      <c r="B949" s="32"/>
      <c r="C949" s="8"/>
      <c r="D949" s="8"/>
      <c r="E949" s="8"/>
      <c r="F949" s="8"/>
      <c r="G949" s="8"/>
    </row>
    <row r="950" spans="1:7" x14ac:dyDescent="0.2">
      <c r="A950" s="1"/>
      <c r="B950" s="32"/>
      <c r="C950" s="8"/>
      <c r="D950" s="8"/>
      <c r="E950" s="8"/>
      <c r="F950" s="8"/>
      <c r="G950" s="8"/>
    </row>
    <row r="951" spans="1:7" x14ac:dyDescent="0.2">
      <c r="A951" s="1"/>
      <c r="B951" s="32"/>
      <c r="C951" s="8"/>
      <c r="D951" s="8"/>
      <c r="E951" s="8"/>
      <c r="F951" s="8"/>
      <c r="G951" s="8"/>
    </row>
    <row r="952" spans="1:7" x14ac:dyDescent="0.2">
      <c r="A952" s="1"/>
      <c r="B952" s="32"/>
      <c r="C952" s="8"/>
      <c r="D952" s="8"/>
      <c r="E952" s="8"/>
      <c r="F952" s="8"/>
      <c r="G952" s="8"/>
    </row>
    <row r="953" spans="1:7" x14ac:dyDescent="0.2">
      <c r="A953" s="1"/>
      <c r="B953" s="32"/>
      <c r="C953" s="8"/>
      <c r="D953" s="8"/>
      <c r="E953" s="8"/>
      <c r="F953" s="8"/>
      <c r="G953" s="8"/>
    </row>
    <row r="954" spans="1:7" x14ac:dyDescent="0.2">
      <c r="A954" s="1"/>
      <c r="B954" s="32"/>
      <c r="C954" s="8"/>
      <c r="D954" s="8"/>
      <c r="E954" s="8"/>
      <c r="F954" s="8"/>
      <c r="G954" s="8"/>
    </row>
    <row r="955" spans="1:7" x14ac:dyDescent="0.2">
      <c r="A955" s="1"/>
      <c r="B955" s="32"/>
      <c r="C955" s="8"/>
      <c r="D955" s="8"/>
      <c r="E955" s="8"/>
      <c r="F955" s="8"/>
      <c r="G955" s="8"/>
    </row>
    <row r="956" spans="1:7" x14ac:dyDescent="0.2">
      <c r="A956" s="1"/>
      <c r="B956" s="32"/>
      <c r="C956" s="8"/>
      <c r="D956" s="8"/>
      <c r="E956" s="8"/>
      <c r="F956" s="8"/>
      <c r="G956" s="8"/>
    </row>
    <row r="957" spans="1:7" x14ac:dyDescent="0.2">
      <c r="A957" s="1"/>
      <c r="B957" s="32"/>
      <c r="C957" s="8"/>
      <c r="D957" s="8"/>
      <c r="E957" s="8"/>
      <c r="F957" s="8"/>
      <c r="G957" s="8"/>
    </row>
    <row r="958" spans="1:7" x14ac:dyDescent="0.2">
      <c r="A958" s="1"/>
      <c r="B958" s="32"/>
      <c r="C958" s="8"/>
      <c r="D958" s="8"/>
      <c r="E958" s="8"/>
      <c r="F958" s="8"/>
      <c r="G958" s="8"/>
    </row>
    <row r="959" spans="1:7" x14ac:dyDescent="0.2">
      <c r="A959" s="1"/>
      <c r="B959" s="32"/>
      <c r="C959" s="8"/>
      <c r="D959" s="8"/>
      <c r="E959" s="8"/>
      <c r="F959" s="8"/>
      <c r="G959" s="8"/>
    </row>
    <row r="960" spans="1:7" x14ac:dyDescent="0.2">
      <c r="A960" s="1"/>
      <c r="B960" s="32"/>
      <c r="C960" s="8"/>
      <c r="D960" s="8"/>
      <c r="E960" s="8"/>
      <c r="F960" s="8"/>
      <c r="G960" s="8"/>
    </row>
    <row r="961" spans="1:7" x14ac:dyDescent="0.2">
      <c r="A961" s="1"/>
      <c r="B961" s="32"/>
      <c r="C961" s="8"/>
      <c r="D961" s="8"/>
      <c r="E961" s="8"/>
      <c r="F961" s="8"/>
      <c r="G961" s="8"/>
    </row>
    <row r="962" spans="1:7" x14ac:dyDescent="0.2">
      <c r="A962" s="1"/>
      <c r="B962" s="32"/>
      <c r="C962" s="8"/>
      <c r="D962" s="8"/>
      <c r="E962" s="8"/>
      <c r="F962" s="8"/>
      <c r="G962" s="8"/>
    </row>
    <row r="963" spans="1:7" x14ac:dyDescent="0.2">
      <c r="A963" s="1"/>
      <c r="B963" s="32"/>
      <c r="C963" s="8"/>
      <c r="D963" s="8"/>
      <c r="E963" s="8"/>
      <c r="F963" s="8"/>
      <c r="G963" s="8"/>
    </row>
    <row r="964" spans="1:7" x14ac:dyDescent="0.2">
      <c r="A964" s="1"/>
      <c r="B964" s="32"/>
      <c r="C964" s="8"/>
      <c r="D964" s="8"/>
      <c r="E964" s="8"/>
      <c r="F964" s="8"/>
      <c r="G964" s="8"/>
    </row>
    <row r="965" spans="1:7" x14ac:dyDescent="0.2">
      <c r="A965" s="1"/>
      <c r="B965" s="32"/>
      <c r="C965" s="8"/>
      <c r="D965" s="8"/>
      <c r="E965" s="8"/>
      <c r="F965" s="8"/>
      <c r="G965" s="8"/>
    </row>
    <row r="966" spans="1:7" x14ac:dyDescent="0.2">
      <c r="A966" s="1"/>
      <c r="B966" s="32"/>
      <c r="C966" s="8"/>
      <c r="D966" s="8"/>
      <c r="E966" s="8"/>
      <c r="F966" s="8"/>
      <c r="G966" s="8"/>
    </row>
    <row r="967" spans="1:7" x14ac:dyDescent="0.2">
      <c r="A967" s="1"/>
      <c r="B967" s="32"/>
      <c r="C967" s="8"/>
      <c r="D967" s="8"/>
      <c r="E967" s="8"/>
      <c r="F967" s="8"/>
      <c r="G967" s="8"/>
    </row>
    <row r="968" spans="1:7" x14ac:dyDescent="0.2">
      <c r="A968" s="1"/>
      <c r="B968" s="32"/>
      <c r="C968" s="8"/>
      <c r="D968" s="8"/>
      <c r="E968" s="8"/>
      <c r="F968" s="8"/>
      <c r="G968" s="8"/>
    </row>
    <row r="969" spans="1:7" x14ac:dyDescent="0.2">
      <c r="A969" s="1"/>
      <c r="B969" s="32"/>
      <c r="C969" s="8"/>
      <c r="D969" s="8"/>
      <c r="E969" s="8"/>
      <c r="F969" s="8"/>
      <c r="G969" s="8"/>
    </row>
    <row r="970" spans="1:7" x14ac:dyDescent="0.2">
      <c r="A970" s="1"/>
      <c r="B970" s="32"/>
      <c r="C970" s="8"/>
      <c r="D970" s="8"/>
      <c r="E970" s="8"/>
      <c r="F970" s="8"/>
      <c r="G970" s="8"/>
    </row>
    <row r="971" spans="1:7" x14ac:dyDescent="0.2">
      <c r="A971" s="1"/>
      <c r="B971" s="32"/>
      <c r="C971" s="8"/>
      <c r="D971" s="8"/>
      <c r="E971" s="8"/>
      <c r="F971" s="8"/>
      <c r="G971" s="8"/>
    </row>
    <row r="972" spans="1:7" x14ac:dyDescent="0.2">
      <c r="A972" s="1"/>
      <c r="B972" s="32"/>
      <c r="C972" s="8"/>
      <c r="D972" s="8"/>
      <c r="E972" s="8"/>
      <c r="F972" s="8"/>
      <c r="G972" s="8"/>
    </row>
    <row r="973" spans="1:7" x14ac:dyDescent="0.2">
      <c r="A973" s="1"/>
      <c r="B973" s="32"/>
      <c r="C973" s="8"/>
      <c r="D973" s="8"/>
      <c r="E973" s="8"/>
      <c r="F973" s="8"/>
      <c r="G973" s="8"/>
    </row>
    <row r="974" spans="1:7" x14ac:dyDescent="0.2">
      <c r="A974" s="1"/>
      <c r="B974" s="32"/>
      <c r="C974" s="8"/>
      <c r="D974" s="8"/>
      <c r="E974" s="8"/>
      <c r="F974" s="8"/>
      <c r="G974" s="8"/>
    </row>
    <row r="975" spans="1:7" x14ac:dyDescent="0.2">
      <c r="A975" s="1"/>
      <c r="B975" s="32"/>
      <c r="C975" s="8"/>
      <c r="D975" s="8"/>
      <c r="E975" s="8"/>
      <c r="F975" s="8"/>
      <c r="G975" s="8"/>
    </row>
    <row r="976" spans="1:7" x14ac:dyDescent="0.2">
      <c r="A976" s="1"/>
      <c r="B976" s="32"/>
      <c r="C976" s="8"/>
      <c r="D976" s="8"/>
      <c r="E976" s="8"/>
      <c r="F976" s="8"/>
      <c r="G976" s="8"/>
    </row>
    <row r="977" spans="1:7" x14ac:dyDescent="0.2">
      <c r="A977" s="1"/>
      <c r="B977" s="32"/>
      <c r="C977" s="8"/>
      <c r="D977" s="8"/>
      <c r="E977" s="8"/>
      <c r="F977" s="8"/>
      <c r="G977" s="8"/>
    </row>
    <row r="978" spans="1:7" x14ac:dyDescent="0.2">
      <c r="A978" s="1"/>
      <c r="B978" s="32"/>
      <c r="C978" s="8"/>
      <c r="D978" s="8"/>
      <c r="E978" s="8"/>
      <c r="F978" s="8"/>
      <c r="G978" s="8"/>
    </row>
    <row r="979" spans="1:7" x14ac:dyDescent="0.2">
      <c r="A979" s="1"/>
      <c r="B979" s="32"/>
      <c r="C979" s="8"/>
      <c r="D979" s="8"/>
      <c r="E979" s="8"/>
      <c r="F979" s="8"/>
      <c r="G979" s="8"/>
    </row>
    <row r="980" spans="1:7" x14ac:dyDescent="0.2">
      <c r="A980" s="1"/>
      <c r="B980" s="32"/>
      <c r="C980" s="8"/>
      <c r="D980" s="8"/>
      <c r="E980" s="8"/>
      <c r="F980" s="8"/>
      <c r="G980" s="8"/>
    </row>
    <row r="981" spans="1:7" x14ac:dyDescent="0.2">
      <c r="A981" s="1"/>
      <c r="B981" s="32"/>
      <c r="C981" s="8"/>
      <c r="D981" s="8"/>
      <c r="E981" s="8"/>
      <c r="F981" s="8"/>
      <c r="G981" s="8"/>
    </row>
    <row r="982" spans="1:7" x14ac:dyDescent="0.2">
      <c r="A982" s="1"/>
      <c r="B982" s="32"/>
      <c r="C982" s="8"/>
      <c r="D982" s="8"/>
      <c r="E982" s="8"/>
      <c r="F982" s="8"/>
      <c r="G982" s="8"/>
    </row>
    <row r="983" spans="1:7" x14ac:dyDescent="0.2">
      <c r="A983" s="1"/>
      <c r="B983" s="32"/>
      <c r="C983" s="8"/>
      <c r="D983" s="8"/>
      <c r="E983" s="8"/>
      <c r="F983" s="8"/>
      <c r="G983" s="8"/>
    </row>
    <row r="984" spans="1:7" x14ac:dyDescent="0.2">
      <c r="A984" s="1"/>
      <c r="B984" s="32"/>
      <c r="C984" s="8"/>
      <c r="D984" s="8"/>
      <c r="E984" s="8"/>
      <c r="F984" s="8"/>
      <c r="G984" s="8"/>
    </row>
    <row r="985" spans="1:7" x14ac:dyDescent="0.2">
      <c r="A985" s="1"/>
      <c r="B985" s="32"/>
      <c r="C985" s="8"/>
      <c r="D985" s="8"/>
      <c r="E985" s="8"/>
      <c r="F985" s="8"/>
      <c r="G985" s="8"/>
    </row>
    <row r="986" spans="1:7" x14ac:dyDescent="0.2">
      <c r="A986" s="1"/>
      <c r="B986" s="32"/>
      <c r="C986" s="8"/>
      <c r="D986" s="8"/>
      <c r="E986" s="8"/>
      <c r="F986" s="8"/>
      <c r="G986" s="8"/>
    </row>
    <row r="987" spans="1:7" x14ac:dyDescent="0.2">
      <c r="A987" s="1"/>
      <c r="B987" s="32"/>
      <c r="C987" s="8"/>
      <c r="D987" s="8"/>
      <c r="E987" s="8"/>
      <c r="F987" s="8"/>
      <c r="G987" s="8"/>
    </row>
    <row r="988" spans="1:7" x14ac:dyDescent="0.2">
      <c r="A988" s="1"/>
      <c r="B988" s="32"/>
      <c r="C988" s="8"/>
      <c r="D988" s="8"/>
      <c r="E988" s="8"/>
      <c r="F988" s="8"/>
      <c r="G988" s="8"/>
    </row>
    <row r="989" spans="1:7" x14ac:dyDescent="0.2">
      <c r="A989" s="1"/>
      <c r="B989" s="32"/>
      <c r="C989" s="8"/>
      <c r="D989" s="8"/>
      <c r="E989" s="8"/>
      <c r="F989" s="8"/>
      <c r="G989" s="8"/>
    </row>
    <row r="990" spans="1:7" x14ac:dyDescent="0.2">
      <c r="A990" s="1"/>
      <c r="B990" s="32"/>
      <c r="C990" s="8"/>
      <c r="D990" s="8"/>
      <c r="E990" s="8"/>
      <c r="F990" s="8"/>
      <c r="G990" s="8"/>
    </row>
    <row r="991" spans="1:7" x14ac:dyDescent="0.2">
      <c r="A991" s="1"/>
      <c r="B991" s="32"/>
      <c r="C991" s="8"/>
      <c r="D991" s="8"/>
      <c r="E991" s="8"/>
      <c r="F991" s="8"/>
      <c r="G991" s="8"/>
    </row>
    <row r="992" spans="1:7" x14ac:dyDescent="0.2">
      <c r="A992" s="1"/>
      <c r="B992" s="32"/>
      <c r="C992" s="8"/>
      <c r="D992" s="8"/>
      <c r="E992" s="8"/>
      <c r="F992" s="8"/>
      <c r="G992" s="8"/>
    </row>
    <row r="993" spans="1:7" x14ac:dyDescent="0.2">
      <c r="A993" s="1"/>
      <c r="B993" s="32"/>
      <c r="C993" s="8"/>
      <c r="D993" s="8"/>
      <c r="E993" s="8"/>
      <c r="F993" s="8"/>
      <c r="G993" s="8"/>
    </row>
    <row r="994" spans="1:7" x14ac:dyDescent="0.2">
      <c r="A994" s="1"/>
      <c r="B994" s="32"/>
      <c r="C994" s="8"/>
      <c r="D994" s="8"/>
      <c r="E994" s="8"/>
      <c r="F994" s="8"/>
      <c r="G994" s="8"/>
    </row>
    <row r="995" spans="1:7" x14ac:dyDescent="0.2">
      <c r="A995" s="1"/>
      <c r="B995" s="32"/>
      <c r="C995" s="8"/>
      <c r="D995" s="8"/>
      <c r="E995" s="8"/>
      <c r="F995" s="8"/>
      <c r="G995" s="8"/>
    </row>
    <row r="996" spans="1:7" x14ac:dyDescent="0.2">
      <c r="A996" s="1"/>
      <c r="B996" s="32"/>
      <c r="C996" s="8"/>
      <c r="D996" s="8"/>
      <c r="E996" s="8"/>
      <c r="F996" s="8"/>
      <c r="G996" s="8"/>
    </row>
    <row r="997" spans="1:7" x14ac:dyDescent="0.2">
      <c r="A997" s="1"/>
      <c r="B997" s="32"/>
      <c r="C997" s="8"/>
      <c r="D997" s="8"/>
      <c r="E997" s="8"/>
      <c r="F997" s="8"/>
      <c r="G997" s="8"/>
    </row>
    <row r="998" spans="1:7" x14ac:dyDescent="0.2">
      <c r="A998" s="1"/>
      <c r="B998" s="32"/>
      <c r="C998" s="8"/>
      <c r="D998" s="8"/>
      <c r="E998" s="8"/>
      <c r="F998" s="8"/>
      <c r="G998" s="8"/>
    </row>
    <row r="999" spans="1:7" x14ac:dyDescent="0.2">
      <c r="A999" s="1"/>
      <c r="B999" s="32"/>
      <c r="C999" s="8"/>
      <c r="D999" s="8"/>
      <c r="E999" s="8"/>
      <c r="F999" s="8"/>
      <c r="G999" s="8"/>
    </row>
    <row r="1000" spans="1:7" x14ac:dyDescent="0.2">
      <c r="A1000" s="1"/>
      <c r="B1000" s="32"/>
      <c r="C1000" s="8"/>
      <c r="D1000" s="8"/>
      <c r="E1000" s="8"/>
      <c r="F1000" s="8"/>
      <c r="G1000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5E05-A3E1-4D8E-947C-BDF423E48589}">
  <dimension ref="A1:F7"/>
  <sheetViews>
    <sheetView workbookViewId="0">
      <selection activeCell="AC12" sqref="AC12"/>
    </sheetView>
  </sheetViews>
  <sheetFormatPr defaultRowHeight="12.75" x14ac:dyDescent="0.2"/>
  <cols>
    <col min="6" max="6" width="26.7109375" bestFit="1" customWidth="1"/>
  </cols>
  <sheetData>
    <row r="1" spans="1:6" x14ac:dyDescent="0.2">
      <c r="A1" t="s">
        <v>58</v>
      </c>
      <c r="B1" t="s">
        <v>65</v>
      </c>
      <c r="C1" t="s">
        <v>67</v>
      </c>
      <c r="D1" t="s">
        <v>69</v>
      </c>
      <c r="E1" t="s">
        <v>66</v>
      </c>
      <c r="F1" t="s">
        <v>68</v>
      </c>
    </row>
    <row r="2" spans="1:6" x14ac:dyDescent="0.2">
      <c r="A2" t="s">
        <v>52</v>
      </c>
      <c r="B2">
        <v>3045</v>
      </c>
      <c r="C2">
        <v>28981</v>
      </c>
      <c r="D2">
        <v>0.87907556484789406</v>
      </c>
      <c r="E2">
        <v>32847</v>
      </c>
      <c r="F2">
        <v>1646.8232116736613</v>
      </c>
    </row>
    <row r="3" spans="1:6" x14ac:dyDescent="0.2">
      <c r="A3" t="s">
        <v>54</v>
      </c>
      <c r="B3">
        <v>3187</v>
      </c>
      <c r="C3">
        <v>26493</v>
      </c>
      <c r="D3">
        <v>0.72943985110959764</v>
      </c>
      <c r="E3">
        <v>34225</v>
      </c>
      <c r="F3">
        <v>3261.1245725620906</v>
      </c>
    </row>
    <row r="4" spans="1:6" x14ac:dyDescent="0.2">
      <c r="A4" t="s">
        <v>56</v>
      </c>
      <c r="B4">
        <v>4171</v>
      </c>
      <c r="C4">
        <v>38290.267263267888</v>
      </c>
      <c r="D4">
        <v>0.83868828471888834</v>
      </c>
      <c r="E4">
        <v>44761</v>
      </c>
      <c r="F4">
        <v>2767.4715930559901</v>
      </c>
    </row>
    <row r="5" spans="1:6" x14ac:dyDescent="0.2">
      <c r="A5" t="s">
        <v>53</v>
      </c>
      <c r="B5">
        <v>2379</v>
      </c>
      <c r="C5">
        <v>21642</v>
      </c>
      <c r="D5">
        <v>0.84724038840261373</v>
      </c>
      <c r="E5">
        <v>25377</v>
      </c>
      <c r="F5">
        <v>1660.2792166592624</v>
      </c>
    </row>
    <row r="6" spans="1:6" x14ac:dyDescent="0.2">
      <c r="A6" t="s">
        <v>55</v>
      </c>
      <c r="B6">
        <v>1944</v>
      </c>
      <c r="C6">
        <v>15168</v>
      </c>
      <c r="D6">
        <v>0.68199517078617478</v>
      </c>
      <c r="E6">
        <v>20312</v>
      </c>
      <c r="F6">
        <v>2214.15598150811</v>
      </c>
    </row>
    <row r="7" spans="1:6" x14ac:dyDescent="0.2">
      <c r="A7" t="s">
        <v>51</v>
      </c>
      <c r="B7">
        <v>14726</v>
      </c>
      <c r="C7">
        <v>130294.26726326789</v>
      </c>
      <c r="D7">
        <v>0.76470955024977139</v>
      </c>
      <c r="E7">
        <v>157522</v>
      </c>
      <c r="F7">
        <v>11549.854575459116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</vt:lpstr>
      <vt:lpstr>Rolling Average</vt:lpstr>
      <vt:lpstr>Employee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Zhang</dc:creator>
  <cp:lastModifiedBy>Jane Zhang</cp:lastModifiedBy>
  <dcterms:created xsi:type="dcterms:W3CDTF">2025-11-06T10:38:50Z</dcterms:created>
  <dcterms:modified xsi:type="dcterms:W3CDTF">2025-11-06T13:31:26Z</dcterms:modified>
</cp:coreProperties>
</file>